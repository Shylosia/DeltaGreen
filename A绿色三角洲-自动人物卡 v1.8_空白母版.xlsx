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windowWidth="24750" windowHeight="12080"/>
  </bookViews>
  <sheets>
    <sheet name="人物卡" sheetId="2" r:id="rId1"/>
    <sheet name="骰子指令" sheetId="11" r:id="rId2"/>
    <sheet name="职业列表" sheetId="9" r:id="rId3"/>
    <sheet name="额外技能包" sheetId="10" r:id="rId4"/>
    <sheet name="子技能" sheetId="5" r:id="rId5"/>
    <sheet name="附表" sheetId="4" r:id="rId6"/>
    <sheet name="展示页" sheetId="12" r:id="rId7"/>
    <sheet name="更新记录" sheetId="8" r:id="rId8"/>
    <sheet name="职业选项" sheetId="14" state="hidden" r:id="rId9"/>
    <sheet name="规则数据" sheetId="15" state="hidden" r:id="rId10"/>
    <sheet name="规则速查" sheetId="16" r:id="rId11"/>
    <sheet name="精神疾病" sheetId="17" r:id="rIdV15Ref0"/>
    <sheet name="参考选项" sheetId="18" r:id="rIdV15Ref1"/>
    <sheet name="模组经历备忘录" sheetId="19" r:id="rIdV16Memo"/>
    <sheet name="可打印版（A4）" sheetId="13" r:id="rId12"/>
  </sheets>
  <definedNames>
    <definedName name="_xlnm._FilterDatabase" localSheetId="10" hidden="1">'规则速查'!$A$8:$C$546</definedName>
    <definedName name="EditableLeft">人物卡!$E$3:$Z$4,人物卡!$U$5:$Z$6,人物卡!$E$5,人物卡!$E$6,人物卡!$M$6,人物卡!$E$7:$Z$8,人物卡!$AN$3:$BG$8,人物卡!$H$10,人物卡!$V$10,人物卡!$AH$10,人物卡!$AU$10,人物卡!$AU$10,人物卡!$BD$10:$BG$11,人物卡!$B$14:$C$43,人物卡!$J$18:$O$20,人物卡!$J$25:$O$28,人物卡!$J$36:$O$38,人物卡!$AM$17:$AR$19,人物卡!$AM$24:$AR$26,人物卡!$AM$29:$AR$31,人物卡!$AG$40:$BG$43,人物卡!$V$14:$AD$43,人物卡!$AY$14:$BG$38,人物卡!$BE$39,人物卡!$AH$3:$AJ$8,人物卡!$AE$14:$AF$38,人物卡!$AE$40:$AF$43</definedName>
    <definedName name="EditableMiddle">人物卡!$BX$3:$CX$11,人物卡!$BN$14,人物卡!$BN$17,人物卡!$BI$27</definedName>
    <definedName name="EditableRight">人物卡!$CZ$3,人物卡!$DR$3,人物卡!$EI$3,人物卡!$EK$8,人物卡!$CZ$14:$EG$20,人物卡!$CZ$23:$EC$43,人物卡!$ED$24:$EG$25,人物卡!$ED$27:$EG$28,人物卡!$ED$30:$EG$31,人物卡!$ED$33:$EG$34,人物卡!$ED$36:$EG$37,人物卡!$ED$39:$EG$40,人物卡!$ED$42:$EG$43,人物卡!$EI$23,人物卡!$EI$17</definedName>
    <definedName name="_xlnm.Print_Area" localSheetId="14">'可打印版（A4）'!$A$1:$AJ$104</definedName>
    <definedName name="主卡技能选项">OFFSET(规则数据!$Z$20,0,0,MAX(1,规则数据!$Z$19),1)</definedName>
    <definedName name="额外第1项">OFFSET(规则数据!$AA$20,0,0,MAX(1,规则数据!$AA$19),1)</definedName>
    <definedName name="额外第2项">OFFSET(规则数据!$AC$20,0,0,MAX(1,规则数据!$AC$19),1)</definedName>
    <definedName name="额外第3项">OFFSET(规则数据!$AE$20,0,0,MAX(1,规则数据!$AE$19),1)</definedName>
    <definedName name="额外第4项">OFFSET(规则数据!$AG$20,0,0,MAX(1,规则数据!$AG$19),1)</definedName>
    <definedName name="额外第5项">OFFSET(规则数据!$AI$20,0,0,MAX(1,规则数据!$AI$19),1)</definedName>
    <definedName name="额外第6项">OFFSET(规则数据!$AK$20,0,0,MAX(1,规则数据!$AK$19),1)</definedName>
    <definedName name="额外第7项">OFFSET(规则数据!$AM$20,0,0,MAX(1,规则数据!$AM$19),1)</definedName>
    <definedName name="额外第8项">OFFSET(规则数据!$AO$20,0,0,MAX(1,规则数据!$AO$19),1)</definedName>
    <definedName name="非自然心理疾病">'精神疾病'!$B$9:$B$16</definedName>
    <definedName name="武器下拉列表">规则数据!$A$500:$A$553</definedName>
    <definedName name="护甲下拉列表">规则数据!$A$560:$A$565</definedName>
    <definedName name="特训对应项">规则数据!$A$580:$A$644</definedName>
    <definedName name="_xlnm.Print_Titles" localSheetId="10">'规则速查'!$8:$8</definedName>
    <definedName name="_xlnm.Print_Area" localSheetId="10">'规则速查'!$A$8:$C$546</definedName>
    <definedName name="任选勾选值">'职业选项'!$AA$2:$AA$3</definedName>
    <definedName name="空白选项">'职业选项'!$AA$4</definedName>
    <definedName name="特训范例">'参考选项'!$B$20:$B$33</definedName>
    <definedName name="_xlnm.Print_Area" localSheetId="11">'精神疾病'!$A$1:$C$37</definedName>
    <definedName name="_xlnm.Print_Titles" localSheetId="11">'精神疾病'!$7:$7</definedName>
    <definedName name="_xlnm.Print_Area" localSheetId="12">'参考选项'!$A$1:$C$78</definedName>
    <definedName name="_xlnm.Print_Titles" localSheetId="12">'参考选项'!$7:$7</definedName>
    <definedName name="_xlnm.Print_Area" localSheetId="13">'模组经历备忘录'!$A$1:$H$27</definedName>
    <definedName name="_xlnm.Print_Titles" localSheetId="13">'模组经历备忘录'!$7:$7</definedName>
    <definedName name="_xlnm.Print_Area" localSheetId="7">'更新记录'!$A$1:$B$142</definedName>
    <definedName name="_xlnm.Print_Titles" localSheetId="7">'更新记录'!$10:$10</definedName>
  </definedNames>
  <calcPr calcId="191029" calcMode="auto" fullCalcOnLoad="1"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Codex</author>
    <author>技能说明</author>
    <author>User</author>
  </authors>
  <commentList>
    <comment ref="D14" authorId="1">
      <text>
        <r>
          <rPr>
            <sz val="8"/>
            <color rgb="FF000000"/>
            <rFont val="等线"/>
            <family val="2"/>
          </rPr>
          <t xml:space="preserve">对金融和商务的了解。用它来从财务报告中筛选出异常，例如隐藏的银行账号或洗黑钱的证据。</t>
        </r>
      </text>
    </comment>
    <comment ref="AG14" authorId="1">
      <text>
        <r>
          <rPr>
            <sz val="8"/>
            <color rgb="FF000000"/>
            <rFont val="等线"/>
            <family val="2"/>
          </rPr>
          <t xml:space="preserve">用法律和法庭给你的特工带来优势。用这个技能让你的特工在法庭里达成目标，确定在刑事或民事诉讼中对待证据的正确程序（以及减弱证据效力的方法），用哄骗的方式摆脱法律上的麻烦，或减少违法的风险。法律技能仅适用于你特工出生的国家；要用在其他国家的法律上需要特训。</t>
        </r>
      </text>
    </comment>
    <comment ref="CZ14" authorId="0">
      <text>
        <r>
          <rPr>
            <sz val="8"/>
            <color rgb="FF000000"/>
            <rFont val="等线"/>
            <family val="2"/>
          </rPr>
          <t xml:space="preserve">选择武器后自动带入本行数值。自定义武器的其他字段需自行填写，会替换对应公式。近战伤害加成单列。</t>
        </r>
      </text>
    </comment>
    <comment ref="D15" authorId="1">
      <text>
        <r>
          <rPr>
            <sz val="8"/>
            <color rgb="FF000000"/>
            <rFont val="等线"/>
            <family val="2"/>
          </rPr>
          <t xml:space="preserve">警觉技能用于探测危险。用它来听到手枪保险被开启的声音，辨识出墙另一边的呢喃，注意到藏在大衣下的手枪造成的凸起，或抓住某个试图潜藏以躲开视线的人。</t>
        </r>
      </text>
    </comment>
    <comment ref="AG15" authorId="1">
      <text>
        <r>
          <rPr>
            <sz val="8"/>
            <color rgb="FF000000"/>
            <rFont val="等线"/>
            <family val="2"/>
          </rPr>
          <t xml:space="preserve">对创伤和疾病的研究和治疗。用这个技能诊断创伤、疾病或中毒的来源，识别毒素或疾病之类的身体异常，检定死因和死亡时间，判断凶杀武器的类型，推导死者的最后一餐是什么，或开出一份合适的长期疗养方案。相比而言，急救让患者能活着等到手术，而手术则能处理严重的伤情。</t>
        </r>
      </text>
    </comment>
    <comment ref="D16" authorId="1">
      <text>
        <r>
          <rPr>
            <sz val="8"/>
            <color rgb="FF000000"/>
            <rFont val="等线"/>
            <family val="2"/>
          </rPr>
          <t xml:space="preserve">对现存人类文化的研究。用它来理解价值观念、宗教信仰、道德准则和风俗习惯，以及辨别鲜为人知的语言（但不能翻译）。相比而言，历史研究的是遥远的过去，考古学研究的是物质遗存，而人类学更注重于现存文化的行为，他们彼此之间以及与过去之间的联系，以及如何安全地与其打交道。</t>
        </r>
      </text>
    </comment>
    <comment ref="AG16" authorId="1">
      <text>
        <r>
          <rPr>
            <sz val="8"/>
            <color rgb="FF000000"/>
            <rFont val="等线"/>
            <family val="2"/>
          </rPr>
          <t xml:space="preserve">在战斗中致命地使用近战武器。用这个技能来挥舞刀、斧、棒槌或其他武器伤害或杀死敌人。</t>
        </r>
      </text>
    </comment>
    <comment ref="D17" authorId="1">
      <text>
        <r>
          <rPr>
            <sz val="8"/>
            <color rgb="FF000000"/>
            <rFont val="等线"/>
            <family val="2"/>
          </rPr>
          <t xml:space="preserve">对人类文化的物质遗存的研究。用这个技能来从废墟中分析出一个民族的生活方式，判断某个工艺品的年代，分辨工艺品的真伪，以及辨别人类的语言（但不能翻译）。相比而言，人类学研究的是现存文化，历史是宽泛地研究过去，而考古学是从早已死去之人遗存的物件中寻求答案。</t>
        </r>
      </text>
    </comment>
    <comment ref="AG17" authorId="1">
      <text>
        <r>
          <rPr>
            <sz val="8"/>
            <color rgb="FF000000"/>
            <rFont val="等线"/>
            <family val="2"/>
          </rPr>
          <t xml:space="preserve">对军队文化、行事方法和管制的了解。用这个技能在战场上辨别威胁，找到武器的准确使用范围，发现一座碉堡的弱点，判断一位军人或一支队伍的受训程度，重建一场战斗中发生的各个事件，或在战斗中有利地部署部队。军事科学中的每项专攻都是分别的技能，常见的包括陆军、空军及海军。</t>
        </r>
      </text>
    </comment>
    <comment ref="D18" authorId="1">
      <text>
        <r>
          <rPr>
            <sz val="8"/>
            <color rgb="FF000000"/>
            <rFont val="等线"/>
            <family val="2"/>
          </rPr>
          <t xml:space="preserve">擅长于创作或表演能动摇情感和意见的作品。这个技能也包括对技巧知识和圈内趋势的了解，以及分辨某个艺术家真迹的能力。任何人都能粗略地打个草稿；但艺术技能反映的是知识、练习和才华。艺术中的每项专攻都是分别的技能：演艺、创意写作、舞蹈、笛子、造假、吉他、绘画、诗歌、剧本创作、雕塑、唱歌、小提琴等等。</t>
        </r>
      </text>
    </comment>
    <comment ref="AG18" authorId="1">
      <text>
        <r>
          <rPr>
            <sz val="8"/>
            <color rgb="FF000000"/>
            <rFont val="等线"/>
            <family val="2"/>
          </rPr>
          <t xml:space="preserve">对军队文化、行事方法和管制的了解。用这个技能在战场上辨别威胁，找到武器的准确使用范围，发现一座碉堡的弱点，判断一位军人或一支队伍的受训程度，重建一场战斗中发生的各个事件，或在战斗中有利地部署部队。军事科学中的每项专攻都是分别的技能，常见的包括陆军、空军及海军。</t>
        </r>
      </text>
    </comment>
    <comment ref="D19" authorId="1">
      <text>
        <r>
          <rPr>
            <sz val="8"/>
            <color rgb="FF000000"/>
            <rFont val="等线"/>
            <family val="2"/>
          </rPr>
          <t xml:space="preserve">擅长于创作或表演能动摇情感和意见的作品。这个技能也包括对技巧知识和圈内趋势的了解，以及分辨某个艺术家真迹的能力。任何人都能粗略地打个草稿；但艺术技能反映的是知识、练习和才华。艺术中的每项专攻都是分别的技能：演艺、创意写作、舞蹈、笛子、造假、吉他、绘画、诗歌、剧本创作、雕塑、唱歌、小提琴等等。</t>
        </r>
      </text>
    </comment>
    <comment ref="AG19" authorId="1">
      <text>
        <r>
          <rPr>
            <sz val="8"/>
            <color rgb="FF000000"/>
            <rFont val="等线"/>
            <family val="2"/>
          </rPr>
          <t xml:space="preserve">对军队文化、行事方法和管制的了解。用这个技能在战场上辨别威胁，找到武器的准确使用范围，发现一座碉堡的弱点，判断一位军人或一支队伍的受训程度，重建一场战斗中发生的各个事件，或在战斗中有利地部署部队。军事科学中的每项专攻都是分别的技能，常见的包括陆军、空军及海军。</t>
        </r>
      </text>
    </comment>
    <comment ref="D20" authorId="1">
      <text>
        <r>
          <rPr>
            <sz val="8"/>
            <color rgb="FF000000"/>
            <rFont val="等线"/>
            <family val="2"/>
          </rPr>
          <t xml:space="preserve">擅长于创作或表演能动摇情感和意见的作品。这个技能也包括对技巧知识和圈内趋势的了解，以及分辨某个艺术家真迹的能力。任何人都能粗略地打个草稿；但艺术技能反映的是知识、练习和才华。艺术中的每项专攻都是分别的技能：演艺、创意写作、舞蹈、笛子、造假、吉他、绘画、诗歌、剧本创作、雕塑、唱歌、小提琴等等。</t>
        </r>
      </text>
    </comment>
    <comment ref="AG20" authorId="1">
      <text>
        <r>
          <rPr>
            <sz val="8"/>
            <color rgb="FF000000"/>
            <rFont val="等线"/>
            <family val="2"/>
          </rPr>
          <t xml:space="preserve">使用你的地图、图表、寻路训练、器具或是依靠瞎猜来快速地找到方向。</t>
        </r>
      </text>
    </comment>
    <comment ref="D21" authorId="1">
      <text>
        <r>
          <rPr>
            <sz val="8"/>
            <color rgb="FF000000"/>
            <rFont val="等线"/>
            <family val="2"/>
          </rPr>
          <t xml:space="preserve">安全并准确地使用迫击炮、导弹、榴弹炮、坦克炮以及其他重型火炮。用它来在战斗中摧毁部队或是硬目标。</t>
        </r>
      </text>
    </comment>
    <comment ref="AG21" authorId="1">
      <text>
        <r>
          <rPr>
            <sz val="8"/>
            <color rgb="FF000000"/>
            <rFont val="等线"/>
            <family val="2"/>
          </rPr>
          <t xml:space="preserve">通过人类传统所理解的方式来研究超自然事物，包括阴谋论、伪科学和神秘动物学等概念。用神秘学来检查并推测一场仪式的意图，或是辨别不同的超自然传统、团体、魔法书、器具、标志或传说。神秘学无法帮助特工分辨什么是真的非自然，什么只是迷信或神话。那是非自然知识技能所管辖的问题。</t>
        </r>
      </text>
    </comment>
    <comment ref="D22" authorId="1">
      <text>
        <r>
          <rPr>
            <sz val="8"/>
            <color rgb="FF000000"/>
            <rFont val="等线"/>
            <family val="2"/>
          </rPr>
          <t xml:space="preserve">特工为了最好地运用其身体强度与和灵巧性而进行训练。相比而言，力量和敏捷两个属性指的是作为基础的身体能力和动手能力，而运动则代表了诸如跑步、跳跃、攀爬和投掷等活动的长期练习。用运动技能来：
• 跑得比某人更快。
• 跳过一条吓人的豁口。
• 在危难时攀爬。
• 从不高于三米的高度安全着地。
• 用飞刀精准地击中目标或把手榴弹投掷到正确的地点。
• 在没有被告知的情况下接住什么东西，例如一颗被投出的手榴弹。</t>
        </r>
      </text>
    </comment>
    <comment ref="AG22" authorId="1">
      <text>
        <r>
          <rPr>
            <sz val="8"/>
            <color rgb="FF000000"/>
            <rFont val="等线"/>
            <family val="2"/>
          </rPr>
          <t xml:space="preserve">改变另一个人根深蒂固的决定或欲望。当对方过于固执，你的特工所求之物过于宝贵，或者谎言过于明显时，魅力已经不足以达成目的，此时应使用说服技能。你的特工或许会用说服来使一个证人相信她看到的东西并无疑点、不是非自然现象，使一位警探为了所有人的利益帮助你掩盖线索，或从一个不配合的对象中获取有用的情报。这个技能还能帮你的特工在说服对抗中抵御他人的威逼利诱或审讯。</t>
        </r>
      </text>
    </comment>
    <comment ref="D23" authorId="1">
      <text>
        <r>
          <rPr>
            <sz val="8"/>
            <color rgb="FF000000"/>
            <rFont val="等线"/>
            <family val="2"/>
          </rPr>
          <t xml:space="preserve">对于管理一个组织所需的规则和人员的操控。用这个技能来寻找和借取物资，说服官员以让他们提供信息或资源，获得通往禁区的通行证，或是避免医院在你伤口的来源这个问题上挖得太深。</t>
        </r>
      </text>
    </comment>
    <comment ref="AG23" authorId="1">
      <text>
        <r>
          <rPr>
            <sz val="8"/>
            <color rgb="FF000000"/>
            <rFont val="等线"/>
            <family val="2"/>
          </rPr>
          <t xml:space="preserve">对药物的了解，从它们的原料和制作方法，到它们的效果、用处和误用。用这个技能来辨别和生产药物和解毒剂——以及毒药。鉴定药物需要至少20% 技能等级。安全地制造特别强力的药物，比如带有精神活性的药物，需要至少 40% 技能等级，或成功的检定。误用药学技能可能会使患者迅速丧失性命。</t>
        </r>
      </text>
    </comment>
    <comment ref="D24" authorId="1">
      <text>
        <r>
          <rPr>
            <sz val="8"/>
            <color rgb="FF000000"/>
            <rFont val="等线"/>
            <family val="2"/>
          </rPr>
          <t xml:space="preserve">深入了解计算机、计算机系统以及运行它们的程序。用这个技能来恢复已被删除或加密的数据，保护文件以免受入侵，植入软件以劫持电脑系统,复制一部手机的 SIM 卡，在一套安保系统中找出漏洞，假扮用户，或是伪造数据。这一技能常常与电工或微电子等工艺的专攻技能相配合。</t>
        </r>
      </text>
    </comment>
    <comment ref="AG24" authorId="1">
      <text>
        <r>
          <rPr>
            <sz val="8"/>
            <color rgb="FF000000"/>
            <rFont val="等线"/>
            <family val="2"/>
          </rPr>
          <t xml:space="preserve">驾驶、导航以及指挥一架航海、航空或航天载具。用这个技能在风暴或追逐等危机中时保全载具。每一种载具都是分别的技能：飞机、无人机、直升机、小船、大船或航天飞机等。若掌局者允许，一种载具的专精可应用于另一种相近的载具。</t>
        </r>
      </text>
    </comment>
    <comment ref="D25" authorId="1">
      <text>
        <r>
          <rPr>
            <sz val="8"/>
            <color rgb="FF000000"/>
            <rFont val="等线"/>
            <family val="2"/>
          </rPr>
          <t xml:space="preserve">制作和修理复杂的工具和结构。一件大多数人都明白原理的工作并不需要工艺技能，只需要智力或敏捷检定。工艺技能用于需要训练并特化的工作：工艺（电工）可用于为房屋更换电线，在匆忙时短接启动汽车，给电话或数据线安上窃听装置，或发现电子破坏行动的蛛丝马迹；工艺（机械）可用于应急修复一台机器，或为一个损坏的引擎恢复功能——抑或是完全破坏到无法修理；工艺（锁匠）可用于不用钥匙开锁；而工艺（枪匠）可用于修复损坏的枪械。掌局者决定哪项行为需要工艺。工艺中的每项专攻都是分别的技能：建筑学、木工、电工、枪匠、锁匠、机械、微电子、管道工等等。</t>
        </r>
      </text>
    </comment>
    <comment ref="AG25" authorId="1">
      <text>
        <r>
          <rPr>
            <sz val="8"/>
            <color rgb="FF000000"/>
            <rFont val="等线"/>
            <family val="2"/>
          </rPr>
          <t xml:space="preserve">驾驶、导航以及指挥一架航海、航空或航天载具。用这个技能在风暴或追逐等危机中时保全载具。每一种载具都是分别的技能：飞机、无人机、直升机、小船、大船或航天飞机等。若掌局者允许，一种载具的专精可应用于另一种相近的载具。</t>
        </r>
      </text>
    </comment>
    <comment ref="D26" authorId="1">
      <text>
        <r>
          <rPr>
            <sz val="8"/>
            <color rgb="FF000000"/>
            <rFont val="等线"/>
            <family val="2"/>
          </rPr>
          <t xml:space="preserve">制作和修理复杂的工具和结构。一件大多数人都明白原理的工作并不需要工艺技能，只需要智力或敏捷检定。工艺技能用于需要训练并特化的工作：工艺（电工）可用于为房屋更换电线，在匆忙时短接启动汽车，给电话或数据线安上窃听装置，或发现电子破坏行动的蛛丝马迹；工艺（机械）可用于应急修复一台机器，或为一个损坏的引擎恢复功能——抑或是完全破坏到无法修理；工艺（锁匠）可用于不用钥匙开锁；而工艺（枪匠）可用于修复损坏的枪械。掌局者决定哪项行为需要工艺。工艺中的每项专攻都是分别的技能：建筑学、木工、电工、枪匠、锁匠、机械、微电子、管道工等等。</t>
        </r>
      </text>
    </comment>
    <comment ref="AG26" authorId="1">
      <text>
        <r>
          <rPr>
            <sz val="8"/>
            <color rgb="FF000000"/>
            <rFont val="等线"/>
            <family val="2"/>
          </rPr>
          <t xml:space="preserve">驾驶、导航以及指挥一架航海、航空或航天载具。用这个技能在风暴或追逐等危机中时保全载具。每一种载具都是分别的技能：飞机、无人机、直升机、小船、大船或航天飞机等。若掌局者允许，一种载具的专精可应用于另一种相近的载具。</t>
        </r>
      </text>
    </comment>
    <comment ref="D27" authorId="1">
      <text>
        <r>
          <rPr>
            <sz val="8"/>
            <color rgb="FF000000"/>
            <rFont val="等线"/>
            <family val="2"/>
          </rPr>
          <t xml:space="preserve">制作和修理复杂的工具和结构。一件大多数人都明白原理的工作并不需要工艺技能，只需要智力或敏捷检定。工艺技能用于需要训练并特化的工作：工艺（电工）可用于为房屋更换电线，在匆忙时短接启动汽车，给电话或数据线安上窃听装置，或发现电子破坏行动的蛛丝马迹；工艺（机械）可用于应急修复一台机器，或为一个损坏的引擎恢复功能——抑或是完全破坏到无法修理；工艺（锁匠）可用于不用钥匙开锁；而工艺（枪匠）可用于修复损坏的枪械。掌局者决定哪项行为需要工艺。工艺中的每项专攻都是分别的技能：建筑学、木工、电工、枪匠、锁匠、机械、微电子、管道工等等。</t>
        </r>
      </text>
    </comment>
    <comment ref="AG27" authorId="1">
      <text>
        <r>
          <rPr>
            <sz val="8"/>
            <color rgb="FF000000"/>
            <rFont val="等线"/>
            <family val="2"/>
          </rPr>
          <t xml:space="preserve">对精神疾病的诊断和治疗。用这个技能来分辨精神疾病，帮助患者康复，在疾病发作时让病人冷静，以及长期地治疗精神疾病。你不能对自己使用精神治疗。用精神治疗来帮助接触过非自然力量的患者可能会使你遭受理智损失。</t>
        </r>
      </text>
    </comment>
    <comment ref="D28" authorId="1">
      <text>
        <r>
          <rPr>
            <sz val="8"/>
            <color rgb="FF000000"/>
            <rFont val="等线"/>
            <family val="2"/>
          </rPr>
          <t xml:space="preserve">制作和修理复杂的工具和结构。一件大多数人都明白原理的工作并不需要工艺技能，只需要智力或敏捷检定。工艺技能用于需要训练并特化的工作：工艺（电工）可用于为房屋更换电线，在匆忙时短接启动汽车，给电话或数据线安上窃听装置，或发现电子破坏行动的蛛丝马迹；工艺（机械）可用于应急修复一台机器，或为一个损坏的引擎恢复功能——抑或是完全破坏到无法修理；工艺（锁匠）可用于不用钥匙开锁；而工艺（枪匠）可用于修复损坏的枪械。掌局者决定哪项行为需要工艺。工艺中的每项专攻都是分别的技能：建筑学、木工、电工、枪匠、锁匠、机械、微电子、管道工等等。</t>
        </r>
      </text>
    </comment>
    <comment ref="AG28" authorId="1">
      <text>
        <r>
          <rPr>
            <sz val="8"/>
            <color rgb="FF000000"/>
            <rFont val="等线"/>
            <family val="2"/>
          </rPr>
          <t xml:space="preserve">对待、训练及骑乘马、驴、骆驼等动物。更加罕见的坐骑可能需要特训。使用骑术来保证自己能在危机中安全地骑在坐骑上，并保持坐骑冷静、健康。</t>
        </r>
      </text>
    </comment>
    <comment ref="D29" authorId="1">
      <text>
        <r>
          <rPr>
            <sz val="8"/>
            <color rgb="FF000000"/>
            <rFont val="等线"/>
            <family val="2"/>
          </rPr>
          <t xml:space="preserve">对于罪犯和共谋过程的知识。用这个技能来识别并预测犯罪行为，推导犯罪团伙成员之间的关系，分析犯罪活动，检查证词，或知道在黑手党里该找谁说话。</t>
        </r>
      </text>
    </comment>
    <comment ref="AG29" authorId="1">
      <text>
        <r>
          <rPr>
            <sz val="8"/>
            <color rgb="FF000000"/>
            <rFont val="等线"/>
            <family val="2"/>
          </rPr>
          <t xml:space="preserve">对世界上自然变化过程的深刻研究。这种研究要远高于普通地在学校学习——任何人都能进行智力检定来回想起高中科学课上学过的内容。科学技能的范畴在于探求宇宙运行的方式——或者至少是理论上应该的运行方式。科学中的每项专攻都是分别的技能：天文学、生物学、植物学、化学、工程学、基因科学、地质学、数学、气象学、物理学、行星科学、动物学等等。</t>
        </r>
      </text>
    </comment>
    <comment ref="D30" authorId="1">
      <text>
        <r>
          <rPr>
            <sz val="8"/>
            <color rgb="FF000000"/>
            <rFont val="等线"/>
            <family val="2"/>
          </rPr>
          <t xml:space="preserve">在危机中安全地处理爆炸物。用这个技能来解除炸弹，设置引爆装置来远程摧毁目标，用五金店里的物资拼凑出爆炸物，或分析爆炸的残余以确定爆炸源。在处理爆炸物时，检定失败意味着你的特工需要花费更多时间。如果情况危急且大失败，则意味着引起了意外爆炸。</t>
        </r>
      </text>
    </comment>
    <comment ref="AG30" authorId="1">
      <text>
        <r>
          <rPr>
            <sz val="8"/>
            <color rgb="FF000000"/>
            <rFont val="等线"/>
            <family val="2"/>
          </rPr>
          <t xml:space="preserve">对世界上自然变化过程的深刻研究。这种研究要远高于普通地在学校学习——任何人都能进行智力检定来回想起高中科学课上学过的内容。科学技能的范畴在于探求宇宙运行的方式——或者至少是理论上应该的运行方式。科学中的每项专攻都是分别的技能：天文学、生物学、植物学、化学、工程学、基因科学、地质学、数学、气象学、物理学、行星科学、动物学等等。</t>
        </r>
      </text>
    </comment>
    <comment ref="D31" authorId="1">
      <text>
        <r>
          <rPr>
            <sz val="8"/>
            <color rgb="FF000000"/>
            <rFont val="等线"/>
            <family val="2"/>
          </rPr>
          <t xml:space="preserve">改变你特工的外貌、声音、姿势、肢体语言和言谈举止，在不引起注意的情况下避免被人认出。</t>
        </r>
      </text>
    </comment>
    <comment ref="AG31" authorId="1">
      <text>
        <r>
          <rPr>
            <sz val="8"/>
            <color rgb="FF000000"/>
            <rFont val="等线"/>
            <family val="2"/>
          </rPr>
          <t xml:space="preserve">对世界上自然变化过程的深刻研究。这种研究要远高于普通地在学校学习——任何人都能进行智力检定来回想起高中科学课上学过的内容。科学技能的范畴在于探求宇宙运行的方式——或者至少是理论上应该的运行方式。科学中的每项专攻都是分别的技能：天文学、生物学、植物学、化学、工程学、基因科学、地质学、数学、气象学、物理学、行星科学、动物学等等。</t>
        </r>
      </text>
    </comment>
    <comment ref="D32" authorId="1">
      <text>
        <r>
          <rPr>
            <sz val="8"/>
            <color rgb="FF000000"/>
            <rFont val="等线"/>
            <family val="2"/>
          </rPr>
          <t xml:space="preserve">利用直觉和反射来躲避危险与攻击。在应对枪械和爆炸物时，闪避能帮助特工在子弹飞出之前躲到掩体后。</t>
        </r>
      </text>
    </comment>
    <comment ref="AG32" authorId="1">
      <text>
        <r>
          <rPr>
            <sz val="8"/>
            <color rgb="FF000000"/>
            <rFont val="等线"/>
            <family val="2"/>
          </rPr>
          <t xml:space="preserve">寻找被藏起来、或是不在显眼地方的物件。搜索现场或许不需要搜寻技能，只需要时间和精力，或者足够高的智力。用搜寻技能来找到用潜藏技能藏起来的物件，或是因掩盖、伪装得太好而只有专家才能找出的物件。掌局者可以选择以暗骰代行搜寻检定，这样你就不知道你的特工是否成功了。</t>
        </r>
      </text>
    </comment>
    <comment ref="D33" authorId="1">
      <text>
        <r>
          <rPr>
            <sz val="8"/>
            <color rgb="FF000000"/>
            <rFont val="等线"/>
            <family val="2"/>
          </rPr>
          <t xml:space="preserve">在危机中安全地使用汽车或摩托车。除非掌局者反对，每个特工都拥有驾照，也能在正常条件下安全驾驶。用这个技能来在高速追逐时或在路况不良时保证车辆的安全。</t>
        </r>
      </text>
    </comment>
    <comment ref="AG33" authorId="1">
      <text>
        <r>
          <rPr>
            <sz val="8"/>
            <color rgb="FF000000"/>
            <rFont val="等线"/>
            <family val="2"/>
          </rPr>
          <t xml:space="preserve">这个技能涵盖加密、通信情报、电子情报、对无线电或数字通信的监视及密码的制作与破解等技术。用这个技能来安装或关闭电脑病毒或窃听器，用摩尔斯电码交流，或操纵监控设备等等。
注：SIGINT，全称 Signals intelligence。</t>
        </r>
      </text>
    </comment>
    <comment ref="D34" authorId="1">
      <text>
        <r>
          <rPr>
            <sz val="8"/>
            <color rgb="FF000000"/>
            <rFont val="等线"/>
            <family val="2"/>
          </rPr>
          <t xml:space="preserve">安全并准确地在战斗中射击轻武器。用这个技能在由肾上腺素、慌乱和暴力导致的惊愕影响到了手眼协调的情况下击中目标。</t>
        </r>
      </text>
    </comment>
    <comment ref="AG34" authorId="1">
      <text>
        <r>
          <rPr>
            <sz val="8"/>
            <color rgb="FF000000"/>
            <rFont val="等线"/>
            <family val="2"/>
          </rPr>
          <t xml:space="preserve">掩盖你的存在或行动。用这个技能来藏起一把手枪，给一个地点盖上伪装，藏起麦克风，偷偷地在一处秘密传递点留下信封，扒窃，悄无声息地走动，尾行他人而不被发现，或是融入人群。当特工尝试使用潜藏时，必须通过警觉或搜寻的对抗检定才能发现。
注：秘密传递点：间谍们传递物件时常用的手段，在一处不显眼的地方放下物件，让对方自己来取。</t>
        </r>
      </text>
    </comment>
    <comment ref="D35" authorId="1">
      <text>
        <r>
          <rPr>
            <sz val="8"/>
            <color rgb="FF000000"/>
            <rFont val="等线"/>
            <family val="2"/>
          </rPr>
          <t xml:space="preserve">对伤势进行初步的处理和稳定。用这个技能来帮助某个角色回复体力。相比而言，手术用于处理更严重的伤口，而医学则保证长期的康复。</t>
        </r>
      </text>
    </comment>
    <comment ref="AG35" authorId="1">
      <text>
        <r>
          <rPr>
            <sz val="8"/>
            <color rgb="FF000000"/>
            <rFont val="等线"/>
            <family val="2"/>
          </rPr>
          <t xml:space="preserve">对伤口或身体异常进行侵入式治疗。相比而言，急救让患者能活着等到手术，而手术则保证长期的康复。</t>
        </r>
      </text>
    </comment>
    <comment ref="D36" authorId="1">
      <text>
        <r>
          <rPr>
            <sz val="8"/>
            <color rgb="FF000000"/>
            <rFont val="等线"/>
            <family val="2"/>
          </rPr>
          <t xml:space="preserve">流利地使用另一门语言。每门外语都是分别的技能。达到 20% 能进行断断续续地交流，达到 50%就能像母语一样阅读和谈话。技能越高，你的特工就能明白更复杂的信息，并花费更少的时间。除非掌局者判定情况特别困难，一般情况下不需要进行检定。若掌局者允许，可在特训后使用同一技能对应另一门相近的语言。</t>
        </r>
      </text>
    </comment>
    <comment ref="AG36" authorId="1">
      <text>
        <r>
          <rPr>
            <sz val="8"/>
            <color rgb="FF000000"/>
            <rFont val="等线"/>
            <family val="2"/>
          </rPr>
          <t xml:space="preserve">对大自然的了解。用这个技能来发现脚印和足迹，计划一次探险，预测天气，发现动植物的异常，用环境来获取其他信息，或是寻找食物、水和避难所。</t>
        </r>
      </text>
    </comment>
    <comment ref="D37" authorId="1">
      <text>
        <r>
          <rPr>
            <sz val="8"/>
            <color rgb="FF000000"/>
            <rFont val="等线"/>
            <family val="2"/>
          </rPr>
          <t xml:space="preserve">流利地使用另一门语言。每门外语都是分别的技能。达到 20% 能进行断断续续地交流，达到 50%就能像母语一样阅读和谈话。技能越高，你的特工就能明白更复杂的信息，并花费更少的时间。除非掌局者判定情况特别困难，一般情况下不需要进行检定。若掌局者允许，可在特训后使用同一技能对应另一门相近的语言。</t>
        </r>
      </text>
    </comment>
    <comment ref="AG37" authorId="1">
      <text>
        <r>
          <rPr>
            <sz val="8"/>
            <color rgb="FF000000"/>
            <rFont val="等线"/>
            <family val="2"/>
          </rPr>
          <t xml:space="preserve">大多数特工都能以游泳作为消遣。在危险的情况下才需使用游泳技能：在波浪起伏的水中长距离游泳，让伙伴免于溺水，或是在那个水下的触手状东西抓住你之前游到船边。</t>
        </r>
      </text>
    </comment>
    <comment ref="D38" authorId="1">
      <text>
        <r>
          <rPr>
            <sz val="8"/>
            <color rgb="FF000000"/>
            <rFont val="等线"/>
            <family val="2"/>
          </rPr>
          <t xml:space="preserve">流利地使用另一门语言。每门外语都是分别的技能。达到 20% 能进行断断续续地交流，达到 50%就能像母语一样阅读和谈话。技能越高，你的特工就能明白更复杂的信息，并花费更少的时间。除非掌局者判定情况特别困难，一般情况下不需要进行检定。若掌局者允许，可在特训后使用同一技能对应另一门相近的语言。</t>
        </r>
      </text>
    </comment>
    <comment ref="AG38" authorId="1">
      <text>
        <r>
          <rPr>
            <sz val="8"/>
            <color rgb="FF000000"/>
            <rFont val="等线"/>
            <family val="2"/>
          </rPr>
          <t xml:space="preserve">自卫术。几个未受训者之间的格斗往往更多是推搡和叫喊，没有多少真正的暴力。用徒手搏斗来使用空手（或者脚、肘部、牙齿、头）对敌人造成伤害或夺取性命。</t>
        </r>
      </text>
    </comment>
    <comment ref="D39" authorId="1">
      <text>
        <r>
          <rPr>
            <sz val="8"/>
            <color rgb="FF000000"/>
            <rFont val="等线"/>
            <family val="2"/>
          </rPr>
          <t xml:space="preserve">用法证工具收集详细的信息和证据。用这个技能来记录生物特征数据，确定所使用的凶器或是引发火灾的助燃剂的细节，辨别出普通搜索者无法识别的关键线索，清理犯罪证据现场，或是收集、分析和比对指纹及 DNA 样本。</t>
        </r>
      </text>
    </comment>
    <comment ref="AG39" authorId="1">
      <text>
        <r>
          <rPr>
            <sz val="8"/>
            <color rgb="FF000000"/>
            <rFont val="等线"/>
            <family val="2"/>
          </rPr>
          <t xml:space="preserve">对宇宙中最基础而又摧毁心智的秘密的了解。用这个技能来回忆、辨别或研究那些人类划定为非自然事物的事实。这一行为远远超出神秘学的范畴，因为非自然知识所指之事真实存在。用这个技能来仔细研究神话和民间传说中最黑暗的部分，然后分辨出其中哪些是真实的描述。你特工的理智不能高过 99 减去他或她的非自然知识技能等级。</t>
        </r>
      </text>
    </comment>
    <comment ref="D40" authorId="1">
      <text>
        <r>
          <rPr>
            <sz val="8"/>
            <color rgb="FF000000"/>
            <rFont val="等线"/>
            <family val="2"/>
          </rPr>
          <t xml:space="preserve">在危机中安全地使用拖拉机、起重机、推土机、坦克、重型卡车或是任何其他大型机械。</t>
        </r>
      </text>
    </comment>
    <comment ref="D41" authorId="1">
      <text>
        <r>
          <rPr>
            <sz val="8"/>
            <color rgb="FF000000"/>
            <rFont val="等线"/>
            <family val="2"/>
          </rPr>
          <t xml:space="preserve">安全并准确地使用单兵便携式重武器，例如机枪和火箭发射器。用重型武器来压制敌人，或在战斗中摧毁载具。</t>
        </r>
      </text>
    </comment>
    <comment ref="D42" authorId="1">
      <text>
        <r>
          <rPr>
            <sz val="8"/>
            <color rgb="FF000000"/>
            <rFont val="等线"/>
            <family val="2"/>
          </rPr>
          <t xml:space="preserve">发掘与人类的过去相关的事实和理论。用这个技能来记住或找到与遥远的过去相关的关键事实，解读晦涩的暗喻，或是从图书馆或数据库梳理出缺乏这类教育的人无法找到的信息。相比而言，人类学研究的是现存文化，考古学研究的是古代遗址的意义，而历史是宽泛地观察人类历史。</t>
        </r>
      </text>
    </comment>
    <comment ref="D43" authorId="1">
      <text>
        <r>
          <rPr>
            <sz val="8"/>
            <color rgb="FF000000"/>
            <rFont val="等线"/>
            <family val="2"/>
          </rPr>
          <t xml:space="preserve">这个技能能够通过观察、交流或是检查行为和人际关系的规律，获得有关某个对象的信息，尤其是该对象想要隐瞒的信息。用人源情报来从言语细节和肢体语言中辩识出不诚实的迹象，衡量态度和意图，旁敲侧击地获取有关对象的信息，找到让对象合作的方法，或发现与对象想隐瞒之事相关的线索。人源情报可以发现精神疾病的迹象，但只有精神治疗才能进行诊断并治疗特定的疾病。如果你的特工还了解犯罪学，人源情报可以用于编纂行为侧写，以帮助寻找某人。如果有人想要蓄意骗过你的特工，他可以尝试进行说服检定，以对抗你的特工的人源情报。
注：HUMINT，全称 Human intelligence，又译人力情报。
行为侧写：犯罪学术语，指对一个人心理状况的评估，能够预测他人的行为并判断个人特征。</t>
        </r>
      </text>
    </comment>
    <comment ref="AB2" authorId="2">
      <text>
        <r>
          <rPr>
            <sz val="8"/>
            <color rgb="FF000000"/>
            <rFont val="等线"/>
            <family val="2"/>
          </rPr>
          <t xml:space="preserve">创建时每项属性为3～18，普通成年人平均10。可掷六次4D6，每次去掉最低一骰后分配；或分配72点。职业不分配属性。</t>
        </r>
      </text>
    </comment>
    <comment ref="AB3" authorId="2">
      <text>
        <r>
          <rPr>
            <sz val="8"/>
            <color rgb="FF000000"/>
            <rFont val="等线"/>
            <family val="2"/>
          </rPr>
          <t xml:space="preserve">身体强度、体型与肌肉量，可用于破门、拖拽或压制。与体质共同决定体力上限，也决定近战伤害加成。</t>
        </r>
      </text>
    </comment>
    <comment ref="AB4" authorId="2">
      <text>
        <r>
          <rPr>
            <sz val="8"/>
            <color rgb="FF000000"/>
            <rFont val="等线"/>
            <family val="2"/>
          </rPr>
          <t xml:space="preserve">健康与身体耐受度，可用于抵御疾病、疲倦、痛苦或长时间屏息。与力量共同决定体力上限。</t>
        </r>
      </text>
    </comment>
    <comment ref="AB5" authorId="2">
      <text>
        <r>
          <rPr>
            <sz val="8"/>
            <color rgb="FF000000"/>
            <rFont val="等线"/>
            <family val="2"/>
          </rPr>
          <t xml:space="preserve">迅捷、协调与灵活，常用于平衡和快速反应。战斗通常按敏捷从高到低行动。</t>
        </r>
      </text>
    </comment>
    <comment ref="AB6" authorId="2">
      <text>
        <r>
          <rPr>
            <sz val="8"/>
            <color rgb="FF000000"/>
            <rFont val="等线"/>
            <family val="2"/>
          </rPr>
          <t xml:space="preserve">注意、记忆和关联事物的能力，可用于回忆细节、整理线索。需要专业训练的0%技能不能仅靠智力替代。</t>
        </r>
      </text>
    </comment>
    <comment ref="AB7" authorId="2">
      <text>
        <r>
          <rPr>
            <sz val="8"/>
            <color rgb="FF000000"/>
            <rFont val="等线"/>
            <family val="2"/>
          </rPr>
          <t xml:space="preserve">自我强度、动力与精神耐受度，决定毅力上限并参与初始理智和崩溃点计算。此处显示创伤修正后的意志，原始值在创伤区填写。</t>
        </r>
      </text>
    </comment>
    <comment ref="AB8" authorId="2">
      <text>
        <r>
          <rPr>
            <sz val="8"/>
            <color rgb="FF000000"/>
            <rFont val="等线"/>
            <family val="2"/>
          </rPr>
          <t xml:space="preserve">吸引力、领导力与个人气质，决定创建时每段重要关系的初始值。此处显示创伤修正后的魅力，原始值在创伤区填写。</t>
        </r>
      </text>
    </comment>
    <comment ref="AK2" authorId="2">
      <text>
        <r>
          <rPr>
            <sz val="8"/>
            <color rgb="FF000000"/>
            <rFont val="等线"/>
            <family val="2"/>
          </rPr>
          <t xml:space="preserve">以有效属性×5为百分骰目标，不高于目标即成功。01及成功的同点双骰为大成功；00及失败的同点双骰为大失败。优先使用暂降后的属性，情景修正另计。</t>
        </r>
      </text>
    </comment>
    <comment ref="AN2" authorId="2">
      <text>
        <r>
          <rPr>
            <sz val="8"/>
            <color rgb="FF000000"/>
            <rFont val="等线"/>
            <family val="2"/>
          </rPr>
          <t xml:space="preserve">填降低后的数值，例如15降低3点应填12；没有暂降时留空。影响属性检定、体力／毅力上限、伤害加成及关系基准，不重置创建理智与崩溃点。暂降属性通常每天恢复1点。</t>
        </r>
      </text>
    </comment>
    <comment ref="AQ2" authorId="2">
      <text>
        <r>
          <rPr>
            <sz val="8"/>
            <color rgb="FF000000"/>
            <rFont val="等线"/>
            <family val="2"/>
          </rPr>
          <t xml:space="preserve">属性小于9或高于12时，可写一句对应的外貌或行为特征；不额外提供数值奖惩。</t>
        </r>
      </text>
    </comment>
    <comment ref="B10" authorId="2">
      <text>
        <r>
          <rPr>
            <sz val="8"/>
            <color rgb="FF000000"/>
            <rFont val="等线"/>
            <family val="2"/>
          </rPr>
          <t xml:space="preserve">上限＝（力量＋体质）÷2，向上取整。当前值初始等于上限，受伤与恢复后手动更新。降至2或以下昏迷，降至0死亡。</t>
        </r>
      </text>
    </comment>
    <comment ref="N10" authorId="2">
      <text>
        <r>
          <rPr>
            <sz val="8"/>
            <color rgb="FF000000"/>
            <rFont val="等线"/>
            <family val="2"/>
          </rPr>
          <t xml:space="preserve">上限＝有效意志。当前值初始等于上限，消耗与恢复后手动更新。剩1～2点时所有检定−20%；0点时无法检定成功，并暂由掌局者控制。整晚睡眠恢复1D6，每24小时一次。</t>
        </r>
      </text>
    </comment>
    <comment ref="AB10" authorId="2">
      <text>
        <r>
          <rPr>
            <sz val="8"/>
            <color rgb="FF000000"/>
            <rFont val="等线"/>
            <family val="2"/>
          </rPr>
          <t xml:space="preserve">上限＝99−非自然知识。创建值为原始意志×5扣除创伤损失，不超过上限。游戏中手动更新；单次损失至少5点导致临时疯狂，降至0为永久疯狂。</t>
        </r>
      </text>
    </comment>
    <comment ref="AN10" authorId="2">
      <text>
        <r>
          <rPr>
            <sz val="8"/>
            <color rgb="FF000000"/>
            <rFont val="等线"/>
            <family val="2"/>
          </rPr>
          <t xml:space="preserve">初始通常为初始理智−意志。理智降到此值或以下时新增一项精神疾病，再改为新的当前理智−意志。不会随每次理智损失自动下降；创建时仅“人类不应知道之事”重置，其他三种背景保留原阈值。</t>
        </r>
      </text>
    </comment>
    <comment ref="AX10" authorId="2">
      <text>
        <r>
          <rPr>
            <sz val="8"/>
            <color rgb="FF000000"/>
            <rFont val="等线"/>
            <family val="2"/>
          </rPr>
          <t xml:space="preserve">因暴力损失理智而未临时疯狂或触及崩溃点，连续三次即适应；相应理智检定自动成功。完成前若因此疯狂或触及崩溃点，清空进度。获得适应时魅力及所有关系各减同一次1D6；创建“极端暴力”已付固定代价，不重复扣。</t>
        </r>
      </text>
    </comment>
    <comment ref="AX11" authorId="2">
      <text>
        <r>
          <rPr>
            <sz val="8"/>
            <color rgb="FF000000"/>
            <rFont val="等线"/>
            <family val="2"/>
          </rPr>
          <t xml:space="preserve">因无力感损失理智而未疯狂或触及崩溃点，连续三次即适应；完成前因此疯狂或触及崩溃点则清空进度。获得适应时意志永久减1D6；创建“关押或入狱”不重复扣。非自然现象不能适应。</t>
        </r>
      </text>
    </comment>
    <comment ref="AL9" authorId="2">
      <text>
        <r>
          <rPr>
            <sz val="8"/>
            <color rgb="FF000000"/>
            <rFont val="等线"/>
            <family val="2"/>
          </rPr>
          <t xml:space="preserve">按本职技能净点数推算创建时的关系数量；“艰苦经历”再去掉一段。实际已建立关系的数量另行统计。</t>
        </r>
      </text>
    </comment>
    <comment ref="BD9" authorId="2">
      <text>
        <r>
          <rPr>
            <sz val="8"/>
            <color rgb="FF000000"/>
            <rFont val="等线"/>
            <family val="2"/>
          </rPr>
          <t xml:space="preserve">仅统计技能包实际计入的点数，完整分配为8次×20＝160点。未选择或达到80%上限会减少实计点数；不包含创伤与成长。</t>
        </r>
      </text>
    </comment>
    <comment ref="P13" authorId="2">
      <text>
        <r>
          <rPr>
            <sz val="8"/>
            <color rgb="FF000000"/>
            <rFont val="等线"/>
            <family val="2"/>
          </rPr>
          <t xml:space="preserve">职业值替代基础值，再加额外与成长；额外包含技能包及创伤修正。此列为计算结果，技能上限99%。</t>
        </r>
      </text>
    </comment>
    <comment ref="S13" authorId="2">
      <text>
        <r>
          <rPr>
            <sz val="8"/>
            <color rgb="FF000000"/>
            <rFont val="等线"/>
            <family val="2"/>
          </rPr>
          <t xml:space="preserve">未接受职业训练时的基础等级；职业值会替代它。0%技能通常不能尝试；艺术、工艺、外语、军事科学、特种载具、科学须确定专攻。</t>
        </r>
      </text>
    </comment>
    <comment ref="V13" authorId="2">
      <text>
        <r>
          <rPr>
            <sz val="8"/>
            <color rgb="FF000000"/>
            <rFont val="等线"/>
            <family val="2"/>
          </rPr>
          <t xml:space="preserve">由职业、适用子模板及职业框内的选择计算，直接替代基础等级。专攻技能需先填写具体名称。</t>
        </r>
      </text>
    </comment>
    <comment ref="Y13" authorId="2">
      <text>
        <r>
          <rPr>
            <sz val="8"/>
            <color rgb="FF000000"/>
            <rFont val="等线"/>
            <family val="2"/>
          </rPr>
          <t xml:space="preserve">汇总技能包及创伤加点。技能包每次+20，可重复，创建上限80%；艰苦经历五项各+10，上限90%。两者均不能提升非自然知识。</t>
        </r>
      </text>
    </comment>
    <comment ref="AB13" authorId="2">
      <text>
        <r>
          <rPr>
            <sz val="8"/>
            <color rgb="FF000000"/>
            <rFont val="等线"/>
            <family val="2"/>
          </rPr>
          <t xml:space="preserve">填累计增加的点数，不填最终技能值。至少1%的普通技能失败后可标记，场次结算时提升1D4并清除标记；非自然知识除外。幕间训练检定失败可提高3D6，技能上限99%。</t>
        </r>
      </text>
    </comment>
    <comment ref="H46" authorId="2">
      <text>
        <r>
          <rPr>
            <sz val="8"/>
            <color rgb="FF000000"/>
            <rFont val="等线"/>
            <family val="2"/>
          </rPr>
          <t xml:space="preserve">固定技能自动计入；职业框内按要求勾选候选技能，专攻名称直接填入上方技能格。切换职业会保留旧专攻及选择，需核对。</t>
        </r>
      </text>
    </comment>
    <comment ref="H47" authorId="2">
      <text>
        <r>
          <rPr>
            <sz val="8"/>
            <color rgb="FF000000"/>
            <rFont val="等线"/>
            <family val="2"/>
          </rPr>
          <t xml:space="preserve">仅部分职业有子模板；其他职业忽略本格保留的旧选择。</t>
        </r>
      </text>
    </comment>
    <comment ref="P48" authorId="2">
      <text>
        <r>
          <rPr>
            <sz val="8"/>
            <color rgb="FF000000"/>
            <rFont val="等线"/>
            <family val="2"/>
          </rPr>
          <t xml:space="preserve">固定技能不占任选名额；超选时任选职业值暂不计入，取消多余选择后恢复。专攻名称直接填写在上方技能格。</t>
        </r>
      </text>
    </comment>
    <comment ref="BW46" authorId="2">
      <text>
        <r>
          <rPr>
            <sz val="8"/>
            <color rgb="FF000000"/>
            <rFont val="等线"/>
            <family val="2"/>
          </rPr>
          <t>八次+20，可重复提升同一技能，创建上限80%。右栏可替换固定项，清空恢复模板；任选项按列表选择，专攻名称可填在上方技能格。切换技能包会保留旧输入。</t>
        </r>
      </text>
    </comment>
    <comment ref="DF46" authorId="2">
      <text>
        <r>
          <rPr>
            <sz val="8"/>
            <color rgb="FF000000"/>
            <rFont val="等线"/>
            <family val="2"/>
          </rPr>
          <t xml:space="preserve">按一种创建经历修正属性、技能、理智、适应和关系。艰苦经历需选五项不同技能与一段移除关系；人类不应知道之事需选非自然相关精神疾病。游戏中新损失另行记录。</t>
        </r>
      </text>
    </comment>
    <comment ref="DF54" authorId="2">
      <text>
        <r>
          <rPr>
            <sz val="8"/>
            <color rgb="FF000000"/>
            <rFont val="等线"/>
            <family val="2"/>
          </rPr>
          <t xml:space="preserve">填创伤前的意志，通常为3～18。“关押或入狱”自动减3；初始理智仍从原始值×5扣除背景损失，不再因这3点意志额外下降。</t>
        </r>
      </text>
    </comment>
    <comment ref="DR54" authorId="2">
      <text>
        <r>
          <rPr>
            <sz val="8"/>
            <color rgb="FF000000"/>
            <rFont val="等线"/>
            <family val="2"/>
          </rPr>
          <t xml:space="preserve">填创伤前的魅力，通常为3～18。“极端暴力”自动减3，关系按修正后魅力初始化，只扣一次。</t>
        </r>
      </text>
    </comment>
    <comment ref="DF55" authorId="2">
      <text>
        <r>
          <rPr>
            <sz val="8"/>
            <color rgb="FF000000"/>
            <rFont val="等线"/>
            <family val="2"/>
          </rPr>
          <t xml:space="preserve">仅艰苦经历生效。1～7对应自上而下七段关系，所选关系值归0并保留名字；不降低其他关系。</t>
        </r>
      </text>
    </comment>
    <comment ref="DR55" authorId="2">
      <text>
        <r>
          <rPr>
            <sz val="8"/>
            <color rgb="FF000000"/>
            <rFont val="等线"/>
            <family val="2"/>
          </rPr>
          <t xml:space="preserve">用于“人类不应知道之事”的非自然相关疾病，可与掌局者确定症状和诱因。选定后自动带入背景，症状不自动修改技能值。</t>
        </r>
      </text>
    </comment>
    <comment ref="DF57" authorId="2">
      <text>
        <r>
          <rPr>
            <sz val="8"/>
            <color rgb="FF000000"/>
            <rFont val="等线"/>
            <family val="2"/>
          </rPr>
          <t xml:space="preserve">选五个不同技能，各+10、最高90%，非自然知识除外；同名重复只计一次。神秘学已有固定+10，若再选入五项可另加10，仍受90%限制。</t>
        </r>
      </text>
    </comment>
    <comment ref="CZ22" authorId="2">
      <text>
        <r>
          <rPr>
            <sz val="8"/>
            <color rgb="FF000000"/>
            <rFont val="等线"/>
            <family val="2"/>
          </rPr>
          <t xml:space="preserve">对象须是活着且能互动的人或小群体。创建时每段关系值＝魅力，数量由职业决定。普通关系值不高于魅力；魅力降低时各关系同减。归0即破裂，保留划去的记录；游戏中手动更新实际关系值。</t>
        </r>
      </text>
    </comment>
    <comment ref="EF23" authorId="2">
      <text>
        <r>
          <rPr>
            <sz val="8"/>
            <color rgb="FF000000"/>
            <rFont val="等线"/>
            <family val="2"/>
          </rPr>
          <t xml:space="preserve">√为绿色三角洲队友关系，×为其他关系。新建DG关系不直接使用满魅力初始值，按共同灾难后的规则建立或加强，并结算普通关系代价。</t>
        </r>
      </text>
    </comment>
    <comment ref="BI17" authorId="2">
      <text>
        <r>
          <rPr>
            <sz val="8"/>
            <color rgb="FF000000"/>
            <rFont val="等线"/>
            <family val="2"/>
          </rPr>
          <t xml:space="preserve">人生动力最多五条，每次达到崩溃点去除一条。精神疾病记录诱因与症状；痊愈后标记“已痊愈”并保留记录。创伤疾病会自动带入，直接改写内容将替换自动引用。</t>
        </r>
      </text>
    </comment>
    <comment ref="EI16" authorId="2">
      <text>
        <r>
          <rPr>
            <sz val="8"/>
            <color rgb="FF000000"/>
            <rFont val="等线"/>
            <family val="2"/>
          </rPr>
          <t xml:space="preserve">体力降至2或以下时需体质×5检定，失败可能造成永久属性损失。记录伤残、持续疾病或成瘾的影响；本栏不自动修改属性。</t>
        </r>
      </text>
    </comment>
    <comment ref="BX2" authorId="2">
      <text>
        <r>
          <rPr>
            <sz val="8"/>
            <color rgb="FF000000"/>
            <rFont val="等线"/>
            <family val="2"/>
          </rPr>
          <t xml:space="preserve">为现有技能或属性增加特定用途，不单独增加技能等级。常见训练需10～20小时指导练习；缺少所需特训的后果由掌局者判断。</t>
        </r>
      </text>
    </comment>
    <comment ref="DM13" authorId="2">
      <text>
        <r>
          <rPr>
            <sz val="8"/>
            <color rgb="FF000000"/>
            <rFont val="等线"/>
            <family val="2"/>
          </rPr>
          <t xml:space="preserve">引用对应技能总值；瞄准、距离、遮蔽、霰弹与爆炸等情景修正另计。部分武器还需特训。</t>
        </r>
      </text>
    </comment>
    <comment ref="DQ13" authorId="2">
      <text>
        <r>
          <rPr>
            <sz val="8"/>
            <color rgb="FF000000"/>
            <rFont val="等线"/>
            <family val="2"/>
          </rPr>
          <t xml:space="preserve">骰式为普通伤害，百分比为致死等级；并列时按实际射击模式结算。致死检定成功使普通人类目标体力归0；失败将两颗D10相加，0按10。掩体、巨型及超然目标另计。</t>
        </r>
      </text>
    </comment>
    <comment ref="DW13" authorId="2">
      <text>
        <r>
          <rPr>
            <sz val="8"/>
            <color rgb="FF000000"/>
            <rFont val="等线"/>
            <family val="2"/>
          </rPr>
          <t xml:space="preserve">减少本次可用护甲等级，不直接增加伤害。爆炸武器的穿甲只对指定目标生效，不作用于击杀半径内其他受害者。</t>
        </r>
      </text>
    </comment>
    <comment ref="DZ13" authorId="2">
      <text>
        <r>
          <rPr>
            <sz val="8"/>
            <color rgb="FF000000"/>
            <rFont val="等线"/>
            <family val="2"/>
          </rPr>
          <t xml:space="preserve">以米计。超过基础射程但不到两倍通常−20%；超过两倍但不到五倍通常−40%。机枪支架、霰弹类型等特例另计。</t>
        </r>
      </text>
    </comment>
    <comment ref="ED13" authorId="2">
      <text>
        <r>
          <rPr>
            <sz val="8"/>
            <color rgb="FF000000"/>
            <rFont val="等线"/>
            <family val="2"/>
          </rPr>
          <t xml:space="preserve">以米计。成功的范围攻击对指定目标周围半径内角色施加致死检定，也可能造成压制。连射半径随射击模式变化，位置与掩体由掌局者判断。</t>
        </r>
      </text>
    </comment>
    <comment ref="EQ13" authorId="2">
      <text>
        <r>
          <rPr>
            <sz val="8"/>
            <color rgb="FF000000"/>
            <rFont val="等线"/>
            <family val="2"/>
          </rPr>
          <t xml:space="preserve">力量1～4：−2；5～8：−1；9～12：0；13～16：+1；17～18：+2。加入近战伤害后最低为0；武器骰式尚未包含此加成。</t>
        </r>
      </text>
    </comment>
    <comment ref="EK8" authorId="2">
      <text>
        <r>
          <rPr>
            <sz val="8"/>
            <color rgb="FF000000"/>
            <rFont val="等线"/>
            <family val="2"/>
          </rPr>
          <t xml:space="preserve">护甲抵减普通体力伤害，不能阻止成功致死检定；掩体另计。多来源护甲可叠加，先计算穿甲。此处只记录装备，不自动结算受伤量。</t>
        </r>
      </text>
    </comment>
  </commentList>
</comments>
</file>

<file path=xl/sharedStrings.xml><?xml version="1.0" encoding="utf-8"?>
<sst xmlns="http://schemas.openxmlformats.org/spreadsheetml/2006/main" count="20709" uniqueCount="3363">
  <si>
    <t>物品</t>
  </si>
  <si>
    <t>※ 属性</t>
  </si>
  <si>
    <t>数值</t>
  </si>
  <si>
    <t>×5</t>
  </si>
  <si>
    <t>暂降</t>
  </si>
  <si>
    <t>突出值解释</t>
  </si>
  <si>
    <t>头像</t>
  </si>
  <si>
    <t>※ 特训</t>
  </si>
  <si>
    <t>对应技能或属性</t>
  </si>
  <si>
    <t>※ 物品</t>
  </si>
  <si>
    <t>玩家</t>
  </si>
  <si>
    <t>力量</t>
  </si>
  <si>
    <t>STR</t>
  </si>
  <si>
    <t>特工</t>
  </si>
  <si>
    <t>体质</t>
  </si>
  <si>
    <t>CON</t>
  </si>
  <si>
    <t>性别</t>
  </si>
  <si>
    <t>年龄</t>
  </si>
  <si>
    <t>敏捷</t>
  </si>
  <si>
    <t>DEX</t>
  </si>
  <si>
    <t>国籍</t>
  </si>
  <si>
    <t>年代</t>
  </si>
  <si>
    <t>智力</t>
  </si>
  <si>
    <t>INT</t>
  </si>
  <si>
    <t>雇主</t>
  </si>
  <si>
    <t>意志</t>
  </si>
  <si>
    <t>POW</t>
  </si>
  <si>
    <t>职位</t>
  </si>
  <si>
    <t>魅力</t>
  </si>
  <si>
    <t>CHA</t>
  </si>
  <si>
    <t>护甲</t>
  </si>
  <si>
    <t>原始合计：</t>
  </si>
  <si>
    <t>总本职技能点：</t>
  </si>
  <si>
    <t>（初始重要关系数：</t>
  </si>
  <si>
    <t>总额外技能点：</t>
  </si>
  <si>
    <t>体力</t>
  </si>
  <si>
    <t>毅力</t>
  </si>
  <si>
    <t>理智</t>
  </si>
  <si>
    <t>崩溃点</t>
  </si>
  <si>
    <t>适应暴力</t>
  </si>
  <si>
    <t>Hit Points</t>
  </si>
  <si>
    <t>Willpower Points</t>
  </si>
  <si>
    <t>Sanity</t>
  </si>
  <si>
    <t>Breaking Point</t>
  </si>
  <si>
    <t>适应无力</t>
  </si>
  <si>
    <t>※ 技能</t>
  </si>
  <si>
    <t>总计</t>
  </si>
  <si>
    <t>初始</t>
  </si>
  <si>
    <t>职业</t>
  </si>
  <si>
    <t>额外</t>
  </si>
  <si>
    <t>成长</t>
  </si>
  <si>
    <t>※ 背景故事</t>
  </si>
  <si>
    <t>※ 武器</t>
  </si>
  <si>
    <t>技能%</t>
  </si>
  <si>
    <t>伤害/致死%</t>
  </si>
  <si>
    <t>穿甲</t>
  </si>
  <si>
    <t>基础射程</t>
  </si>
  <si>
    <t>半径</t>
  </si>
  <si>
    <t>近战伤害加成</t>
  </si>
  <si>
    <t>☐</t>
  </si>
  <si>
    <t>会计学</t>
  </si>
  <si>
    <t>法律</t>
  </si>
  <si>
    <t>外貌描述</t>
  </si>
  <si>
    <t>匕首</t>
  </si>
  <si>
    <t>Damage Bonus</t>
  </si>
  <si>
    <t>警觉</t>
  </si>
  <si>
    <t>医学</t>
  </si>
  <si>
    <t>人类学</t>
  </si>
  <si>
    <t>近战武器</t>
  </si>
  <si>
    <t>※ 永久伤残、顽疾或成瘾症</t>
  </si>
  <si>
    <t>考古学</t>
  </si>
  <si>
    <t>军事科学：</t>
  </si>
  <si>
    <t>人生动力
及
精神疾病</t>
  </si>
  <si>
    <t>艺术：</t>
  </si>
  <si>
    <t>导航</t>
  </si>
  <si>
    <t>炮术</t>
  </si>
  <si>
    <t>神秘学</t>
  </si>
  <si>
    <t>运动</t>
  </si>
  <si>
    <t>说服</t>
  </si>
  <si>
    <t>※ 重要关系</t>
  </si>
  <si>
    <t>关系数：</t>
  </si>
  <si>
    <t>魅力：</t>
  </si>
  <si>
    <t>※ 其他笔记</t>
  </si>
  <si>
    <t>行政</t>
  </si>
  <si>
    <t>药学</t>
  </si>
  <si>
    <t>值</t>
  </si>
  <si>
    <t>DG</t>
  </si>
  <si>
    <t>计算机科学</t>
  </si>
  <si>
    <t>特种载具：</t>
  </si>
  <si>
    <t>×</t>
  </si>
  <si>
    <t>工艺：</t>
  </si>
  <si>
    <t>精神治疗</t>
  </si>
  <si>
    <t>骑术</t>
  </si>
  <si>
    <t>犯罪学</t>
  </si>
  <si>
    <t>科学：</t>
  </si>
  <si>
    <t>爆破</t>
  </si>
  <si>
    <t>乔装</t>
  </si>
  <si>
    <t>闪避</t>
  </si>
  <si>
    <t>搜寻</t>
  </si>
  <si>
    <t>机动车驾驶</t>
  </si>
  <si>
    <t>信号情报</t>
  </si>
  <si>
    <t>射击</t>
  </si>
  <si>
    <t>潜藏</t>
  </si>
  <si>
    <t>急救</t>
  </si>
  <si>
    <t>手术</t>
  </si>
  <si>
    <t>外语：</t>
  </si>
  <si>
    <t>生存</t>
  </si>
  <si>
    <t>游泳</t>
  </si>
  <si>
    <t>徒手搏斗</t>
  </si>
  <si>
    <t>法证学</t>
  </si>
  <si>
    <t>非自然知识</t>
  </si>
  <si>
    <t>—</t>
  </si>
  <si>
    <t>重型机械</t>
  </si>
  <si>
    <t>重型武器</t>
  </si>
  <si>
    <t>历史</t>
  </si>
  <si>
    <t>人源情报</t>
  </si>
  <si>
    <t>职业模板：</t>
  </si>
  <si>
    <t>科学家</t>
  </si>
  <si>
    <t>可选额外技能包：</t>
  </si>
  <si>
    <t>运动员</t>
  </si>
  <si>
    <t>创伤背景：</t>
  </si>
  <si>
    <t>人类不应知道之事</t>
  </si>
  <si>
    <t>子模板：</t>
  </si>
  <si>
    <t>情报分析员</t>
  </si>
  <si>
    <t>重要关系数：</t>
  </si>
  <si>
    <t>额外技能（每项+20）</t>
  </si>
  <si>
    <t/>
  </si>
  <si>
    <t>原始意志</t>
  </si>
  <si>
    <t>原始魅力</t>
  </si>
  <si>
    <t>移除关系</t>
  </si>
  <si>
    <t>心理疾病</t>
  </si>
  <si>
    <t>艰苦1</t>
  </si>
  <si>
    <t>艰苦2</t>
  </si>
  <si>
    <t>艰苦3</t>
  </si>
  <si>
    <t>艰苦4</t>
  </si>
  <si>
    <t>艰苦5</t>
  </si>
  <si>
    <t>骰子属性设置指令</t>
  </si>
  <si>
    <t xml:space="preserve">复制方法：（需要Excel 2019或更新版本）
1. 选择右方单元格，复制。
2. 粘贴到任意单元格，在一旁的下拉菜单选择“复制值”。
3. 复制该值。
</t>
  </si>
  <si>
    <t>生成6个属性的骰子指令</t>
  </si>
  <si>
    <t>.r6#4d6k3</t>
  </si>
  <si>
    <t>职业名</t>
  </si>
  <si>
    <t>推荐属性</t>
  </si>
  <si>
    <t>重要关系数</t>
  </si>
  <si>
    <t>固定职业技能</t>
  </si>
  <si>
    <t>自由职业技能数</t>
  </si>
  <si>
    <t>自由职业技能选项</t>
  </si>
  <si>
    <t>子模板</t>
  </si>
  <si>
    <t>建议额外技能</t>
  </si>
  <si>
    <t>装备</t>
  </si>
  <si>
    <t>（创建新职业）</t>
  </si>
  <si>
    <t>≤4</t>
  </si>
  <si>
    <t>（主持人自定义职业模板栏位）</t>
  </si>
  <si>
    <t>（这几栏可以自由编辑）</t>
  </si>
  <si>
    <t>（一般用于主持人提供的职业模板）</t>
  </si>
  <si>
    <t>（玩家自定义模板不建议放这里）</t>
  </si>
  <si>
    <t>（直接填写技能即可，毕竟模板只是参考）</t>
  </si>
  <si>
    <t>人类学家或历史学家</t>
  </si>
  <si>
    <t>人类学50%或考古学50%</t>
  </si>
  <si>
    <t>行政40%</t>
  </si>
  <si>
    <t>外语（任选）50%</t>
  </si>
  <si>
    <t>外语（任选）40%</t>
  </si>
  <si>
    <t>历史60%</t>
  </si>
  <si>
    <t>神秘学40%</t>
  </si>
  <si>
    <t>说服40%</t>
  </si>
  <si>
    <t>人类学40%</t>
  </si>
  <si>
    <t>考古学40%</t>
  </si>
  <si>
    <t>人源情报50%</t>
  </si>
  <si>
    <t>导航50%</t>
  </si>
  <si>
    <t>骑术50%</t>
  </si>
  <si>
    <t>搜寻60%</t>
  </si>
  <si>
    <t>生存50%</t>
  </si>
  <si>
    <t>计算机科学家或工程师</t>
  </si>
  <si>
    <t>计算机科学60%</t>
  </si>
  <si>
    <t>工艺（电工）30%</t>
  </si>
  <si>
    <t>工艺（机械）30%</t>
  </si>
  <si>
    <t>工艺（微电子）40%</t>
  </si>
  <si>
    <t>科学（数学）40%</t>
  </si>
  <si>
    <t>信号情报40%</t>
  </si>
  <si>
    <t>会计学50%</t>
  </si>
  <si>
    <t>行政50%</t>
  </si>
  <si>
    <t>工艺（任选）40%</t>
  </si>
  <si>
    <t>重型机械50%</t>
  </si>
  <si>
    <t>法律40%</t>
  </si>
  <si>
    <t>科学（任选）40%</t>
  </si>
  <si>
    <t>联邦探员</t>
  </si>
  <si>
    <t>体质，意志，魅力</t>
  </si>
  <si>
    <t>警觉50%</t>
  </si>
  <si>
    <t>犯罪学50%</t>
  </si>
  <si>
    <t>机动车驾驶50%</t>
  </si>
  <si>
    <t>射击50%</t>
  </si>
  <si>
    <t>法证学30%</t>
  </si>
  <si>
    <t>人源情报60%</t>
  </si>
  <si>
    <t>法律30%</t>
  </si>
  <si>
    <t>说服50%</t>
  </si>
  <si>
    <t>搜寻50%</t>
  </si>
  <si>
    <t>徒手搏斗60%</t>
  </si>
  <si>
    <t>会计学60%</t>
  </si>
  <si>
    <t>计算机科学50%</t>
  </si>
  <si>
    <t>重型武器50%</t>
  </si>
  <si>
    <t>药学50%</t>
  </si>
  <si>
    <t>医生</t>
  </si>
  <si>
    <t>智力，意志，敏捷</t>
  </si>
  <si>
    <t>急救60%</t>
  </si>
  <si>
    <t>医学60%</t>
  </si>
  <si>
    <t>科学（生物学）60%</t>
  </si>
  <si>
    <t>搜寻40%</t>
  </si>
  <si>
    <t>法证学50%</t>
  </si>
  <si>
    <t>精神治疗60%</t>
  </si>
  <si>
    <t>科学（任选）50%</t>
  </si>
  <si>
    <t>手术50%</t>
  </si>
  <si>
    <t>计算机科学40%</t>
  </si>
  <si>
    <t>科学（任选）60%</t>
  </si>
  <si>
    <t>法证学40%</t>
  </si>
  <si>
    <t>药学40%</t>
  </si>
  <si>
    <t>特种作战员</t>
  </si>
  <si>
    <t>力量，体质，意志</t>
  </si>
  <si>
    <t>警觉60%</t>
  </si>
  <si>
    <t>运动60%</t>
  </si>
  <si>
    <t>爆破40%</t>
  </si>
  <si>
    <t>射击60%</t>
  </si>
  <si>
    <t>近战武器50%</t>
  </si>
  <si>
    <t>军事科学（陆军）60%</t>
  </si>
  <si>
    <t>潜藏50%</t>
  </si>
  <si>
    <t>游泳50%</t>
  </si>
  <si>
    <t>【额外】罪犯</t>
  </si>
  <si>
    <t>力量，敏捷</t>
  </si>
  <si>
    <t>运动50%</t>
  </si>
  <si>
    <t>犯罪学60%</t>
  </si>
  <si>
    <t>闪避40%</t>
  </si>
  <si>
    <t>射击40%</t>
  </si>
  <si>
    <t>法律20%</t>
  </si>
  <si>
    <t>近战武器40%</t>
  </si>
  <si>
    <t>徒手搏斗50%</t>
  </si>
  <si>
    <t>工艺（锁匠）40%</t>
  </si>
  <si>
    <t>乔装50%</t>
  </si>
  <si>
    <t>神秘学50%</t>
  </si>
  <si>
    <t>【额外】消防队员</t>
  </si>
  <si>
    <t>力量，敏捷，体质</t>
  </si>
  <si>
    <t>工艺（电工）40%</t>
  </si>
  <si>
    <t>工艺（机械）40%</t>
  </si>
  <si>
    <t>爆破50%</t>
  </si>
  <si>
    <t>急救50%</t>
  </si>
  <si>
    <t>【额外】外事官员</t>
  </si>
  <si>
    <t>智力，魅力</t>
  </si>
  <si>
    <t>会计学40%</t>
  </si>
  <si>
    <t>行政60%</t>
  </si>
  <si>
    <t>历史40%</t>
  </si>
  <si>
    <t>【额外】情报分析员</t>
  </si>
  <si>
    <t>犯罪学40%</t>
  </si>
  <si>
    <t>【额外】情报官员</t>
  </si>
  <si>
    <t>智力，意志，魅力</t>
  </si>
  <si>
    <t>机动车驾驶40%</t>
  </si>
  <si>
    <t>说服60%</t>
  </si>
  <si>
    <t>【额外】律师或商务主管</t>
  </si>
  <si>
    <t>人源情报40%</t>
  </si>
  <si>
    <t>法律50%</t>
  </si>
  <si>
    <t>【额外】媒体专家</t>
  </si>
  <si>
    <t>艺术（任选）60%</t>
  </si>
  <si>
    <t>艺术（任选）40%</t>
  </si>
  <si>
    <t>军事科学（任选）40%</t>
  </si>
  <si>
    <t>【额外】护士或护理人员</t>
  </si>
  <si>
    <t>警觉40%</t>
  </si>
  <si>
    <t>医学40%</t>
  </si>
  <si>
    <t>科学（生物学）40%</t>
  </si>
  <si>
    <t>机动车驾驶60%</t>
  </si>
  <si>
    <t>精神治疗50%</t>
  </si>
  <si>
    <t>【额外】飞行员或水手</t>
  </si>
  <si>
    <t>敏捷，智力</t>
  </si>
  <si>
    <t>行政30%</t>
  </si>
  <si>
    <t>特种载具（任选）60%</t>
  </si>
  <si>
    <t>科学（气象学）40%</t>
  </si>
  <si>
    <t>游泳40%</t>
  </si>
  <si>
    <t>特种载具（任选）50%</t>
  </si>
  <si>
    <t>军事科学（任选）50%</t>
  </si>
  <si>
    <t>【额外】警察</t>
  </si>
  <si>
    <t>急救30%</t>
  </si>
  <si>
    <t>导航40%</t>
  </si>
  <si>
    <t>重型机械60%</t>
  </si>
  <si>
    <t>骑术60%</t>
  </si>
  <si>
    <t>【额外】项目群经理</t>
  </si>
  <si>
    <t>犯罪学30%</t>
  </si>
  <si>
    <t>人类学30%</t>
  </si>
  <si>
    <t>艺术（任选）30%</t>
  </si>
  <si>
    <t>工艺（任选）30%</t>
  </si>
  <si>
    <t>科学（任选）30%</t>
  </si>
  <si>
    <t>【额外】士兵或海军陆战队员</t>
  </si>
  <si>
    <t>力量，体质</t>
  </si>
  <si>
    <t>急救40%</t>
  </si>
  <si>
    <t>军事科学（陆军）40%</t>
  </si>
  <si>
    <t>说服30%</t>
  </si>
  <si>
    <t>炮术40%</t>
  </si>
  <si>
    <t>重型武器40%</t>
  </si>
  <si>
    <t>游泳60%</t>
  </si>
  <si>
    <t>FBI / 犯罪调查处（CID）</t>
  </si>
  <si>
    <t>科学（化学）</t>
  </si>
  <si>
    <t>FBI / 国家安保部（NSB）</t>
  </si>
  <si>
    <t>情报官员</t>
  </si>
  <si>
    <t>外语</t>
  </si>
  <si>
    <t>FBI / 调查与行动支援科（IOSS）</t>
  </si>
  <si>
    <t>计算机科学家</t>
  </si>
  <si>
    <t>科学（任选）</t>
  </si>
  <si>
    <t>收藏广泛的专业图书馆，ViCAP的使用权限，且/或使用最先进的犯罪学软件。</t>
  </si>
  <si>
    <t>FBI / 情报部</t>
  </si>
  <si>
    <t>语言培训材料或电子监控设备。</t>
  </si>
  <si>
    <t>FBI / 人质救援队（HRT）或特警队（SWAT）</t>
  </si>
  <si>
    <t>闪避50%</t>
  </si>
  <si>
    <t>DEA / 行动分处</t>
  </si>
  <si>
    <t>警察</t>
  </si>
  <si>
    <t>DEA / 行动支援分处</t>
  </si>
  <si>
    <t>律师</t>
  </si>
  <si>
    <t>项目群经理</t>
  </si>
  <si>
    <t>专业资料库和技术设备。</t>
  </si>
  <si>
    <t>DEA / 特种作战科（SOD）</t>
  </si>
  <si>
    <t>窃听装置及电子监控设备。</t>
  </si>
  <si>
    <t>DEA / 海外部署咨询与支援小组（FAST）</t>
  </si>
  <si>
    <t>外语（任选）30%</t>
  </si>
  <si>
    <t>重型武器30%</t>
  </si>
  <si>
    <t>人源情报30%</t>
  </si>
  <si>
    <t>军事科学（陆军）30%</t>
  </si>
  <si>
    <t>药学30%</t>
  </si>
  <si>
    <t>生存30%</t>
  </si>
  <si>
    <t>ICE / 国土调查处（HSI）</t>
  </si>
  <si>
    <t>ICE / HIS，情报办公室</t>
  </si>
  <si>
    <t>媒体专家</t>
  </si>
  <si>
    <t>ICE / 特别应对小组（SRT）</t>
  </si>
  <si>
    <t>潜藏40%</t>
  </si>
  <si>
    <t>ICE / 遣返行动执法处（ERO）</t>
  </si>
  <si>
    <t>USMS / 调查行动处</t>
  </si>
  <si>
    <t>USMS / 特种行动队（SOG）</t>
  </si>
  <si>
    <t>运动40%</t>
  </si>
  <si>
    <t>陆军 / 传染病医学研究院（USAMRIID）</t>
  </si>
  <si>
    <t>军事科学</t>
  </si>
  <si>
    <t>科学（生物学）</t>
  </si>
  <si>
    <t>有关传染病生物战的大量藏书；能够取得高科技实验器材（包括最高级的生物安全装备）以及世界上最危险的微生物样本。</t>
  </si>
  <si>
    <t>陆军 / 第902军事情报大队</t>
  </si>
  <si>
    <t>士兵</t>
  </si>
  <si>
    <t>外语（任选）</t>
  </si>
  <si>
    <t>陆军 / 第10山地师</t>
  </si>
  <si>
    <t>陆军 / 第1旅，第1骑兵师（“铁马旅”）</t>
  </si>
  <si>
    <t>重型机械40%</t>
  </si>
  <si>
    <t>陆军（陆军）40%</t>
  </si>
  <si>
    <t>潜藏30%</t>
  </si>
  <si>
    <t>陆军 / 医疗兵团</t>
  </si>
  <si>
    <t>用来诊断和治疗的大量医用工具，包括便携式手术器材或特化装备。</t>
  </si>
  <si>
    <t>陆军SOCOM / 第1特种作战群</t>
  </si>
  <si>
    <t>外语（任选）20%</t>
  </si>
  <si>
    <t>陆军SOCOM / 第75游骑兵团</t>
  </si>
  <si>
    <t>陆军SOCOM / 第4军事信息支援大队</t>
  </si>
  <si>
    <t>艺术（任选）40</t>
  </si>
  <si>
    <t>计算机科学40</t>
  </si>
  <si>
    <t>工艺（任选）40</t>
  </si>
  <si>
    <t>外语（任选）40</t>
  </si>
  <si>
    <t>陆军SOCOM / 第160特种作战航空团（“暗夜潜行者”）</t>
  </si>
  <si>
    <t>军事科学（空军）60%</t>
  </si>
  <si>
    <t>军事科学（陆军）20%</t>
  </si>
  <si>
    <t>导航60%</t>
  </si>
  <si>
    <t>特种载具（直升机）60%</t>
  </si>
  <si>
    <t>科学（气象学）50%</t>
  </si>
  <si>
    <t>特种载具</t>
  </si>
  <si>
    <t>陆军SOCOM / 情报支持行动处</t>
  </si>
  <si>
    <t>信号情报50%</t>
  </si>
  <si>
    <t>空军 / 第41救援中队</t>
  </si>
  <si>
    <t>飞行员</t>
  </si>
  <si>
    <t>特种载具（直升机）</t>
  </si>
  <si>
    <t>故障排除手册，飞行器检查清单，可以访问机密的地理空间数据和摄影材料。</t>
  </si>
  <si>
    <t>空军 / 614航空航天运营中心</t>
  </si>
  <si>
    <t>工艺（微电子）</t>
  </si>
  <si>
    <t>可以访问夏安山，以及从国防到民用领域的有关太空的机密报告。</t>
  </si>
  <si>
    <t>空军 / 432d行动小组</t>
  </si>
  <si>
    <t>特种载具（无人机）</t>
  </si>
  <si>
    <t>工艺（电子学）</t>
  </si>
  <si>
    <t>故障排除手册，飞行检查清单，可以访问机密的地理空间数据和摄影材料。</t>
  </si>
  <si>
    <t>空军 / 第70情报、监视和侦察（ISR）联队</t>
  </si>
  <si>
    <t>科学（数学）</t>
  </si>
  <si>
    <t>空军 / 第354战斗机中队</t>
  </si>
  <si>
    <t>特种载具（飞机）</t>
  </si>
  <si>
    <t>故障排除手册，飞行检查清单，可以访问飞机以及相关业务设施。</t>
  </si>
  <si>
    <t>空军 / 第318网络空间运营小组</t>
  </si>
  <si>
    <t>空军SOCOM / 第24特战联队，第720特种战术大队</t>
  </si>
  <si>
    <t>海军 / 罪案调查处（NCIS）</t>
  </si>
  <si>
    <t>海军 / 爆炸品处理部队（EOD）</t>
  </si>
  <si>
    <t>爆破60%</t>
  </si>
  <si>
    <t>军事科学（海军）50%</t>
  </si>
  <si>
    <t>特种载具（任选）40%</t>
  </si>
  <si>
    <t>机械和工程工具，个人防护装备（PPE），硬化手套和护目镜，一个大型的物理科学、化学和爆破学图书馆。</t>
  </si>
  <si>
    <t>海军 / 医务兵</t>
  </si>
  <si>
    <t>便携式医疗器械。</t>
  </si>
  <si>
    <t>海军SOCOM / 特种作战开发群&amp;三栖特战队第一小队</t>
  </si>
  <si>
    <t>特种载具（小船）40%</t>
  </si>
  <si>
    <t>生存60%</t>
  </si>
  <si>
    <t>海军陆战队 / 武装侦察部队</t>
  </si>
  <si>
    <t>潜藏60%</t>
  </si>
  <si>
    <t>海军陆战队 / 公共事务处战地摄影师</t>
  </si>
  <si>
    <t>艺术（摄影，或摄像）50%</t>
  </si>
  <si>
    <t>计算机科学30%</t>
  </si>
  <si>
    <t>工艺（电子学）30%</t>
  </si>
  <si>
    <t>生存40%</t>
  </si>
  <si>
    <t>艺术（任选）50%</t>
  </si>
  <si>
    <t>艺术（摄影或摄像）</t>
  </si>
  <si>
    <t>海军陆战队 / 海上特殊目的部队</t>
  </si>
  <si>
    <t>照相机或摄像机，制作及监控设备。</t>
  </si>
  <si>
    <t>海军陆战队 / 海军陆战保安团</t>
  </si>
  <si>
    <t>海军陆战队SOCOM / 陆战队突击团</t>
  </si>
  <si>
    <t>CIA / 行动处（DO）</t>
  </si>
  <si>
    <t>能调阅机密报告。</t>
  </si>
  <si>
    <t>CIA / 特别活动处特种作战组（SAD/SOG）</t>
  </si>
  <si>
    <t>军事科学（陆军）50%</t>
  </si>
  <si>
    <t>CIA / 特别活动处政治行动组（SAD/PAG）</t>
  </si>
  <si>
    <t>乔装40%</t>
  </si>
  <si>
    <t>CIA / 分析科（DA）</t>
  </si>
  <si>
    <t>DOS / 西半球事务局</t>
  </si>
  <si>
    <t>外事官员</t>
  </si>
  <si>
    <t>调阅其所负责区域的机密报告。笔记本电脑，卫星电话，能连接DOS非密系统的手机。</t>
  </si>
  <si>
    <t>DOS / 外交安全局（FSO）</t>
  </si>
  <si>
    <t>DOS / 外交信使</t>
  </si>
  <si>
    <t>数额惊人的航空常客里程和酒店积分。</t>
  </si>
  <si>
    <t>DOS / 国际毒品与执法事务局（INL）</t>
  </si>
  <si>
    <t>DOS / 情报研究局（INR）</t>
  </si>
  <si>
    <t>调阅机密情报库，包括其他组织的。</t>
  </si>
  <si>
    <t>CDC / 预防和应对中心</t>
  </si>
  <si>
    <t>科学（合适的专业）</t>
  </si>
  <si>
    <t>CDC / 紧急行动中心</t>
  </si>
  <si>
    <t>一个大型的专业图书馆；诊断实验室设备；医疗和/或保健设备（主要为便携式或加固的外出用设备），包括防护服和个人防护装备。</t>
  </si>
  <si>
    <t>CDC / 全球快速反应小组（RRT）</t>
  </si>
  <si>
    <t>便携式诊断实验室设备；医疗和/或保健设备（主要为便携式或加固的外出用设备）；电子图书馆，内容包括药品、毒理学、野外诊断、野外生存野外指南、解剖学和外语；以及一本带有若干出入境印章的护照。</t>
  </si>
  <si>
    <t>CDC / 公共卫生服务军官团（PHSCC）</t>
  </si>
  <si>
    <t>护士</t>
  </si>
  <si>
    <t>EPA / 刑事执法、司法鉴证与培训处（OCEFT）</t>
  </si>
  <si>
    <t>科学（生物、化学或环境) 40%</t>
  </si>
  <si>
    <t>科学（生物/化学/环境）</t>
  </si>
  <si>
    <t>EPA / 区域办事处专家</t>
  </si>
  <si>
    <t>科学（化学或环境学）60%</t>
  </si>
  <si>
    <t>科学（植物学或生物学）50%</t>
  </si>
  <si>
    <t>环境监测设备，如化学嗅探器和取样设备、政府发放的笔记本电脑、呼吸器、B级危险品防护服和能够防护到脚趾的防护靴。</t>
  </si>
  <si>
    <t>CBP / 边境保护（预先清关或入国审查）（OFO/P）</t>
  </si>
  <si>
    <t>CBP / 海上拦截（AMO/MI）</t>
  </si>
  <si>
    <t>外语（西班牙语）50%</t>
  </si>
  <si>
    <t>特种载具（船）60%</t>
  </si>
  <si>
    <t>CBP / 检测犬项目（OFO/K9）</t>
  </si>
  <si>
    <t>工艺（训犬）</t>
  </si>
  <si>
    <t>科学（兽医学）</t>
  </si>
  <si>
    <t>CBP / 边境巡逻队</t>
  </si>
  <si>
    <t>CBP / 边境巡逻队战术单位（SOG/BORTAC）</t>
  </si>
  <si>
    <t>行政20%</t>
  </si>
  <si>
    <t>外语（西班牙语）40%</t>
  </si>
  <si>
    <t>军事科学（陆军）</t>
  </si>
  <si>
    <t>CBP / 边境巡逻队搜索、创伤与救援单位（SOG/BORSTAR）</t>
  </si>
  <si>
    <t>科学（生物学）50%</t>
  </si>
  <si>
    <t>CBP / 国家空中安全行动（AMO/NASO）</t>
  </si>
  <si>
    <t>特种载具（飞机或无人机）</t>
  </si>
  <si>
    <t>故障排除手册、飞行检查清单，并有权使用P3侦察机或进入安全间操作无人机。</t>
  </si>
  <si>
    <t>ATF / 特种犬项目（SRT/K9）</t>
  </si>
  <si>
    <t>ATF / 特种医疗项目（SRT/TMP）</t>
  </si>
  <si>
    <t>医学30%</t>
  </si>
  <si>
    <t>科学（生物/兽医）</t>
  </si>
  <si>
    <t>ATF / 特种行动（SRT/TO）</t>
  </si>
  <si>
    <t>闪避60%</t>
  </si>
  <si>
    <t>ATF / 外勤行动及调查办公室（OFO）</t>
  </si>
  <si>
    <t>ATF / 刑事侦查分析员</t>
  </si>
  <si>
    <t>精神治疗30%</t>
  </si>
  <si>
    <t>科学（数学）50%</t>
  </si>
  <si>
    <t>可以访问FBI和ATF的数据库和档案，阅读心理学和行为科学的学术研究，以及一个颇为丰富犯罪行为资料库。</t>
  </si>
  <si>
    <t>ATF / 爆炸物专家</t>
  </si>
  <si>
    <t>科学（化学/物理学）</t>
  </si>
  <si>
    <t>USSS / 保护情报和评估处（PID）</t>
  </si>
  <si>
    <t>能阅读整个情报界的机密报告。</t>
  </si>
  <si>
    <t>USSS / 贴身警卫处（PPD）</t>
  </si>
  <si>
    <t>USSS / 反突击组（CAT）</t>
  </si>
  <si>
    <t>USSS / 财务行政、专业和技术支助（F-ATP）</t>
  </si>
  <si>
    <t>律师或商务主管</t>
  </si>
  <si>
    <t>能阅读整个情报界的重要机密报告。</t>
  </si>
  <si>
    <t>USCG / 搜救组（SAR）</t>
  </si>
  <si>
    <t>外语（西班牙语）20%</t>
  </si>
  <si>
    <t>特种载具（小船）50%</t>
  </si>
  <si>
    <t>特种载具（直升机）30%</t>
  </si>
  <si>
    <t>便携式搜救装备、水上生存装备、防寒潜水服、游泳装备。</t>
  </si>
  <si>
    <t>USCG / 响应政策办公室（CG-5R）</t>
  </si>
  <si>
    <t>军事科学（海军）</t>
  </si>
  <si>
    <t>能联系上军队各部门，并可查阅恐怖主义或军事行动的机密档案。</t>
  </si>
  <si>
    <t>USCG / 调查和伤亡分析办公室（INV）</t>
  </si>
  <si>
    <t>工艺（电工或机械）</t>
  </si>
  <si>
    <t>一个规模庞大的灾害历史和数据（车祸、飓风、洪水等）线上资料库及图书馆。</t>
  </si>
  <si>
    <t>USCG / 直升机拦截战术中队（HITRON）</t>
  </si>
  <si>
    <t>工艺（电工）50%</t>
  </si>
  <si>
    <t>工艺（机械）50%</t>
  </si>
  <si>
    <t>特种载具（直升机）50%</t>
  </si>
  <si>
    <t>工艺（机械）</t>
  </si>
  <si>
    <t>USCG / 战术执法分队（TACLET）</t>
  </si>
  <si>
    <t>军事科学（小船）</t>
  </si>
  <si>
    <t>USCG / 海上安全和保安队（MSST）</t>
  </si>
  <si>
    <t>特种载具（小船）60%</t>
  </si>
  <si>
    <t>搜寻30%</t>
  </si>
  <si>
    <t>USCG / 海上保安应变队（MSRT）</t>
  </si>
  <si>
    <t>军事科学（海军）60%</t>
  </si>
  <si>
    <t>USCG / 国家打击部队（NSF）</t>
  </si>
  <si>
    <t>科学（环境学）</t>
  </si>
  <si>
    <t>科学（气象学）</t>
  </si>
  <si>
    <t>环境和化学品监测和技术装备。</t>
  </si>
  <si>
    <t>额外技能包名</t>
  </si>
  <si>
    <t>固定额外技能名</t>
  </si>
  <si>
    <t>自由额外技能技能数</t>
  </si>
  <si>
    <t>自由额外技能</t>
  </si>
  <si>
    <t>（自选）</t>
  </si>
  <si>
    <t>艺术家，演员或音乐家</t>
  </si>
  <si>
    <t>工艺（任选）</t>
  </si>
  <si>
    <t>艺术（任选）</t>
  </si>
  <si>
    <t>作家，编辑或新闻撰稿人</t>
  </si>
  <si>
    <t>潜入训练</t>
  </si>
  <si>
    <t>工艺（电工）</t>
  </si>
  <si>
    <t>工艺（锁匠）</t>
  </si>
  <si>
    <t>蓝领工人</t>
  </si>
  <si>
    <t>政府官员</t>
  </si>
  <si>
    <t>另一项个人特长</t>
  </si>
  <si>
    <t>神职人员</t>
  </si>
  <si>
    <t>外语（任择三项）</t>
  </si>
  <si>
    <t>老兵</t>
  </si>
  <si>
    <t>电脑狂热者或黑客</t>
  </si>
  <si>
    <t>另四项个人特长</t>
  </si>
  <si>
    <t>顾问</t>
  </si>
  <si>
    <t>刑事专家</t>
  </si>
  <si>
    <t>消防员</t>
  </si>
  <si>
    <t>黑帮或卧底</t>
  </si>
  <si>
    <t>审讯官</t>
  </si>
  <si>
    <t>人文学科学位</t>
  </si>
  <si>
    <t>人类学或考古学</t>
  </si>
  <si>
    <t>另三项个人特长</t>
  </si>
  <si>
    <t>军官</t>
  </si>
  <si>
    <t>军事科学（任选）</t>
  </si>
  <si>
    <t>特种载具（任选）</t>
  </si>
  <si>
    <t>工商管理硕士</t>
  </si>
  <si>
    <t>护士，辅助医护人员或医学本科学位</t>
  </si>
  <si>
    <t>神秘事件调查员或阴谋论家</t>
  </si>
  <si>
    <t>野外探险家</t>
  </si>
  <si>
    <t>摄影师</t>
  </si>
  <si>
    <t>艺术（摄影）</t>
  </si>
  <si>
    <t>另两项个人特长</t>
  </si>
  <si>
    <t>飞行员或水手</t>
  </si>
  <si>
    <t>警官</t>
  </si>
  <si>
    <t>理科研究生</t>
  </si>
  <si>
    <t>社会工作者或刑事司法</t>
  </si>
  <si>
    <t>陆军或海军陆战队</t>
  </si>
  <si>
    <t>翻译</t>
  </si>
  <si>
    <t>城市探险家</t>
  </si>
  <si>
    <t>艺术</t>
  </si>
  <si>
    <t>工艺</t>
  </si>
  <si>
    <t>科学</t>
  </si>
  <si>
    <t>演艺</t>
  </si>
  <si>
    <t>电工</t>
  </si>
  <si>
    <t>陆军</t>
  </si>
  <si>
    <t>飞机</t>
  </si>
  <si>
    <t>天文学</t>
  </si>
  <si>
    <t>创意写作</t>
  </si>
  <si>
    <t>电子</t>
  </si>
  <si>
    <t>空军</t>
  </si>
  <si>
    <t>无人机</t>
  </si>
  <si>
    <t>生物学</t>
  </si>
  <si>
    <t>造假</t>
  </si>
  <si>
    <t>机械</t>
  </si>
  <si>
    <t>海军</t>
  </si>
  <si>
    <t>直升机</t>
  </si>
  <si>
    <t>植物学</t>
  </si>
  <si>
    <t>绘画</t>
  </si>
  <si>
    <t>锁匠</t>
  </si>
  <si>
    <t>小船</t>
  </si>
  <si>
    <t>化学</t>
  </si>
  <si>
    <t>舞蹈</t>
  </si>
  <si>
    <t>枪匠</t>
  </si>
  <si>
    <t>大船</t>
  </si>
  <si>
    <t>工程学</t>
  </si>
  <si>
    <t>唱歌</t>
  </si>
  <si>
    <t>木工</t>
  </si>
  <si>
    <t>航天飞机</t>
  </si>
  <si>
    <t>基因科学</t>
  </si>
  <si>
    <t>雕塑</t>
  </si>
  <si>
    <t>建筑学</t>
  </si>
  <si>
    <t>宇航服</t>
  </si>
  <si>
    <t>地质学</t>
  </si>
  <si>
    <t>小提琴</t>
  </si>
  <si>
    <t>微电子</t>
  </si>
  <si>
    <t>飞行器</t>
  </si>
  <si>
    <t>数学</t>
  </si>
  <si>
    <t>摄像</t>
  </si>
  <si>
    <t>管道工</t>
  </si>
  <si>
    <t>气象学</t>
  </si>
  <si>
    <t>摄影</t>
  </si>
  <si>
    <t>金属加工</t>
  </si>
  <si>
    <t>物理学</t>
  </si>
  <si>
    <t>训犬</t>
  </si>
  <si>
    <t>行星科学</t>
  </si>
  <si>
    <t>工程</t>
  </si>
  <si>
    <t>动物学</t>
  </si>
  <si>
    <t>微生物学</t>
  </si>
  <si>
    <t>环境学</t>
  </si>
  <si>
    <t>生态学</t>
  </si>
  <si>
    <t>免疫学</t>
  </si>
  <si>
    <t>海洋生物学</t>
  </si>
  <si>
    <t>兽医学</t>
  </si>
  <si>
    <t>逻辑学</t>
  </si>
  <si>
    <t>地理学</t>
  </si>
  <si>
    <t>核物理学</t>
  </si>
  <si>
    <t>天体物理学</t>
  </si>
  <si>
    <t>弹道学</t>
  </si>
  <si>
    <t>系统论</t>
  </si>
  <si>
    <t>量子理论</t>
  </si>
  <si>
    <t>航空工程</t>
  </si>
  <si>
    <t>计入暂降后的数值</t>
  </si>
  <si>
    <t>重要关系</t>
  </si>
  <si>
    <t>职业选择</t>
  </si>
  <si>
    <t>实际模板</t>
  </si>
  <si>
    <t>初步有子模板</t>
  </si>
  <si>
    <t>最终有子模板</t>
  </si>
  <si>
    <t>总模板号</t>
  </si>
  <si>
    <t>实际模板号</t>
  </si>
  <si>
    <t>正确模板</t>
  </si>
  <si>
    <t>职业技能列</t>
  </si>
  <si>
    <t>自由：</t>
  </si>
  <si>
    <t>推荐：</t>
  </si>
  <si>
    <t>特殊</t>
  </si>
  <si>
    <t>【额外】</t>
  </si>
  <si>
    <t>（额外职业并非典型的DG新人职业，一队中不应过多，请与掌局者商议后选择）</t>
  </si>
  <si>
    <t>（自定义职业请在掌局者同意后商议定制）</t>
  </si>
  <si>
    <t>自定义职业描述：</t>
  </si>
  <si>
    <t>自选额外技能描述</t>
  </si>
  <si>
    <t>任选10个本职技能，分配350</t>
  </si>
  <si>
    <t>选择8个技能（除了非自</t>
  </si>
  <si>
    <t>技能点，额外加在基础值上，</t>
  </si>
  <si>
    <t>然知识），为每一个加上</t>
  </si>
  <si>
    <t>最高至60%。重要关系自4个开</t>
  </si>
  <si>
    <t>20点。不能超过80%。可</t>
  </si>
  <si>
    <t>始每少一个（最少1个），增</t>
  </si>
  <si>
    <t>重复选择。</t>
  </si>
  <si>
    <t>加50本职技能点。</t>
  </si>
  <si>
    <t>额外技能包选择</t>
  </si>
  <si>
    <t>额外技能包列</t>
  </si>
  <si>
    <t>子模板映射</t>
  </si>
  <si>
    <t>参见《特工手册》的“本职装备：联邦探员”</t>
  </si>
  <si>
    <t>参见《特工手册》的“本职装备：特警部队”</t>
  </si>
  <si>
    <t>参见《特工手册》的“本职装备：警局警员”</t>
  </si>
  <si>
    <t>参见《特工手册》的“本职装备：特种作战员”</t>
  </si>
  <si>
    <t>（参见《特工手册》的“项目群经理”）</t>
  </si>
  <si>
    <t>创伤背景</t>
  </si>
  <si>
    <t>（无）</t>
  </si>
  <si>
    <t>极端暴力</t>
  </si>
  <si>
    <t>神秘学+10%</t>
  </si>
  <si>
    <t>理智-5</t>
  </si>
  <si>
    <t>魅力-3</t>
  </si>
  <si>
    <t>因魅力降低，每个重要关系值-3</t>
  </si>
  <si>
    <t>适应暴力行为</t>
  </si>
  <si>
    <t>与掌局者商讨背景细节</t>
  </si>
  <si>
    <t>关押或入狱</t>
  </si>
  <si>
    <t>意志-3（不影响理智）</t>
  </si>
  <si>
    <t>适应无助感</t>
  </si>
  <si>
    <t>艰苦经历</t>
  </si>
  <si>
    <t>再选5个技能+10%（非自然知识除外）</t>
  </si>
  <si>
    <t>（可提升至最多90%）</t>
  </si>
  <si>
    <t>移除一个重要关系</t>
  </si>
  <si>
    <t>神秘学+20%</t>
  </si>
  <si>
    <t>非自然知识+10%</t>
  </si>
  <si>
    <t>从理智中扣除意志</t>
  </si>
  <si>
    <t>崩溃点重置至新理智减去意志</t>
  </si>
  <si>
    <t>罹患一项由非自然现象引起的精神疾病</t>
  </si>
  <si>
    <t>人物卡输出</t>
  </si>
  <si>
    <t>职业列表</t>
  </si>
  <si>
    <t>当前模板原始行</t>
  </si>
  <si>
    <t>任选数量</t>
  </si>
  <si>
    <t>已勾数量</t>
  </si>
  <si>
    <t>有效数量</t>
  </si>
  <si>
    <t>待补固定细项</t>
  </si>
  <si>
    <t>主卡状态</t>
  </si>
  <si>
    <t>V14</t>
  </si>
  <si>
    <t>AY14</t>
  </si>
  <si>
    <t>V15</t>
  </si>
  <si>
    <t>AY15</t>
  </si>
  <si>
    <t>V16</t>
  </si>
  <si>
    <t>AY16</t>
  </si>
  <si>
    <t>V17</t>
  </si>
  <si>
    <t>AY17</t>
  </si>
  <si>
    <t>V18</t>
  </si>
  <si>
    <t>AY18</t>
  </si>
  <si>
    <t>V19</t>
  </si>
  <si>
    <t>AY19</t>
  </si>
  <si>
    <t>V20</t>
  </si>
  <si>
    <t>AY20</t>
  </si>
  <si>
    <t>V21</t>
  </si>
  <si>
    <t>AY21</t>
  </si>
  <si>
    <t>V22</t>
  </si>
  <si>
    <t>AY22</t>
  </si>
  <si>
    <t>V23</t>
  </si>
  <si>
    <t>AY23</t>
  </si>
  <si>
    <t>V24</t>
  </si>
  <si>
    <t>AY24</t>
  </si>
  <si>
    <t>V25</t>
  </si>
  <si>
    <t>AY25</t>
  </si>
  <si>
    <t>V26</t>
  </si>
  <si>
    <t>AY26</t>
  </si>
  <si>
    <t>V27</t>
  </si>
  <si>
    <t>AY27</t>
  </si>
  <si>
    <t>V28</t>
  </si>
  <si>
    <t>AY28</t>
  </si>
  <si>
    <t>V29</t>
  </si>
  <si>
    <t>AY29</t>
  </si>
  <si>
    <t>V30</t>
  </si>
  <si>
    <t>AY30</t>
  </si>
  <si>
    <t>V31</t>
  </si>
  <si>
    <t>AY31</t>
  </si>
  <si>
    <t>V32</t>
  </si>
  <si>
    <t>AY32</t>
  </si>
  <si>
    <t>V33</t>
  </si>
  <si>
    <t>AY33</t>
  </si>
  <si>
    <t>V34</t>
  </si>
  <si>
    <t>AY34</t>
  </si>
  <si>
    <t>V35</t>
  </si>
  <si>
    <t>AY35</t>
  </si>
  <si>
    <t>V36</t>
  </si>
  <si>
    <t>AY36</t>
  </si>
  <si>
    <t>V37</t>
  </si>
  <si>
    <t>AY37</t>
  </si>
  <si>
    <t>V38</t>
  </si>
  <si>
    <t>AY38</t>
  </si>
  <si>
    <t>V39</t>
  </si>
  <si>
    <t>V40</t>
  </si>
  <si>
    <t>V41</t>
  </si>
  <si>
    <t>V42</t>
  </si>
  <si>
    <t>V43</t>
  </si>
  <si>
    <t>fixed</t>
  </si>
  <si>
    <t>D2</t>
  </si>
  <si>
    <t>E2</t>
  </si>
  <si>
    <t>F2</t>
  </si>
  <si>
    <t>G2</t>
  </si>
  <si>
    <t>H2</t>
  </si>
  <si>
    <t>I2</t>
  </si>
  <si>
    <t>J2</t>
  </si>
  <si>
    <t>K2</t>
  </si>
  <si>
    <t>L2</t>
  </si>
  <si>
    <t>M2</t>
  </si>
  <si>
    <t>N2</t>
  </si>
  <si>
    <t>O2</t>
  </si>
  <si>
    <t>P2</t>
  </si>
  <si>
    <t>Q2</t>
  </si>
  <si>
    <t>R2</t>
  </si>
  <si>
    <t>S2</t>
  </si>
  <si>
    <t>free</t>
  </si>
  <si>
    <t>U2</t>
  </si>
  <si>
    <t>V2</t>
  </si>
  <si>
    <t>W2</t>
  </si>
  <si>
    <t>X2</t>
  </si>
  <si>
    <t>Y2</t>
  </si>
  <si>
    <t>Z2</t>
  </si>
  <si>
    <t>AA2</t>
  </si>
  <si>
    <t>AB2</t>
  </si>
  <si>
    <t>AC2</t>
  </si>
  <si>
    <t>AD2</t>
  </si>
  <si>
    <t>AE2</t>
  </si>
  <si>
    <t>required</t>
  </si>
  <si>
    <t>skill</t>
  </si>
  <si>
    <t>人类学|考古学</t>
  </si>
  <si>
    <t>二选一</t>
  </si>
  <si>
    <t>P62</t>
  </si>
  <si>
    <t>D8</t>
  </si>
  <si>
    <t>E8</t>
  </si>
  <si>
    <t>any</t>
  </si>
  <si>
    <t>英语|法语|德语|西班牙语|俄语|日语|阿拉伯语|汉语|韩语|意大利语|葡萄牙语|拉丁语</t>
  </si>
  <si>
    <t>外语1</t>
  </si>
  <si>
    <t>J36</t>
  </si>
  <si>
    <t>F8</t>
  </si>
  <si>
    <t>外语2</t>
  </si>
  <si>
    <t>J37</t>
  </si>
  <si>
    <t>G8</t>
  </si>
  <si>
    <t>H8</t>
  </si>
  <si>
    <t>I8</t>
  </si>
  <si>
    <t>J8</t>
  </si>
  <si>
    <t>K8</t>
  </si>
  <si>
    <t>L8</t>
  </si>
  <si>
    <t>M8</t>
  </si>
  <si>
    <t>N8</t>
  </si>
  <si>
    <t>O8</t>
  </si>
  <si>
    <t>P8</t>
  </si>
  <si>
    <t>Q8</t>
  </si>
  <si>
    <t>R8</t>
  </si>
  <si>
    <t>S8</t>
  </si>
  <si>
    <t>U8</t>
  </si>
  <si>
    <t>V8</t>
  </si>
  <si>
    <t>W8</t>
  </si>
  <si>
    <t>X8</t>
  </si>
  <si>
    <t>Y8</t>
  </si>
  <si>
    <t>Z8</t>
  </si>
  <si>
    <t>AA8</t>
  </si>
  <si>
    <t>AB8</t>
  </si>
  <si>
    <t>AC8</t>
  </si>
  <si>
    <t>AD8</t>
  </si>
  <si>
    <t>AE8</t>
  </si>
  <si>
    <t>D9</t>
  </si>
  <si>
    <t>工艺1</t>
  </si>
  <si>
    <t>J25</t>
  </si>
  <si>
    <t>E9</t>
  </si>
  <si>
    <t>工艺2</t>
  </si>
  <si>
    <t>J26</t>
  </si>
  <si>
    <t>F9</t>
  </si>
  <si>
    <t>工艺3</t>
  </si>
  <si>
    <t>J27</t>
  </si>
  <si>
    <t>G9</t>
  </si>
  <si>
    <t>科学1</t>
  </si>
  <si>
    <t>AM29</t>
  </si>
  <si>
    <t>H9</t>
  </si>
  <si>
    <t>I9</t>
  </si>
  <si>
    <t>J9</t>
  </si>
  <si>
    <t>K9</t>
  </si>
  <si>
    <t>L9</t>
  </si>
  <si>
    <t>M9</t>
  </si>
  <si>
    <t>N9</t>
  </si>
  <si>
    <t>O9</t>
  </si>
  <si>
    <t>P9</t>
  </si>
  <si>
    <t>Q9</t>
  </si>
  <si>
    <t>R9</t>
  </si>
  <si>
    <t>S9</t>
  </si>
  <si>
    <t>U9</t>
  </si>
  <si>
    <t>V9</t>
  </si>
  <si>
    <t>电工|电子|机械|锁匠|枪匠|木工|建筑学|微电子|管道工|金属加工|训犬|工程</t>
  </si>
  <si>
    <t>工艺4</t>
  </si>
  <si>
    <t>J28</t>
  </si>
  <si>
    <t>W9</t>
  </si>
  <si>
    <t>X9</t>
  </si>
  <si>
    <t>Y9</t>
  </si>
  <si>
    <t>Z9</t>
  </si>
  <si>
    <t>天文学|生物学|植物学|化学|工程学|基因科学|地质学|数学|气象学|物理学|行星科学|动物学|微生物学|环境学|生态学|免疫学|海洋生物学|兽医学|逻辑学|地理学|核物理学|天体物理学|弹道学|系统论|量子理论|航空工程</t>
  </si>
  <si>
    <t>科学2</t>
  </si>
  <si>
    <t>AM30</t>
  </si>
  <si>
    <t>AA9</t>
  </si>
  <si>
    <t>AB9</t>
  </si>
  <si>
    <t>AC9</t>
  </si>
  <si>
    <t>AD9</t>
  </si>
  <si>
    <t>AE9</t>
  </si>
  <si>
    <t>D10</t>
  </si>
  <si>
    <t>E10</t>
  </si>
  <si>
    <t>F10</t>
  </si>
  <si>
    <t>G10</t>
  </si>
  <si>
    <t>H10</t>
  </si>
  <si>
    <t>I10</t>
  </si>
  <si>
    <t>J10</t>
  </si>
  <si>
    <t>K10</t>
  </si>
  <si>
    <t>L10</t>
  </si>
  <si>
    <t>M10</t>
  </si>
  <si>
    <t>N10</t>
  </si>
  <si>
    <t>O10</t>
  </si>
  <si>
    <t>P10</t>
  </si>
  <si>
    <t>Q10</t>
  </si>
  <si>
    <t>R10</t>
  </si>
  <si>
    <t>S10</t>
  </si>
  <si>
    <t>U10</t>
  </si>
  <si>
    <t>V10</t>
  </si>
  <si>
    <t>W10</t>
  </si>
  <si>
    <t>X10</t>
  </si>
  <si>
    <t>Y10</t>
  </si>
  <si>
    <t>Z10</t>
  </si>
  <si>
    <t>AA10</t>
  </si>
  <si>
    <t>AB10</t>
  </si>
  <si>
    <t>AC10</t>
  </si>
  <si>
    <t>AD10</t>
  </si>
  <si>
    <t>AE10</t>
  </si>
  <si>
    <t>D11</t>
  </si>
  <si>
    <t>E11</t>
  </si>
  <si>
    <t>F11</t>
  </si>
  <si>
    <t>G11</t>
  </si>
  <si>
    <t>H11</t>
  </si>
  <si>
    <t>I11</t>
  </si>
  <si>
    <t>J11</t>
  </si>
  <si>
    <t>K11</t>
  </si>
  <si>
    <t>L11</t>
  </si>
  <si>
    <t>M11</t>
  </si>
  <si>
    <t>N11</t>
  </si>
  <si>
    <t>O11</t>
  </si>
  <si>
    <t>P11</t>
  </si>
  <si>
    <t>Q11</t>
  </si>
  <si>
    <t>R11</t>
  </si>
  <si>
    <t>S11</t>
  </si>
  <si>
    <t>U11</t>
  </si>
  <si>
    <t>V11</t>
  </si>
  <si>
    <t>W11</t>
  </si>
  <si>
    <t>X11</t>
  </si>
  <si>
    <t>Y11</t>
  </si>
  <si>
    <t>Z11</t>
  </si>
  <si>
    <t>AA11</t>
  </si>
  <si>
    <t>AB11</t>
  </si>
  <si>
    <t>AC11</t>
  </si>
  <si>
    <t>AD11</t>
  </si>
  <si>
    <t>AE11</t>
  </si>
  <si>
    <t>D12</t>
  </si>
  <si>
    <t>E12</t>
  </si>
  <si>
    <t>F12</t>
  </si>
  <si>
    <t>G12</t>
  </si>
  <si>
    <t>科学3</t>
  </si>
  <si>
    <t>AM31</t>
  </si>
  <si>
    <t>H12</t>
  </si>
  <si>
    <t>I12</t>
  </si>
  <si>
    <t>J12</t>
  </si>
  <si>
    <t>K12</t>
  </si>
  <si>
    <t>L12</t>
  </si>
  <si>
    <t>M12</t>
  </si>
  <si>
    <t>N12</t>
  </si>
  <si>
    <t>O12</t>
  </si>
  <si>
    <t>P12</t>
  </si>
  <si>
    <t>Q12</t>
  </si>
  <si>
    <t>R12</t>
  </si>
  <si>
    <t>S12</t>
  </si>
  <si>
    <t>U12</t>
  </si>
  <si>
    <t>V12</t>
  </si>
  <si>
    <t>W12</t>
  </si>
  <si>
    <t>X12</t>
  </si>
  <si>
    <t>Y12</t>
  </si>
  <si>
    <t>Z12</t>
  </si>
  <si>
    <t>AA12</t>
  </si>
  <si>
    <t>AB12</t>
  </si>
  <si>
    <t>AC12</t>
  </si>
  <si>
    <t>AD12</t>
  </si>
  <si>
    <t>AE12</t>
  </si>
  <si>
    <t>D13</t>
  </si>
  <si>
    <t>E13</t>
  </si>
  <si>
    <t>F13</t>
  </si>
  <si>
    <t>G13</t>
  </si>
  <si>
    <t>H13</t>
  </si>
  <si>
    <t>I13</t>
  </si>
  <si>
    <t>军事科学1</t>
  </si>
  <si>
    <t>AM17</t>
  </si>
  <si>
    <t>J13</t>
  </si>
  <si>
    <t>K13</t>
  </si>
  <si>
    <t>L13</t>
  </si>
  <si>
    <t>M13</t>
  </si>
  <si>
    <t>N13</t>
  </si>
  <si>
    <t>O13</t>
  </si>
  <si>
    <t>P13</t>
  </si>
  <si>
    <t>Q13</t>
  </si>
  <si>
    <t>R13</t>
  </si>
  <si>
    <t>S13</t>
  </si>
  <si>
    <t>U13</t>
  </si>
  <si>
    <t>V13</t>
  </si>
  <si>
    <t>W13</t>
  </si>
  <si>
    <t>X13</t>
  </si>
  <si>
    <t>Y13</t>
  </si>
  <si>
    <t>Z13</t>
  </si>
  <si>
    <t>AA13</t>
  </si>
  <si>
    <t>AB13</t>
  </si>
  <si>
    <t>AC13</t>
  </si>
  <si>
    <t>AD13</t>
  </si>
  <si>
    <t>AE13</t>
  </si>
  <si>
    <t>D14</t>
  </si>
  <si>
    <t>E14</t>
  </si>
  <si>
    <t>F14</t>
  </si>
  <si>
    <t>G14</t>
  </si>
  <si>
    <t>H14</t>
  </si>
  <si>
    <t>I14</t>
  </si>
  <si>
    <t>J14</t>
  </si>
  <si>
    <t>K14</t>
  </si>
  <si>
    <t>L14</t>
  </si>
  <si>
    <t>M14</t>
  </si>
  <si>
    <t>N14</t>
  </si>
  <si>
    <t>O14</t>
  </si>
  <si>
    <t>P14</t>
  </si>
  <si>
    <t>Q14</t>
  </si>
  <si>
    <t>R14</t>
  </si>
  <si>
    <t>S14</t>
  </si>
  <si>
    <t>U14</t>
  </si>
  <si>
    <t>W14</t>
  </si>
  <si>
    <t>X14</t>
  </si>
  <si>
    <t>Y14</t>
  </si>
  <si>
    <t>Z14</t>
  </si>
  <si>
    <t>AA14</t>
  </si>
  <si>
    <t>AB14</t>
  </si>
  <si>
    <t>AC14</t>
  </si>
  <si>
    <t>AD14</t>
  </si>
  <si>
    <t>AE14</t>
  </si>
  <si>
    <t>D15</t>
  </si>
  <si>
    <t>E15</t>
  </si>
  <si>
    <t>F15</t>
  </si>
  <si>
    <t>G15</t>
  </si>
  <si>
    <t>H15</t>
  </si>
  <si>
    <t>I15</t>
  </si>
  <si>
    <t>J15</t>
  </si>
  <si>
    <t>K15</t>
  </si>
  <si>
    <t>L15</t>
  </si>
  <si>
    <t>M15</t>
  </si>
  <si>
    <t>N15</t>
  </si>
  <si>
    <t>O15</t>
  </si>
  <si>
    <t>P15</t>
  </si>
  <si>
    <t>Q15</t>
  </si>
  <si>
    <t>R15</t>
  </si>
  <si>
    <t>S15</t>
  </si>
  <si>
    <t>U15</t>
  </si>
  <si>
    <t>W15</t>
  </si>
  <si>
    <t>X15</t>
  </si>
  <si>
    <t>Y15</t>
  </si>
  <si>
    <t>Z15</t>
  </si>
  <si>
    <t>AA15</t>
  </si>
  <si>
    <t>AB15</t>
  </si>
  <si>
    <t>AC15</t>
  </si>
  <si>
    <t>AD15</t>
  </si>
  <si>
    <t>AE15</t>
  </si>
  <si>
    <t>D16</t>
  </si>
  <si>
    <t>E16</t>
  </si>
  <si>
    <t>F16</t>
  </si>
  <si>
    <t>G16</t>
  </si>
  <si>
    <t>H16</t>
  </si>
  <si>
    <t>外语3</t>
  </si>
  <si>
    <t>J38</t>
  </si>
  <si>
    <t>I16</t>
  </si>
  <si>
    <t>J16</t>
  </si>
  <si>
    <t>K16</t>
  </si>
  <si>
    <t>L16</t>
  </si>
  <si>
    <t>M16</t>
  </si>
  <si>
    <t>N16</t>
  </si>
  <si>
    <t>O16</t>
  </si>
  <si>
    <t>P16</t>
  </si>
  <si>
    <t>Q16</t>
  </si>
  <si>
    <t>R16</t>
  </si>
  <si>
    <t>S16</t>
  </si>
  <si>
    <t>U16</t>
  </si>
  <si>
    <t>W16</t>
  </si>
  <si>
    <t>X16</t>
  </si>
  <si>
    <t>Y16</t>
  </si>
  <si>
    <t>Z16</t>
  </si>
  <si>
    <t>AA16</t>
  </si>
  <si>
    <t>AB16</t>
  </si>
  <si>
    <t>AC16</t>
  </si>
  <si>
    <t>AD16</t>
  </si>
  <si>
    <t>AE16</t>
  </si>
  <si>
    <t>D17</t>
  </si>
  <si>
    <t>E17</t>
  </si>
  <si>
    <t>F17</t>
  </si>
  <si>
    <t>G17</t>
  </si>
  <si>
    <t>H17</t>
  </si>
  <si>
    <t>I17</t>
  </si>
  <si>
    <t>J17</t>
  </si>
  <si>
    <t>K17</t>
  </si>
  <si>
    <t>L17</t>
  </si>
  <si>
    <t>M17</t>
  </si>
  <si>
    <t>N17</t>
  </si>
  <si>
    <t>O17</t>
  </si>
  <si>
    <t>P17</t>
  </si>
  <si>
    <t>Q17</t>
  </si>
  <si>
    <t>R17</t>
  </si>
  <si>
    <t>S17</t>
  </si>
  <si>
    <t>U17</t>
  </si>
  <si>
    <t>W17</t>
  </si>
  <si>
    <t>X17</t>
  </si>
  <si>
    <t>Y17</t>
  </si>
  <si>
    <t>Z17</t>
  </si>
  <si>
    <t>AA17</t>
  </si>
  <si>
    <t>AB17</t>
  </si>
  <si>
    <t>AC17</t>
  </si>
  <si>
    <t>AD17</t>
  </si>
  <si>
    <t>AE17</t>
  </si>
  <si>
    <t>D18</t>
  </si>
  <si>
    <t>E18</t>
  </si>
  <si>
    <t>F18</t>
  </si>
  <si>
    <t>G18</t>
  </si>
  <si>
    <t>H18</t>
  </si>
  <si>
    <t>I18</t>
  </si>
  <si>
    <t>J18</t>
  </si>
  <si>
    <t>K18</t>
  </si>
  <si>
    <t>L18</t>
  </si>
  <si>
    <t>M18</t>
  </si>
  <si>
    <t>N18</t>
  </si>
  <si>
    <t>O18</t>
  </si>
  <si>
    <t>P18</t>
  </si>
  <si>
    <t>Q18</t>
  </si>
  <si>
    <t>R18</t>
  </si>
  <si>
    <t>S18</t>
  </si>
  <si>
    <t>U18</t>
  </si>
  <si>
    <t>W18</t>
  </si>
  <si>
    <t>X18</t>
  </si>
  <si>
    <t>Y18</t>
  </si>
  <si>
    <t>Z18</t>
  </si>
  <si>
    <t>AA18</t>
  </si>
  <si>
    <t>AB18</t>
  </si>
  <si>
    <t>AC18</t>
  </si>
  <si>
    <t>AD18</t>
  </si>
  <si>
    <t>AE18</t>
  </si>
  <si>
    <t>D19</t>
  </si>
  <si>
    <t>E19</t>
  </si>
  <si>
    <t>F19</t>
  </si>
  <si>
    <t>G19</t>
  </si>
  <si>
    <t>H19</t>
  </si>
  <si>
    <t>I19</t>
  </si>
  <si>
    <t>J19</t>
  </si>
  <si>
    <t>K19</t>
  </si>
  <si>
    <t>L19</t>
  </si>
  <si>
    <t>M19</t>
  </si>
  <si>
    <t>N19</t>
  </si>
  <si>
    <t>O19</t>
  </si>
  <si>
    <t>P19</t>
  </si>
  <si>
    <t>Q19</t>
  </si>
  <si>
    <t>R19</t>
  </si>
  <si>
    <t>S19</t>
  </si>
  <si>
    <t>U19</t>
  </si>
  <si>
    <t>W19</t>
  </si>
  <si>
    <t>X19</t>
  </si>
  <si>
    <t>Y19</t>
  </si>
  <si>
    <t>Z19</t>
  </si>
  <si>
    <t>AA19</t>
  </si>
  <si>
    <t>AB19</t>
  </si>
  <si>
    <t>AC19</t>
  </si>
  <si>
    <t>AD19</t>
  </si>
  <si>
    <t>AE19</t>
  </si>
  <si>
    <t>演艺|创意写作|造假|绘画|舞蹈|唱歌|雕塑|小提琴|摄像|摄影</t>
  </si>
  <si>
    <t>艺术1</t>
  </si>
  <si>
    <t>D20</t>
  </si>
  <si>
    <t>E20</t>
  </si>
  <si>
    <t>F20</t>
  </si>
  <si>
    <t>G20</t>
  </si>
  <si>
    <t>H20</t>
  </si>
  <si>
    <t>I20</t>
  </si>
  <si>
    <t>J20</t>
  </si>
  <si>
    <t>K20</t>
  </si>
  <si>
    <t>L20</t>
  </si>
  <si>
    <t>M20</t>
  </si>
  <si>
    <t>N20</t>
  </si>
  <si>
    <t>O20</t>
  </si>
  <si>
    <t>P20</t>
  </si>
  <si>
    <t>Q20</t>
  </si>
  <si>
    <t>R20</t>
  </si>
  <si>
    <t>S20</t>
  </si>
  <si>
    <t>U20</t>
  </si>
  <si>
    <t>艺术2</t>
  </si>
  <si>
    <t>W20</t>
  </si>
  <si>
    <t>X20</t>
  </si>
  <si>
    <t>Y20</t>
  </si>
  <si>
    <t>Z20</t>
  </si>
  <si>
    <t>AA20</t>
  </si>
  <si>
    <t>AB20</t>
  </si>
  <si>
    <t>陆军|空军|海军</t>
  </si>
  <si>
    <t>AC20</t>
  </si>
  <si>
    <t>AD20</t>
  </si>
  <si>
    <t>AE20</t>
  </si>
  <si>
    <t>D21</t>
  </si>
  <si>
    <t>E21</t>
  </si>
  <si>
    <t>F21</t>
  </si>
  <si>
    <t>G21</t>
  </si>
  <si>
    <t>H21</t>
  </si>
  <si>
    <t>I21</t>
  </si>
  <si>
    <t>J21</t>
  </si>
  <si>
    <t>K21</t>
  </si>
  <si>
    <t>L21</t>
  </si>
  <si>
    <t>M21</t>
  </si>
  <si>
    <t>N21</t>
  </si>
  <si>
    <t>O21</t>
  </si>
  <si>
    <t>P21</t>
  </si>
  <si>
    <t>Q21</t>
  </si>
  <si>
    <t>R21</t>
  </si>
  <si>
    <t>S21</t>
  </si>
  <si>
    <t>U21</t>
  </si>
  <si>
    <t>W21</t>
  </si>
  <si>
    <t>X21</t>
  </si>
  <si>
    <t>Y21</t>
  </si>
  <si>
    <t>Z21</t>
  </si>
  <si>
    <t>AA21</t>
  </si>
  <si>
    <t>AB21</t>
  </si>
  <si>
    <t>AC21</t>
  </si>
  <si>
    <t>AD21</t>
  </si>
  <si>
    <t>AE21</t>
  </si>
  <si>
    <t>D22</t>
  </si>
  <si>
    <t>E22</t>
  </si>
  <si>
    <t>F22</t>
  </si>
  <si>
    <t>G22</t>
  </si>
  <si>
    <t>H22</t>
  </si>
  <si>
    <t>飞机|无人机|直升机|小船|大船|航天飞机|宇航服|飞行器</t>
  </si>
  <si>
    <t>特种载具1</t>
  </si>
  <si>
    <t>AM24</t>
  </si>
  <si>
    <t>I22</t>
  </si>
  <si>
    <t>J22</t>
  </si>
  <si>
    <t>K22</t>
  </si>
  <si>
    <t>L22</t>
  </si>
  <si>
    <t>M22</t>
  </si>
  <si>
    <t>N22</t>
  </si>
  <si>
    <t>O22</t>
  </si>
  <si>
    <t>P22</t>
  </si>
  <si>
    <t>Q22</t>
  </si>
  <si>
    <t>R22</t>
  </si>
  <si>
    <t>S22</t>
  </si>
  <si>
    <t>U22</t>
  </si>
  <si>
    <t>特种载具2</t>
  </si>
  <si>
    <t>AM25</t>
  </si>
  <si>
    <t>W22</t>
  </si>
  <si>
    <t>X22</t>
  </si>
  <si>
    <t>Y22</t>
  </si>
  <si>
    <t>Z22</t>
  </si>
  <si>
    <t>AA22</t>
  </si>
  <si>
    <t>AB22</t>
  </si>
  <si>
    <t>AC22</t>
  </si>
  <si>
    <t>AD22</t>
  </si>
  <si>
    <t>AE22</t>
  </si>
  <si>
    <t>D23</t>
  </si>
  <si>
    <t>E23</t>
  </si>
  <si>
    <t>F23</t>
  </si>
  <si>
    <t>G23</t>
  </si>
  <si>
    <t>H23</t>
  </si>
  <si>
    <t>I23</t>
  </si>
  <si>
    <t>J23</t>
  </si>
  <si>
    <t>K23</t>
  </si>
  <si>
    <t>L23</t>
  </si>
  <si>
    <t>M23</t>
  </si>
  <si>
    <t>N23</t>
  </si>
  <si>
    <t>O23</t>
  </si>
  <si>
    <t>P23</t>
  </si>
  <si>
    <t>Q23</t>
  </si>
  <si>
    <t>R23</t>
  </si>
  <si>
    <t>S23</t>
  </si>
  <si>
    <t>U23</t>
  </si>
  <si>
    <t>W23</t>
  </si>
  <si>
    <t>X23</t>
  </si>
  <si>
    <t>Y23</t>
  </si>
  <si>
    <t>Z23</t>
  </si>
  <si>
    <t>AA23</t>
  </si>
  <si>
    <t>AB23</t>
  </si>
  <si>
    <t>AC23</t>
  </si>
  <si>
    <t>AD23</t>
  </si>
  <si>
    <t>AE23</t>
  </si>
  <si>
    <t>D24</t>
  </si>
  <si>
    <t>E24</t>
  </si>
  <si>
    <t>F24</t>
  </si>
  <si>
    <t>G24</t>
  </si>
  <si>
    <t>H24</t>
  </si>
  <si>
    <t>I24</t>
  </si>
  <si>
    <t>J24</t>
  </si>
  <si>
    <t>K24</t>
  </si>
  <si>
    <t>L24</t>
  </si>
  <si>
    <t>M24</t>
  </si>
  <si>
    <t>N24</t>
  </si>
  <si>
    <t>O24</t>
  </si>
  <si>
    <t>P24</t>
  </si>
  <si>
    <t>Q24</t>
  </si>
  <si>
    <t>R24</t>
  </si>
  <si>
    <t>S24</t>
  </si>
  <si>
    <t>U24</t>
  </si>
  <si>
    <t>W24</t>
  </si>
  <si>
    <t>X24</t>
  </si>
  <si>
    <t>Y24</t>
  </si>
  <si>
    <t>Z24</t>
  </si>
  <si>
    <t>AA24</t>
  </si>
  <si>
    <t>AB24</t>
  </si>
  <si>
    <t>AC24</t>
  </si>
  <si>
    <t>AD24</t>
  </si>
  <si>
    <t>AE24</t>
  </si>
  <si>
    <t>D25</t>
  </si>
  <si>
    <t>E25</t>
  </si>
  <si>
    <t>F25</t>
  </si>
  <si>
    <t>G25</t>
  </si>
  <si>
    <t>H25</t>
  </si>
  <si>
    <t>I25</t>
  </si>
  <si>
    <t>K25</t>
  </si>
  <si>
    <t>L25</t>
  </si>
  <si>
    <t>M25</t>
  </si>
  <si>
    <t>N25</t>
  </si>
  <si>
    <t>O25</t>
  </si>
  <si>
    <t>P25</t>
  </si>
  <si>
    <t>Q25</t>
  </si>
  <si>
    <t>R25</t>
  </si>
  <si>
    <t>S25</t>
  </si>
  <si>
    <t>U25</t>
  </si>
  <si>
    <t>W25</t>
  </si>
  <si>
    <t>X25</t>
  </si>
  <si>
    <t>Y25</t>
  </si>
  <si>
    <t>Z25</t>
  </si>
  <si>
    <t>AA25</t>
  </si>
  <si>
    <t>AB25</t>
  </si>
  <si>
    <t>AC25</t>
  </si>
  <si>
    <t>AD25</t>
  </si>
  <si>
    <t>AE25</t>
  </si>
  <si>
    <t>D30</t>
  </si>
  <si>
    <t>E30</t>
  </si>
  <si>
    <t>F30</t>
  </si>
  <si>
    <t>G30</t>
  </si>
  <si>
    <t>H30</t>
  </si>
  <si>
    <t>I30</t>
  </si>
  <si>
    <t>J30</t>
  </si>
  <si>
    <t>K30</t>
  </si>
  <si>
    <t>L30</t>
  </si>
  <si>
    <t>M30</t>
  </si>
  <si>
    <t>N30</t>
  </si>
  <si>
    <t>O30</t>
  </si>
  <si>
    <t>P30</t>
  </si>
  <si>
    <t>Q30</t>
  </si>
  <si>
    <t>R30</t>
  </si>
  <si>
    <t>S30</t>
  </si>
  <si>
    <t>U30</t>
  </si>
  <si>
    <t>W30</t>
  </si>
  <si>
    <t>X30</t>
  </si>
  <si>
    <t>Y30</t>
  </si>
  <si>
    <t>Z30</t>
  </si>
  <si>
    <t>AA30</t>
  </si>
  <si>
    <t>AB30</t>
  </si>
  <si>
    <t>AC30</t>
  </si>
  <si>
    <t>AD30</t>
  </si>
  <si>
    <t>AE30</t>
  </si>
  <si>
    <t>D34</t>
  </si>
  <si>
    <t>E34</t>
  </si>
  <si>
    <t>F34</t>
  </si>
  <si>
    <t>G34</t>
  </si>
  <si>
    <t>H34</t>
  </si>
  <si>
    <t>I34</t>
  </si>
  <si>
    <t>J34</t>
  </si>
  <si>
    <t>K34</t>
  </si>
  <si>
    <t>L34</t>
  </si>
  <si>
    <t>M34</t>
  </si>
  <si>
    <t>N34</t>
  </si>
  <si>
    <t>O34</t>
  </si>
  <si>
    <t>P34</t>
  </si>
  <si>
    <t>Q34</t>
  </si>
  <si>
    <t>R34</t>
  </si>
  <si>
    <t>S34</t>
  </si>
  <si>
    <t>U34</t>
  </si>
  <si>
    <t>W34</t>
  </si>
  <si>
    <t>X34</t>
  </si>
  <si>
    <t>Y34</t>
  </si>
  <si>
    <t>Z34</t>
  </si>
  <si>
    <t>AA34</t>
  </si>
  <si>
    <t>AB34</t>
  </si>
  <si>
    <t>AC34</t>
  </si>
  <si>
    <t>AD34</t>
  </si>
  <si>
    <t>AE34</t>
  </si>
  <si>
    <t>D37</t>
  </si>
  <si>
    <t>E37</t>
  </si>
  <si>
    <t>F37</t>
  </si>
  <si>
    <t>G37</t>
  </si>
  <si>
    <t>H37</t>
  </si>
  <si>
    <t>I37</t>
  </si>
  <si>
    <t>K37</t>
  </si>
  <si>
    <t>L37</t>
  </si>
  <si>
    <t>M37</t>
  </si>
  <si>
    <t>N37</t>
  </si>
  <si>
    <t>O37</t>
  </si>
  <si>
    <t>P37</t>
  </si>
  <si>
    <t>Q37</t>
  </si>
  <si>
    <t>R37</t>
  </si>
  <si>
    <t>S37</t>
  </si>
  <si>
    <t>U37</t>
  </si>
  <si>
    <t>W37</t>
  </si>
  <si>
    <t>X37</t>
  </si>
  <si>
    <t>Y37</t>
  </si>
  <si>
    <t>Z37</t>
  </si>
  <si>
    <t>AA37</t>
  </si>
  <si>
    <t>AB37</t>
  </si>
  <si>
    <t>AC37</t>
  </si>
  <si>
    <t>AD37</t>
  </si>
  <si>
    <t>AE37</t>
  </si>
  <si>
    <t>D40</t>
  </si>
  <si>
    <t>E40</t>
  </si>
  <si>
    <t>F40</t>
  </si>
  <si>
    <t>G40</t>
  </si>
  <si>
    <t>H40</t>
  </si>
  <si>
    <t>I40</t>
  </si>
  <si>
    <t>J40</t>
  </si>
  <si>
    <t>K40</t>
  </si>
  <si>
    <t>L40</t>
  </si>
  <si>
    <t>M40</t>
  </si>
  <si>
    <t>N40</t>
  </si>
  <si>
    <t>O40</t>
  </si>
  <si>
    <t>P40</t>
  </si>
  <si>
    <t>Q40</t>
  </si>
  <si>
    <t>R40</t>
  </si>
  <si>
    <t>S40</t>
  </si>
  <si>
    <t>U40</t>
  </si>
  <si>
    <t>W40</t>
  </si>
  <si>
    <t>X40</t>
  </si>
  <si>
    <t>Y40</t>
  </si>
  <si>
    <t>Z40</t>
  </si>
  <si>
    <t>AA40</t>
  </si>
  <si>
    <t>AB40</t>
  </si>
  <si>
    <t>AC40</t>
  </si>
  <si>
    <t>AD40</t>
  </si>
  <si>
    <t>AE40</t>
  </si>
  <si>
    <t>D43</t>
  </si>
  <si>
    <t>E43</t>
  </si>
  <si>
    <t>F43</t>
  </si>
  <si>
    <t>G43</t>
  </si>
  <si>
    <t>H43</t>
  </si>
  <si>
    <t>I43</t>
  </si>
  <si>
    <t>J43</t>
  </si>
  <si>
    <t>K43</t>
  </si>
  <si>
    <t>L43</t>
  </si>
  <si>
    <t>M43</t>
  </si>
  <si>
    <t>N43</t>
  </si>
  <si>
    <t>O43</t>
  </si>
  <si>
    <t>P43</t>
  </si>
  <si>
    <t>Q43</t>
  </si>
  <si>
    <t>R43</t>
  </si>
  <si>
    <t>S43</t>
  </si>
  <si>
    <t>U43</t>
  </si>
  <si>
    <t>W43</t>
  </si>
  <si>
    <t>X43</t>
  </si>
  <si>
    <t>Y43</t>
  </si>
  <si>
    <t>Z43</t>
  </si>
  <si>
    <t>AA43</t>
  </si>
  <si>
    <t>AB43</t>
  </si>
  <si>
    <t>AC43</t>
  </si>
  <si>
    <t>AD43</t>
  </si>
  <si>
    <t>AE43</t>
  </si>
  <si>
    <t>D44</t>
  </si>
  <si>
    <t>E44</t>
  </si>
  <si>
    <t>F44</t>
  </si>
  <si>
    <t>G44</t>
  </si>
  <si>
    <t>H44</t>
  </si>
  <si>
    <t>I44</t>
  </si>
  <si>
    <t>J44</t>
  </si>
  <si>
    <t>K44</t>
  </si>
  <si>
    <t>unknown</t>
  </si>
  <si>
    <t>L44</t>
  </si>
  <si>
    <t>M44</t>
  </si>
  <si>
    <t>N44</t>
  </si>
  <si>
    <t>O44</t>
  </si>
  <si>
    <t>P44</t>
  </si>
  <si>
    <t>Q44</t>
  </si>
  <si>
    <t>R44</t>
  </si>
  <si>
    <t>S44</t>
  </si>
  <si>
    <t>U44</t>
  </si>
  <si>
    <t>V44</t>
  </si>
  <si>
    <t>W44</t>
  </si>
  <si>
    <t>X44</t>
  </si>
  <si>
    <t>Y44</t>
  </si>
  <si>
    <t>Z44</t>
  </si>
  <si>
    <t>AA44</t>
  </si>
  <si>
    <t>AB44</t>
  </si>
  <si>
    <t>AC44</t>
  </si>
  <si>
    <t>AD44</t>
  </si>
  <si>
    <t>AE44</t>
  </si>
  <si>
    <t>D46</t>
  </si>
  <si>
    <t>E46</t>
  </si>
  <si>
    <t>F46</t>
  </si>
  <si>
    <t>G46</t>
  </si>
  <si>
    <t>H46</t>
  </si>
  <si>
    <t>I46</t>
  </si>
  <si>
    <t>J46</t>
  </si>
  <si>
    <t>K46</t>
  </si>
  <si>
    <t>L46</t>
  </si>
  <si>
    <t>M46</t>
  </si>
  <si>
    <t>N46</t>
  </si>
  <si>
    <t>O46</t>
  </si>
  <si>
    <t>P46</t>
  </si>
  <si>
    <t>Q46</t>
  </si>
  <si>
    <t>R46</t>
  </si>
  <si>
    <t>S46</t>
  </si>
  <si>
    <t>U46</t>
  </si>
  <si>
    <t>V46</t>
  </si>
  <si>
    <t>W46</t>
  </si>
  <si>
    <t>X46</t>
  </si>
  <si>
    <t>Y46</t>
  </si>
  <si>
    <t>Z46</t>
  </si>
  <si>
    <t>AA46</t>
  </si>
  <si>
    <t>AB46</t>
  </si>
  <si>
    <t>AC46</t>
  </si>
  <si>
    <t>AD46</t>
  </si>
  <si>
    <t>AE46</t>
  </si>
  <si>
    <t>D48</t>
  </si>
  <si>
    <t>E48</t>
  </si>
  <si>
    <t>F48</t>
  </si>
  <si>
    <t>G48</t>
  </si>
  <si>
    <t>H48</t>
  </si>
  <si>
    <t>I48</t>
  </si>
  <si>
    <t>J48</t>
  </si>
  <si>
    <t>K48</t>
  </si>
  <si>
    <t>L48</t>
  </si>
  <si>
    <t>M48</t>
  </si>
  <si>
    <t>N48</t>
  </si>
  <si>
    <t>O48</t>
  </si>
  <si>
    <t>P48</t>
  </si>
  <si>
    <t>Q48</t>
  </si>
  <si>
    <t>R48</t>
  </si>
  <si>
    <t>S48</t>
  </si>
  <si>
    <t>U48</t>
  </si>
  <si>
    <t>V48</t>
  </si>
  <si>
    <t>W48</t>
  </si>
  <si>
    <t>X48</t>
  </si>
  <si>
    <t>Y48</t>
  </si>
  <si>
    <t>Z48</t>
  </si>
  <si>
    <t>AA48</t>
  </si>
  <si>
    <t>AB48</t>
  </si>
  <si>
    <t>AC48</t>
  </si>
  <si>
    <t>AD48</t>
  </si>
  <si>
    <t>AE48</t>
  </si>
  <si>
    <t>D49</t>
  </si>
  <si>
    <t>E49</t>
  </si>
  <si>
    <t>F49</t>
  </si>
  <si>
    <t>G49</t>
  </si>
  <si>
    <t>H49</t>
  </si>
  <si>
    <t>I49</t>
  </si>
  <si>
    <t>J49</t>
  </si>
  <si>
    <t>军事科学（空军）</t>
  </si>
  <si>
    <t>K49</t>
  </si>
  <si>
    <t>军事科学2</t>
  </si>
  <si>
    <t>AM18</t>
  </si>
  <si>
    <t>L49</t>
  </si>
  <si>
    <t>M49</t>
  </si>
  <si>
    <t>N49</t>
  </si>
  <si>
    <t>O49</t>
  </si>
  <si>
    <t>P49</t>
  </si>
  <si>
    <t>Q49</t>
  </si>
  <si>
    <t>R49</t>
  </si>
  <si>
    <t>S49</t>
  </si>
  <si>
    <t>U49</t>
  </si>
  <si>
    <t>V49</t>
  </si>
  <si>
    <t>W49</t>
  </si>
  <si>
    <t>X49</t>
  </si>
  <si>
    <t>Y49</t>
  </si>
  <si>
    <t>Z49</t>
  </si>
  <si>
    <t>AA49</t>
  </si>
  <si>
    <t>AB49</t>
  </si>
  <si>
    <t>AC49</t>
  </si>
  <si>
    <t>AD49</t>
  </si>
  <si>
    <t>AE49</t>
  </si>
  <si>
    <t>D50</t>
  </si>
  <si>
    <t>E50</t>
  </si>
  <si>
    <t>F50</t>
  </si>
  <si>
    <t>G50</t>
  </si>
  <si>
    <t>H50</t>
  </si>
  <si>
    <t>I50</t>
  </si>
  <si>
    <t>J50</t>
  </si>
  <si>
    <t>K50</t>
  </si>
  <si>
    <t>L50</t>
  </si>
  <si>
    <t>M50</t>
  </si>
  <si>
    <t>N50</t>
  </si>
  <si>
    <t>O50</t>
  </si>
  <si>
    <t>P50</t>
  </si>
  <si>
    <t>Q50</t>
  </si>
  <si>
    <t>R50</t>
  </si>
  <si>
    <t>S50</t>
  </si>
  <si>
    <t>U50</t>
  </si>
  <si>
    <t>V50</t>
  </si>
  <si>
    <t>W50</t>
  </si>
  <si>
    <t>X50</t>
  </si>
  <si>
    <t>Y50</t>
  </si>
  <si>
    <t>Z50</t>
  </si>
  <si>
    <t>AA50</t>
  </si>
  <si>
    <t>AB50</t>
  </si>
  <si>
    <t>AC50</t>
  </si>
  <si>
    <t>AD50</t>
  </si>
  <si>
    <t>AE50</t>
  </si>
  <si>
    <t>D57</t>
  </si>
  <si>
    <t>E57</t>
  </si>
  <si>
    <t>F57</t>
  </si>
  <si>
    <t>G57</t>
  </si>
  <si>
    <t>H57</t>
  </si>
  <si>
    <t>I57</t>
  </si>
  <si>
    <t>J57</t>
  </si>
  <si>
    <t>K57</t>
  </si>
  <si>
    <t>L57</t>
  </si>
  <si>
    <t>M57</t>
  </si>
  <si>
    <t>N57</t>
  </si>
  <si>
    <t>O57</t>
  </si>
  <si>
    <t>P57</t>
  </si>
  <si>
    <t>Q57</t>
  </si>
  <si>
    <t>R57</t>
  </si>
  <si>
    <t>S57</t>
  </si>
  <si>
    <t>U57</t>
  </si>
  <si>
    <t>V57</t>
  </si>
  <si>
    <t>W57</t>
  </si>
  <si>
    <t>X57</t>
  </si>
  <si>
    <t>Y57</t>
  </si>
  <si>
    <t>Z57</t>
  </si>
  <si>
    <t>AA57</t>
  </si>
  <si>
    <t>AB57</t>
  </si>
  <si>
    <t>AC57</t>
  </si>
  <si>
    <t>AD57</t>
  </si>
  <si>
    <t>AE57</t>
  </si>
  <si>
    <t>D59</t>
  </si>
  <si>
    <t>E59</t>
  </si>
  <si>
    <t>F59</t>
  </si>
  <si>
    <t>G59</t>
  </si>
  <si>
    <t>H59</t>
  </si>
  <si>
    <t>I59</t>
  </si>
  <si>
    <t>J59</t>
  </si>
  <si>
    <t>K59</t>
  </si>
  <si>
    <t>L59</t>
  </si>
  <si>
    <t>M59</t>
  </si>
  <si>
    <t>N59</t>
  </si>
  <si>
    <t>O59</t>
  </si>
  <si>
    <t>P59</t>
  </si>
  <si>
    <t>Q59</t>
  </si>
  <si>
    <t>R59</t>
  </si>
  <si>
    <t>S59</t>
  </si>
  <si>
    <t>U59</t>
  </si>
  <si>
    <t>V59</t>
  </si>
  <si>
    <t>W59</t>
  </si>
  <si>
    <t>X59</t>
  </si>
  <si>
    <t>Y59</t>
  </si>
  <si>
    <t>Z59</t>
  </si>
  <si>
    <t>AA59</t>
  </si>
  <si>
    <t>AB59</t>
  </si>
  <si>
    <t>AC59</t>
  </si>
  <si>
    <t>AD59</t>
  </si>
  <si>
    <t>AE59</t>
  </si>
  <si>
    <t>D60</t>
  </si>
  <si>
    <t>E60</t>
  </si>
  <si>
    <t>F60</t>
  </si>
  <si>
    <t>G60</t>
  </si>
  <si>
    <t>H60</t>
  </si>
  <si>
    <t>I60</t>
  </si>
  <si>
    <t>J60</t>
  </si>
  <si>
    <t>K60</t>
  </si>
  <si>
    <t>L60</t>
  </si>
  <si>
    <t>M60</t>
  </si>
  <si>
    <t>N60</t>
  </si>
  <si>
    <t>O60</t>
  </si>
  <si>
    <t>P60</t>
  </si>
  <si>
    <t>Q60</t>
  </si>
  <si>
    <t>R60</t>
  </si>
  <si>
    <t>S60</t>
  </si>
  <si>
    <t>U60</t>
  </si>
  <si>
    <t>V60</t>
  </si>
  <si>
    <t>W60</t>
  </si>
  <si>
    <t>X60</t>
  </si>
  <si>
    <t>Y60</t>
  </si>
  <si>
    <t>Z60</t>
  </si>
  <si>
    <t>AA60</t>
  </si>
  <si>
    <t>AB60</t>
  </si>
  <si>
    <t>AC60</t>
  </si>
  <si>
    <t>AD60</t>
  </si>
  <si>
    <t>AE60</t>
  </si>
  <si>
    <t>D61</t>
  </si>
  <si>
    <t>E61</t>
  </si>
  <si>
    <t>F61</t>
  </si>
  <si>
    <t>G61</t>
  </si>
  <si>
    <t>H61</t>
  </si>
  <si>
    <t>I61</t>
  </si>
  <si>
    <t>J61</t>
  </si>
  <si>
    <t>K61</t>
  </si>
  <si>
    <t>特种载具（小船）</t>
  </si>
  <si>
    <t>L61</t>
  </si>
  <si>
    <t>M61</t>
  </si>
  <si>
    <t>N61</t>
  </si>
  <si>
    <t>O61</t>
  </si>
  <si>
    <t>P61</t>
  </si>
  <si>
    <t>Q61</t>
  </si>
  <si>
    <t>R61</t>
  </si>
  <si>
    <t>S61</t>
  </si>
  <si>
    <t>U61</t>
  </si>
  <si>
    <t>V61</t>
  </si>
  <si>
    <t>W61</t>
  </si>
  <si>
    <t>X61</t>
  </si>
  <si>
    <t>Y61</t>
  </si>
  <si>
    <t>Z61</t>
  </si>
  <si>
    <t>AA61</t>
  </si>
  <si>
    <t>AB61</t>
  </si>
  <si>
    <t>AC61</t>
  </si>
  <si>
    <t>AD61</t>
  </si>
  <si>
    <t>AE61</t>
  </si>
  <si>
    <t>D62</t>
  </si>
  <si>
    <t>E62</t>
  </si>
  <si>
    <t>F62</t>
  </si>
  <si>
    <t>G62</t>
  </si>
  <si>
    <t>H62</t>
  </si>
  <si>
    <t>I62</t>
  </si>
  <si>
    <t>J62</t>
  </si>
  <si>
    <t>K62</t>
  </si>
  <si>
    <t>L62</t>
  </si>
  <si>
    <t>M62</t>
  </si>
  <si>
    <t>N62</t>
  </si>
  <si>
    <t>O62</t>
  </si>
  <si>
    <t>Q62</t>
  </si>
  <si>
    <t>R62</t>
  </si>
  <si>
    <t>S62</t>
  </si>
  <si>
    <t>U62</t>
  </si>
  <si>
    <t>V62</t>
  </si>
  <si>
    <t>W62</t>
  </si>
  <si>
    <t>X62</t>
  </si>
  <si>
    <t>Y62</t>
  </si>
  <si>
    <t>Z62</t>
  </si>
  <si>
    <t>AA62</t>
  </si>
  <si>
    <t>AB62</t>
  </si>
  <si>
    <t>AC62</t>
  </si>
  <si>
    <t>AD62</t>
  </si>
  <si>
    <t>AE62</t>
  </si>
  <si>
    <t>limited</t>
  </si>
  <si>
    <t>摄影|摄像</t>
  </si>
  <si>
    <t>D63</t>
  </si>
  <si>
    <t>E63</t>
  </si>
  <si>
    <t>F63</t>
  </si>
  <si>
    <t>G63</t>
  </si>
  <si>
    <t>电子学</t>
  </si>
  <si>
    <t>H63</t>
  </si>
  <si>
    <t>I63</t>
  </si>
  <si>
    <t>J63</t>
  </si>
  <si>
    <t>K63</t>
  </si>
  <si>
    <t>L63</t>
  </si>
  <si>
    <t>M63</t>
  </si>
  <si>
    <t>N63</t>
  </si>
  <si>
    <t>O63</t>
  </si>
  <si>
    <t>P63</t>
  </si>
  <si>
    <t>Q63</t>
  </si>
  <si>
    <t>R63</t>
  </si>
  <si>
    <t>S63</t>
  </si>
  <si>
    <t>U63</t>
  </si>
  <si>
    <t>V63</t>
  </si>
  <si>
    <t>W63</t>
  </si>
  <si>
    <t>X63</t>
  </si>
  <si>
    <t>Y63</t>
  </si>
  <si>
    <t>Z63</t>
  </si>
  <si>
    <t>AA63</t>
  </si>
  <si>
    <t>AB63</t>
  </si>
  <si>
    <t>AC63</t>
  </si>
  <si>
    <t>AD63</t>
  </si>
  <si>
    <t>AE63</t>
  </si>
  <si>
    <t>D64</t>
  </si>
  <si>
    <t>E64</t>
  </si>
  <si>
    <t>F64</t>
  </si>
  <si>
    <t>G64</t>
  </si>
  <si>
    <t>H64</t>
  </si>
  <si>
    <t>I64</t>
  </si>
  <si>
    <t>J64</t>
  </si>
  <si>
    <t>K64</t>
  </si>
  <si>
    <t>L64</t>
  </si>
  <si>
    <t>M64</t>
  </si>
  <si>
    <t>N64</t>
  </si>
  <si>
    <t>O64</t>
  </si>
  <si>
    <t>P64</t>
  </si>
  <si>
    <t>Q64</t>
  </si>
  <si>
    <t>R64</t>
  </si>
  <si>
    <t>S64</t>
  </si>
  <si>
    <t>U64</t>
  </si>
  <si>
    <t>V64</t>
  </si>
  <si>
    <t>W64</t>
  </si>
  <si>
    <t>X64</t>
  </si>
  <si>
    <t>Y64</t>
  </si>
  <si>
    <t>Z64</t>
  </si>
  <si>
    <t>AA64</t>
  </si>
  <si>
    <t>AB64</t>
  </si>
  <si>
    <t>AC64</t>
  </si>
  <si>
    <t>AD64</t>
  </si>
  <si>
    <t>AE64</t>
  </si>
  <si>
    <t>D65</t>
  </si>
  <si>
    <t>E65</t>
  </si>
  <si>
    <t>F65</t>
  </si>
  <si>
    <t>G65</t>
  </si>
  <si>
    <t>H65</t>
  </si>
  <si>
    <t>I65</t>
  </si>
  <si>
    <t>J65</t>
  </si>
  <si>
    <t>K65</t>
  </si>
  <si>
    <t>L65</t>
  </si>
  <si>
    <t>M65</t>
  </si>
  <si>
    <t>N65</t>
  </si>
  <si>
    <t>O65</t>
  </si>
  <si>
    <t>P65</t>
  </si>
  <si>
    <t>Q65</t>
  </si>
  <si>
    <t>R65</t>
  </si>
  <si>
    <t>S65</t>
  </si>
  <si>
    <t>U65</t>
  </si>
  <si>
    <t>V65</t>
  </si>
  <si>
    <t>W65</t>
  </si>
  <si>
    <t>X65</t>
  </si>
  <si>
    <t>Y65</t>
  </si>
  <si>
    <t>Z65</t>
  </si>
  <si>
    <t>AA65</t>
  </si>
  <si>
    <t>AB65</t>
  </si>
  <si>
    <t>AC65</t>
  </si>
  <si>
    <t>AD65</t>
  </si>
  <si>
    <t>AE65</t>
  </si>
  <si>
    <t>D66</t>
  </si>
  <si>
    <t>E66</t>
  </si>
  <si>
    <t>F66</t>
  </si>
  <si>
    <t>G66</t>
  </si>
  <si>
    <t>H66</t>
  </si>
  <si>
    <t>I66</t>
  </si>
  <si>
    <t>J66</t>
  </si>
  <si>
    <t>K66</t>
  </si>
  <si>
    <t>L66</t>
  </si>
  <si>
    <t>M66</t>
  </si>
  <si>
    <t>N66</t>
  </si>
  <si>
    <t>O66</t>
  </si>
  <si>
    <t>P66</t>
  </si>
  <si>
    <t>Q66</t>
  </si>
  <si>
    <t>R66</t>
  </si>
  <si>
    <t>S66</t>
  </si>
  <si>
    <t>U66</t>
  </si>
  <si>
    <t>V66</t>
  </si>
  <si>
    <t>W66</t>
  </si>
  <si>
    <t>X66</t>
  </si>
  <si>
    <t>Y66</t>
  </si>
  <si>
    <t>Z66</t>
  </si>
  <si>
    <t>AA66</t>
  </si>
  <si>
    <t>AB66</t>
  </si>
  <si>
    <t>AC66</t>
  </si>
  <si>
    <t>AD66</t>
  </si>
  <si>
    <t>AE66</t>
  </si>
  <si>
    <t>D68</t>
  </si>
  <si>
    <t>E68</t>
  </si>
  <si>
    <t>F68</t>
  </si>
  <si>
    <t>G68</t>
  </si>
  <si>
    <t>H68</t>
  </si>
  <si>
    <t>I68</t>
  </si>
  <si>
    <t>J68</t>
  </si>
  <si>
    <t>K68</t>
  </si>
  <si>
    <t>L68</t>
  </si>
  <si>
    <t>M68</t>
  </si>
  <si>
    <t>N68</t>
  </si>
  <si>
    <t>O68</t>
  </si>
  <si>
    <t>P68</t>
  </si>
  <si>
    <t>Q68</t>
  </si>
  <si>
    <t>R68</t>
  </si>
  <si>
    <t>S68</t>
  </si>
  <si>
    <t>U68</t>
  </si>
  <si>
    <t>V68</t>
  </si>
  <si>
    <t>W68</t>
  </si>
  <si>
    <t>X68</t>
  </si>
  <si>
    <t>Y68</t>
  </si>
  <si>
    <t>Z68</t>
  </si>
  <si>
    <t>AA68</t>
  </si>
  <si>
    <t>AB68</t>
  </si>
  <si>
    <t>AC68</t>
  </si>
  <si>
    <t>AD68</t>
  </si>
  <si>
    <t>AE68</t>
  </si>
  <si>
    <t>D69</t>
  </si>
  <si>
    <t>E69</t>
  </si>
  <si>
    <t>F69</t>
  </si>
  <si>
    <t>G69</t>
  </si>
  <si>
    <t>H69</t>
  </si>
  <si>
    <t>I69</t>
  </si>
  <si>
    <t>J69</t>
  </si>
  <si>
    <t>K69</t>
  </si>
  <si>
    <t>L69</t>
  </si>
  <si>
    <t>M69</t>
  </si>
  <si>
    <t>N69</t>
  </si>
  <si>
    <t>O69</t>
  </si>
  <si>
    <t>P69</t>
  </si>
  <si>
    <t>Q69</t>
  </si>
  <si>
    <t>R69</t>
  </si>
  <si>
    <t>S69</t>
  </si>
  <si>
    <t>U69</t>
  </si>
  <si>
    <t>V69</t>
  </si>
  <si>
    <t>W69</t>
  </si>
  <si>
    <t>X69</t>
  </si>
  <si>
    <t>Y69</t>
  </si>
  <si>
    <t>Z69</t>
  </si>
  <si>
    <t>AA69</t>
  </si>
  <si>
    <t>AB69</t>
  </si>
  <si>
    <t>AC69</t>
  </si>
  <si>
    <t>AD69</t>
  </si>
  <si>
    <t>AE69</t>
  </si>
  <si>
    <t>D80</t>
  </si>
  <si>
    <t>E80</t>
  </si>
  <si>
    <t>F80</t>
  </si>
  <si>
    <t>G80</t>
  </si>
  <si>
    <t>H80</t>
  </si>
  <si>
    <t>I80</t>
  </si>
  <si>
    <t>J80</t>
  </si>
  <si>
    <t>K80</t>
  </si>
  <si>
    <t>L80</t>
  </si>
  <si>
    <t>生物|化学|环境</t>
  </si>
  <si>
    <t>M80</t>
  </si>
  <si>
    <t>N80</t>
  </si>
  <si>
    <t>O80</t>
  </si>
  <si>
    <t>P80</t>
  </si>
  <si>
    <t>Q80</t>
  </si>
  <si>
    <t>R80</t>
  </si>
  <si>
    <t>S80</t>
  </si>
  <si>
    <t>U80</t>
  </si>
  <si>
    <t>V80</t>
  </si>
  <si>
    <t>W80</t>
  </si>
  <si>
    <t>X80</t>
  </si>
  <si>
    <t>Y80</t>
  </si>
  <si>
    <t>Z80</t>
  </si>
  <si>
    <t>AA80</t>
  </si>
  <si>
    <t>AB80</t>
  </si>
  <si>
    <t>AC80</t>
  </si>
  <si>
    <t>AD80</t>
  </si>
  <si>
    <t>AE80</t>
  </si>
  <si>
    <t>D81</t>
  </si>
  <si>
    <t>E81</t>
  </si>
  <si>
    <t>F81</t>
  </si>
  <si>
    <t>G81</t>
  </si>
  <si>
    <t>化学|环境学</t>
  </si>
  <si>
    <t>H81</t>
  </si>
  <si>
    <t>植物学|生物学</t>
  </si>
  <si>
    <t>I81</t>
  </si>
  <si>
    <t>J81</t>
  </si>
  <si>
    <t>K81</t>
  </si>
  <si>
    <t>L81</t>
  </si>
  <si>
    <t>M81</t>
  </si>
  <si>
    <t>N81</t>
  </si>
  <si>
    <t>O81</t>
  </si>
  <si>
    <t>P81</t>
  </si>
  <si>
    <t>Q81</t>
  </si>
  <si>
    <t>R81</t>
  </si>
  <si>
    <t>S81</t>
  </si>
  <si>
    <t>U81</t>
  </si>
  <si>
    <t>V81</t>
  </si>
  <si>
    <t>W81</t>
  </si>
  <si>
    <t>X81</t>
  </si>
  <si>
    <t>Y81</t>
  </si>
  <si>
    <t>Z81</t>
  </si>
  <si>
    <t>AA81</t>
  </si>
  <si>
    <t>AB81</t>
  </si>
  <si>
    <t>AC81</t>
  </si>
  <si>
    <t>AD81</t>
  </si>
  <si>
    <t>AE81</t>
  </si>
  <si>
    <t>D83</t>
  </si>
  <si>
    <t>E83</t>
  </si>
  <si>
    <t>F83</t>
  </si>
  <si>
    <t>G83</t>
  </si>
  <si>
    <t>H83</t>
  </si>
  <si>
    <t>I83</t>
  </si>
  <si>
    <t>西班牙语</t>
  </si>
  <si>
    <t>外语（西班牙语）</t>
  </si>
  <si>
    <t>J83</t>
  </si>
  <si>
    <t>K83</t>
  </si>
  <si>
    <t>L83</t>
  </si>
  <si>
    <t>M83</t>
  </si>
  <si>
    <t>N83</t>
  </si>
  <si>
    <t>船</t>
  </si>
  <si>
    <t>特种载具（船）</t>
  </si>
  <si>
    <t>O83</t>
  </si>
  <si>
    <t>P83</t>
  </si>
  <si>
    <t>Q83</t>
  </si>
  <si>
    <t>R83</t>
  </si>
  <si>
    <t>S83</t>
  </si>
  <si>
    <t>U83</t>
  </si>
  <si>
    <t>V83</t>
  </si>
  <si>
    <t>W83</t>
  </si>
  <si>
    <t>X83</t>
  </si>
  <si>
    <t>Y83</t>
  </si>
  <si>
    <t>Z83</t>
  </si>
  <si>
    <t>AA83</t>
  </si>
  <si>
    <t>AB83</t>
  </si>
  <si>
    <t>AC83</t>
  </si>
  <si>
    <t>AD83</t>
  </si>
  <si>
    <t>AE83</t>
  </si>
  <si>
    <t>D86</t>
  </si>
  <si>
    <t>E86</t>
  </si>
  <si>
    <t>F86</t>
  </si>
  <si>
    <t>G86</t>
  </si>
  <si>
    <t>H86</t>
  </si>
  <si>
    <t>I86</t>
  </si>
  <si>
    <t>J86</t>
  </si>
  <si>
    <t>K86</t>
  </si>
  <si>
    <t>L86</t>
  </si>
  <si>
    <t>M86</t>
  </si>
  <si>
    <t>N86</t>
  </si>
  <si>
    <t>O86</t>
  </si>
  <si>
    <t>P86</t>
  </si>
  <si>
    <t>Q86</t>
  </si>
  <si>
    <t>R86</t>
  </si>
  <si>
    <t>S86</t>
  </si>
  <si>
    <t>U86</t>
  </si>
  <si>
    <t>V86</t>
  </si>
  <si>
    <t>W86</t>
  </si>
  <si>
    <t>X86</t>
  </si>
  <si>
    <t>Y86</t>
  </si>
  <si>
    <t>Z86</t>
  </si>
  <si>
    <t>AA86</t>
  </si>
  <si>
    <t>AB86</t>
  </si>
  <si>
    <t>AC86</t>
  </si>
  <si>
    <t>AD86</t>
  </si>
  <si>
    <t>AE86</t>
  </si>
  <si>
    <t>D87</t>
  </si>
  <si>
    <t>E87</t>
  </si>
  <si>
    <t>F87</t>
  </si>
  <si>
    <t>G87</t>
  </si>
  <si>
    <t>H87</t>
  </si>
  <si>
    <t>I87</t>
  </si>
  <si>
    <t>J87</t>
  </si>
  <si>
    <t>K87</t>
  </si>
  <si>
    <t>L87</t>
  </si>
  <si>
    <t>M87</t>
  </si>
  <si>
    <t>N87</t>
  </si>
  <si>
    <t>O87</t>
  </si>
  <si>
    <t>P87</t>
  </si>
  <si>
    <t>Q87</t>
  </si>
  <si>
    <t>R87</t>
  </si>
  <si>
    <t>S87</t>
  </si>
  <si>
    <t>U87</t>
  </si>
  <si>
    <t>V87</t>
  </si>
  <si>
    <t>W87</t>
  </si>
  <si>
    <t>X87</t>
  </si>
  <si>
    <t>Y87</t>
  </si>
  <si>
    <t>Z87</t>
  </si>
  <si>
    <t>AA87</t>
  </si>
  <si>
    <t>AB87</t>
  </si>
  <si>
    <t>AC87</t>
  </si>
  <si>
    <t>AD87</t>
  </si>
  <si>
    <t>AE87</t>
  </si>
  <si>
    <t>D90</t>
  </si>
  <si>
    <t>E90</t>
  </si>
  <si>
    <t>F90</t>
  </si>
  <si>
    <t>G90</t>
  </si>
  <si>
    <t>H90</t>
  </si>
  <si>
    <t>I90</t>
  </si>
  <si>
    <t>J90</t>
  </si>
  <si>
    <t>K90</t>
  </si>
  <si>
    <t>L90</t>
  </si>
  <si>
    <t>M90</t>
  </si>
  <si>
    <t>N90</t>
  </si>
  <si>
    <t>O90</t>
  </si>
  <si>
    <t>P90</t>
  </si>
  <si>
    <t>Q90</t>
  </si>
  <si>
    <t>R90</t>
  </si>
  <si>
    <t>S90</t>
  </si>
  <si>
    <t>U90</t>
  </si>
  <si>
    <t>V90</t>
  </si>
  <si>
    <t>W90</t>
  </si>
  <si>
    <t>X90</t>
  </si>
  <si>
    <t>Y90</t>
  </si>
  <si>
    <t>Z90</t>
  </si>
  <si>
    <t>AA90</t>
  </si>
  <si>
    <t>AB90</t>
  </si>
  <si>
    <t>AC90</t>
  </si>
  <si>
    <t>AD90</t>
  </si>
  <si>
    <t>AE90</t>
  </si>
  <si>
    <t>D91</t>
  </si>
  <si>
    <t>E91</t>
  </si>
  <si>
    <t>F91</t>
  </si>
  <si>
    <t>G91</t>
  </si>
  <si>
    <t>H91</t>
  </si>
  <si>
    <t>I91</t>
  </si>
  <si>
    <t>J91</t>
  </si>
  <si>
    <t>K91</t>
  </si>
  <si>
    <t>L91</t>
  </si>
  <si>
    <t>M91</t>
  </si>
  <si>
    <t>N91</t>
  </si>
  <si>
    <t>O91</t>
  </si>
  <si>
    <t>P91</t>
  </si>
  <si>
    <t>Q91</t>
  </si>
  <si>
    <t>R91</t>
  </si>
  <si>
    <t>S91</t>
  </si>
  <si>
    <t>U91</t>
  </si>
  <si>
    <t>V91</t>
  </si>
  <si>
    <t>W91</t>
  </si>
  <si>
    <t>X91</t>
  </si>
  <si>
    <t>Y91</t>
  </si>
  <si>
    <t>Z91</t>
  </si>
  <si>
    <t>AA91</t>
  </si>
  <si>
    <t>AB91</t>
  </si>
  <si>
    <t>AC91</t>
  </si>
  <si>
    <t>AD91</t>
  </si>
  <si>
    <t>AE91</t>
  </si>
  <si>
    <t>D93</t>
  </si>
  <si>
    <t>E93</t>
  </si>
  <si>
    <t>F93</t>
  </si>
  <si>
    <t>G93</t>
  </si>
  <si>
    <t>H93</t>
  </si>
  <si>
    <t>I93</t>
  </si>
  <si>
    <t>J93</t>
  </si>
  <si>
    <t>K93</t>
  </si>
  <si>
    <t>L93</t>
  </si>
  <si>
    <t>M93</t>
  </si>
  <si>
    <t>N93</t>
  </si>
  <si>
    <t>O93</t>
  </si>
  <si>
    <t>P93</t>
  </si>
  <si>
    <t>Q93</t>
  </si>
  <si>
    <t>R93</t>
  </si>
  <si>
    <t>S93</t>
  </si>
  <si>
    <t>U93</t>
  </si>
  <si>
    <t>V93</t>
  </si>
  <si>
    <t>W93</t>
  </si>
  <si>
    <t>X93</t>
  </si>
  <si>
    <t>Y93</t>
  </si>
  <si>
    <t>Z93</t>
  </si>
  <si>
    <t>AA93</t>
  </si>
  <si>
    <t>AB93</t>
  </si>
  <si>
    <t>AC93</t>
  </si>
  <si>
    <t>AD93</t>
  </si>
  <si>
    <t>AE93</t>
  </si>
  <si>
    <t>D94</t>
  </si>
  <si>
    <t>E94</t>
  </si>
  <si>
    <t>F94</t>
  </si>
  <si>
    <t>G94</t>
  </si>
  <si>
    <t>H94</t>
  </si>
  <si>
    <t>I94</t>
  </si>
  <si>
    <t>J94</t>
  </si>
  <si>
    <t>K94</t>
  </si>
  <si>
    <t>L94</t>
  </si>
  <si>
    <t>M94</t>
  </si>
  <si>
    <t>N94</t>
  </si>
  <si>
    <t>O94</t>
  </si>
  <si>
    <t>P94</t>
  </si>
  <si>
    <t>Q94</t>
  </si>
  <si>
    <t>R94</t>
  </si>
  <si>
    <t>S94</t>
  </si>
  <si>
    <t>U94</t>
  </si>
  <si>
    <t>V94</t>
  </si>
  <si>
    <t>W94</t>
  </si>
  <si>
    <t>X94</t>
  </si>
  <si>
    <t>Y94</t>
  </si>
  <si>
    <t>Z94</t>
  </si>
  <si>
    <t>AA94</t>
  </si>
  <si>
    <t>AB94</t>
  </si>
  <si>
    <t>AC94</t>
  </si>
  <si>
    <t>AD94</t>
  </si>
  <si>
    <t>AE94</t>
  </si>
  <si>
    <t>D96</t>
  </si>
  <si>
    <t>E96</t>
  </si>
  <si>
    <t>F96</t>
  </si>
  <si>
    <t>G96</t>
  </si>
  <si>
    <t>H96</t>
  </si>
  <si>
    <t>I96</t>
  </si>
  <si>
    <t>J96</t>
  </si>
  <si>
    <t>K96</t>
  </si>
  <si>
    <t>L96</t>
  </si>
  <si>
    <t>M96</t>
  </si>
  <si>
    <t>N96</t>
  </si>
  <si>
    <t>O96</t>
  </si>
  <si>
    <t>P96</t>
  </si>
  <si>
    <t>Q96</t>
  </si>
  <si>
    <t>R96</t>
  </si>
  <si>
    <t>S96</t>
  </si>
  <si>
    <t>U96</t>
  </si>
  <si>
    <t>V96</t>
  </si>
  <si>
    <t>W96</t>
  </si>
  <si>
    <t>X96</t>
  </si>
  <si>
    <t>Y96</t>
  </si>
  <si>
    <t>Z96</t>
  </si>
  <si>
    <t>AA96</t>
  </si>
  <si>
    <t>AB96</t>
  </si>
  <si>
    <t>AC96</t>
  </si>
  <si>
    <t>AD96</t>
  </si>
  <si>
    <t>AE96</t>
  </si>
  <si>
    <t>D97</t>
  </si>
  <si>
    <t>E97</t>
  </si>
  <si>
    <t>F97</t>
  </si>
  <si>
    <t>G97</t>
  </si>
  <si>
    <t>H97</t>
  </si>
  <si>
    <t>I97</t>
  </si>
  <si>
    <t>J97</t>
  </si>
  <si>
    <t>K97</t>
  </si>
  <si>
    <t>L97</t>
  </si>
  <si>
    <t>M97</t>
  </si>
  <si>
    <t>N97</t>
  </si>
  <si>
    <t>O97</t>
  </si>
  <si>
    <t>P97</t>
  </si>
  <si>
    <t>Q97</t>
  </si>
  <si>
    <t>R97</t>
  </si>
  <si>
    <t>S97</t>
  </si>
  <si>
    <t>U97</t>
  </si>
  <si>
    <t>V97</t>
  </si>
  <si>
    <t>W97</t>
  </si>
  <si>
    <t>X97</t>
  </si>
  <si>
    <t>Y97</t>
  </si>
  <si>
    <t>Z97</t>
  </si>
  <si>
    <t>AA97</t>
  </si>
  <si>
    <t>AB97</t>
  </si>
  <si>
    <t>AC97</t>
  </si>
  <si>
    <t>AD97</t>
  </si>
  <si>
    <t>AE97</t>
  </si>
  <si>
    <t>D99</t>
  </si>
  <si>
    <t>E99</t>
  </si>
  <si>
    <t>F99</t>
  </si>
  <si>
    <t>G99</t>
  </si>
  <si>
    <t>H99</t>
  </si>
  <si>
    <t>I99</t>
  </si>
  <si>
    <t>J99</t>
  </si>
  <si>
    <t>K99</t>
  </si>
  <si>
    <t>L99</t>
  </si>
  <si>
    <t>M99</t>
  </si>
  <si>
    <t>N99</t>
  </si>
  <si>
    <t>O99</t>
  </si>
  <si>
    <t>P99</t>
  </si>
  <si>
    <t>Q99</t>
  </si>
  <si>
    <t>R99</t>
  </si>
  <si>
    <t>S99</t>
  </si>
  <si>
    <t>U99</t>
  </si>
  <si>
    <t>V99</t>
  </si>
  <si>
    <t>W99</t>
  </si>
  <si>
    <t>X99</t>
  </si>
  <si>
    <t>Y99</t>
  </si>
  <si>
    <t>Z99</t>
  </si>
  <si>
    <t>AA99</t>
  </si>
  <si>
    <t>AB99</t>
  </si>
  <si>
    <t>AC99</t>
  </si>
  <si>
    <t>AD99</t>
  </si>
  <si>
    <t>AE99</t>
  </si>
  <si>
    <t>D102</t>
  </si>
  <si>
    <t>E102</t>
  </si>
  <si>
    <t>F102</t>
  </si>
  <si>
    <t>G102</t>
  </si>
  <si>
    <t>H102</t>
  </si>
  <si>
    <t>I102</t>
  </si>
  <si>
    <t>J102</t>
  </si>
  <si>
    <t>K102</t>
  </si>
  <si>
    <t>L102</t>
  </si>
  <si>
    <t>M102</t>
  </si>
  <si>
    <t>N102</t>
  </si>
  <si>
    <t>O102</t>
  </si>
  <si>
    <t>P102</t>
  </si>
  <si>
    <t>Q102</t>
  </si>
  <si>
    <t>R102</t>
  </si>
  <si>
    <t>S102</t>
  </si>
  <si>
    <t>U102</t>
  </si>
  <si>
    <t>V102</t>
  </si>
  <si>
    <t>W102</t>
  </si>
  <si>
    <t>X102</t>
  </si>
  <si>
    <t>Y102</t>
  </si>
  <si>
    <t>Z102</t>
  </si>
  <si>
    <t>AA102</t>
  </si>
  <si>
    <t>AB102</t>
  </si>
  <si>
    <t>AC102</t>
  </si>
  <si>
    <t>AD102</t>
  </si>
  <si>
    <t>AE102</t>
  </si>
  <si>
    <t>D103</t>
  </si>
  <si>
    <t>E103</t>
  </si>
  <si>
    <t>F103</t>
  </si>
  <si>
    <t>G103</t>
  </si>
  <si>
    <t>H103</t>
  </si>
  <si>
    <t>I103</t>
  </si>
  <si>
    <t>J103</t>
  </si>
  <si>
    <t>K103</t>
  </si>
  <si>
    <t>L103</t>
  </si>
  <si>
    <t>M103</t>
  </si>
  <si>
    <t>N103</t>
  </si>
  <si>
    <t>O103</t>
  </si>
  <si>
    <t>P103</t>
  </si>
  <si>
    <t>Q103</t>
  </si>
  <si>
    <t>R103</t>
  </si>
  <si>
    <t>S103</t>
  </si>
  <si>
    <t>U103</t>
  </si>
  <si>
    <t>V103</t>
  </si>
  <si>
    <t>W103</t>
  </si>
  <si>
    <t>X103</t>
  </si>
  <si>
    <t>Y103</t>
  </si>
  <si>
    <t>Z103</t>
  </si>
  <si>
    <t>AA103</t>
  </si>
  <si>
    <t>AB103</t>
  </si>
  <si>
    <t>AC103</t>
  </si>
  <si>
    <t>AD103</t>
  </si>
  <si>
    <t>AE103</t>
  </si>
  <si>
    <t>D104</t>
  </si>
  <si>
    <t>E104</t>
  </si>
  <si>
    <t>F104</t>
  </si>
  <si>
    <t>G104</t>
  </si>
  <si>
    <t>H104</t>
  </si>
  <si>
    <t>I104</t>
  </si>
  <si>
    <t>J104</t>
  </si>
  <si>
    <t>K104</t>
  </si>
  <si>
    <t>L104</t>
  </si>
  <si>
    <t>M104</t>
  </si>
  <si>
    <t>N104</t>
  </si>
  <si>
    <t>O104</t>
  </si>
  <si>
    <t>P104</t>
  </si>
  <si>
    <t>Q104</t>
  </si>
  <si>
    <t>R104</t>
  </si>
  <si>
    <t>S104</t>
  </si>
  <si>
    <t>U104</t>
  </si>
  <si>
    <t>V104</t>
  </si>
  <si>
    <t>W104</t>
  </si>
  <si>
    <t>X104</t>
  </si>
  <si>
    <t>Y104</t>
  </si>
  <si>
    <t>Z104</t>
  </si>
  <si>
    <t>AA104</t>
  </si>
  <si>
    <t>AB104</t>
  </si>
  <si>
    <t>AC104</t>
  </si>
  <si>
    <t>AD104</t>
  </si>
  <si>
    <t>AE104</t>
  </si>
  <si>
    <t>D105</t>
  </si>
  <si>
    <t>E105</t>
  </si>
  <si>
    <t>F105</t>
  </si>
  <si>
    <t>G105</t>
  </si>
  <si>
    <t>H105</t>
  </si>
  <si>
    <t>I105</t>
  </si>
  <si>
    <t>J105</t>
  </si>
  <si>
    <t>K105</t>
  </si>
  <si>
    <t>L105</t>
  </si>
  <si>
    <t>M105</t>
  </si>
  <si>
    <t>N105</t>
  </si>
  <si>
    <t>O105</t>
  </si>
  <si>
    <t>P105</t>
  </si>
  <si>
    <t>Q105</t>
  </si>
  <si>
    <t>R105</t>
  </si>
  <si>
    <t>S105</t>
  </si>
  <si>
    <t>U105</t>
  </si>
  <si>
    <t>V105</t>
  </si>
  <si>
    <t>W105</t>
  </si>
  <si>
    <t>X105</t>
  </si>
  <si>
    <t>Y105</t>
  </si>
  <si>
    <t>Z105</t>
  </si>
  <si>
    <t>AA105</t>
  </si>
  <si>
    <t>AB105</t>
  </si>
  <si>
    <t>AC105</t>
  </si>
  <si>
    <t>AD105</t>
  </si>
  <si>
    <t>AE105</t>
  </si>
  <si>
    <t>P26</t>
  </si>
  <si>
    <t>Y26</t>
  </si>
  <si>
    <t>P27</t>
  </si>
  <si>
    <t>Y27</t>
  </si>
  <si>
    <t>P28</t>
  </si>
  <si>
    <t>Y28</t>
  </si>
  <si>
    <t>P29</t>
  </si>
  <si>
    <t>Y29</t>
  </si>
  <si>
    <t>P31</t>
  </si>
  <si>
    <t>Y31</t>
  </si>
  <si>
    <t>P32</t>
  </si>
  <si>
    <t>Y32</t>
  </si>
  <si>
    <t>P33</t>
  </si>
  <si>
    <t>Y33</t>
  </si>
  <si>
    <t>P35</t>
  </si>
  <si>
    <t>Y35</t>
  </si>
  <si>
    <t>P36</t>
  </si>
  <si>
    <t>Y36</t>
  </si>
  <si>
    <t>P38</t>
  </si>
  <si>
    <t>Y38</t>
  </si>
  <si>
    <t>P39</t>
  </si>
  <si>
    <t>Y39</t>
  </si>
  <si>
    <t>P41</t>
  </si>
  <si>
    <t>Y41</t>
  </si>
  <si>
    <t>P42</t>
  </si>
  <si>
    <t>Y42</t>
  </si>
  <si>
    <t>AS14</t>
  </si>
  <si>
    <t>BB14</t>
  </si>
  <si>
    <t>AS15</t>
  </si>
  <si>
    <t>BB15</t>
  </si>
  <si>
    <t>AS16</t>
  </si>
  <si>
    <t>BB16</t>
  </si>
  <si>
    <t>AS17</t>
  </si>
  <si>
    <t>BB17</t>
  </si>
  <si>
    <t>AS18</t>
  </si>
  <si>
    <t>BB18</t>
  </si>
  <si>
    <t>AS19</t>
  </si>
  <si>
    <t>BB19</t>
  </si>
  <si>
    <t>AS20</t>
  </si>
  <si>
    <t>BB20</t>
  </si>
  <si>
    <t>AS21</t>
  </si>
  <si>
    <t>BB21</t>
  </si>
  <si>
    <t>AS22</t>
  </si>
  <si>
    <t>BB22</t>
  </si>
  <si>
    <t>AS23</t>
  </si>
  <si>
    <t>BB23</t>
  </si>
  <si>
    <t>AS24</t>
  </si>
  <si>
    <t>BB24</t>
  </si>
  <si>
    <t>AS25</t>
  </si>
  <si>
    <t>BB25</t>
  </si>
  <si>
    <t>AS26</t>
  </si>
  <si>
    <t>BB26</t>
  </si>
  <si>
    <t>AS27</t>
  </si>
  <si>
    <t>BB27</t>
  </si>
  <si>
    <t>AS28</t>
  </si>
  <si>
    <t>BB28</t>
  </si>
  <si>
    <t>AS29</t>
  </si>
  <si>
    <t>BB29</t>
  </si>
  <si>
    <t>AS30</t>
  </si>
  <si>
    <t>BB30</t>
  </si>
  <si>
    <t>AS31</t>
  </si>
  <si>
    <t>BB31</t>
  </si>
  <si>
    <t>AS32</t>
  </si>
  <si>
    <t>BB32</t>
  </si>
  <si>
    <t>AS33</t>
  </si>
  <si>
    <t>BB33</t>
  </si>
  <si>
    <t>AS34</t>
  </si>
  <si>
    <t>BB34</t>
  </si>
  <si>
    <t>AS35</t>
  </si>
  <si>
    <t>BB35</t>
  </si>
  <si>
    <t>AS36</t>
  </si>
  <si>
    <t>BB36</t>
  </si>
  <si>
    <t>AS37</t>
  </si>
  <si>
    <t>BB37</t>
  </si>
  <si>
    <t>AS38</t>
  </si>
  <si>
    <t>BB38</t>
  </si>
  <si>
    <t>AS40</t>
  </si>
  <si>
    <t>BB40</t>
  </si>
  <si>
    <t>AS41</t>
  </si>
  <si>
    <t>BB41</t>
  </si>
  <si>
    <t>AS42</t>
  </si>
  <si>
    <t>BB42</t>
  </si>
  <si>
    <t>AS43</t>
  </si>
  <si>
    <t>BB43</t>
  </si>
  <si>
    <t>自选技能1（+20）</t>
  </si>
  <si>
    <t>自选技能2（+20）</t>
  </si>
  <si>
    <t>自选技能3（+20）</t>
  </si>
  <si>
    <t>自选技能4（+20）</t>
  </si>
  <si>
    <t>自选技能5（+20）</t>
  </si>
  <si>
    <t>自选技能6（+20）</t>
  </si>
  <si>
    <t>自选技能7（+20）</t>
  </si>
  <si>
    <t>自选技能8（+20）</t>
  </si>
  <si>
    <t>group</t>
  </si>
  <si>
    <t>|工艺*|</t>
  </si>
  <si>
    <t>|艺术*|</t>
  </si>
  <si>
    <t>个人特长（可重复）</t>
  </si>
  <si>
    <t>|外语*|</t>
  </si>
  <si>
    <t>候选任选1</t>
  </si>
  <si>
    <t>|运动|外语*|射击|人源情报|近战武器|药学|徒手搏斗|</t>
  </si>
  <si>
    <t>候选任选2</t>
  </si>
  <si>
    <t>|人类学|考古学|</t>
  </si>
  <si>
    <t>|军事科学*|</t>
  </si>
  <si>
    <t>|炮术|重型机械|重型武器|人源情报|特种载具*|信号情报|</t>
  </si>
  <si>
    <t>|特种载具*|</t>
  </si>
  <si>
    <t>|科学*|</t>
  </si>
  <si>
    <t>|会计学|法证学|法律|药学|</t>
  </si>
  <si>
    <t>失忆症</t>
  </si>
  <si>
    <t>人格解体障碍</t>
  </si>
  <si>
    <t>抑郁症</t>
  </si>
  <si>
    <t>分离性人格障碍</t>
  </si>
  <si>
    <t>漫游症</t>
  </si>
  <si>
    <t>自大狂</t>
  </si>
  <si>
    <t>偏执</t>
  </si>
  <si>
    <t>睡眠障碍</t>
  </si>
  <si>
    <t>赤手空拳</t>
  </si>
  <si>
    <t>1D4-1</t>
  </si>
  <si>
    <t>不适用</t>
  </si>
  <si>
    <t>近战</t>
  </si>
  <si>
    <t>无</t>
  </si>
  <si>
    <t>黄铜指虎，重型手电筒，钢趾靴</t>
  </si>
  <si>
    <t>1D4</t>
  </si>
  <si>
    <t>细微</t>
  </si>
  <si>
    <t>绞具</t>
  </si>
  <si>
    <t>特殊：只在出其不意时可用；成功后目标被钳制；持续效果每战斗轮1D6伤害，直到目标挣脱。</t>
  </si>
  <si>
    <t>3</t>
  </si>
  <si>
    <t>短柄斧</t>
  </si>
  <si>
    <t>大型匕首或格斗短剑</t>
  </si>
  <si>
    <t>1D6</t>
  </si>
  <si>
    <t>高尔夫球棒，木棍，警棍或伸缩警棍</t>
  </si>
  <si>
    <t>大砍刀，印第安战斧或剑</t>
  </si>
  <si>
    <t>1D8</t>
  </si>
  <si>
    <t>棒球棍或步枪枪托</t>
  </si>
  <si>
    <t>长矛或刺刀</t>
  </si>
  <si>
    <t>伐木斧</t>
  </si>
  <si>
    <t>1D10</t>
  </si>
  <si>
    <t>长剑</t>
  </si>
  <si>
    <t>常规</t>
  </si>
  <si>
    <t>双手剑</t>
  </si>
  <si>
    <t>1D12</t>
  </si>
  <si>
    <t>需要特训。</t>
  </si>
  <si>
    <t>胡椒喷雾钥匙扣</t>
  </si>
  <si>
    <t>敏捷×5</t>
  </si>
  <si>
    <t>AK5</t>
  </si>
  <si>
    <t>眩晕</t>
  </si>
  <si>
    <t>1 米</t>
  </si>
  <si>
    <t>单体</t>
  </si>
  <si>
    <t>目标体质×5检定失败时眩晕；通过则无眩晕且惩罚时长减半（手册纸页93）。</t>
  </si>
  <si>
    <t>胡椒喷雾罐</t>
  </si>
  <si>
    <t>3 米</t>
  </si>
  <si>
    <t>两个目标</t>
  </si>
  <si>
    <t>投掷用催泪瓦斯手雷</t>
  </si>
  <si>
    <t>20 米</t>
  </si>
  <si>
    <t>10 米</t>
  </si>
  <si>
    <t>需要特训。游戏效果：目标体质×5检定决定眩晕与惩罚时长；攻击修正详见手册纸页93。</t>
  </si>
  <si>
    <t>发射用催泪瓦斯爆弹</t>
  </si>
  <si>
    <t>50 米</t>
  </si>
  <si>
    <t>游戏效果：目标体质×5检定决定眩晕与惩罚时长；攻击修正详见手册纸页93。</t>
  </si>
  <si>
    <t>投掷用闪光弹</t>
  </si>
  <si>
    <t>需要特训。室外有效半径5米；眩晕结束后−40%持续1D6轮（防护可能减轻）。</t>
  </si>
  <si>
    <t>发射用闪光弹</t>
  </si>
  <si>
    <t>室外有效半径5米；眩晕结束后−40%持续1D6轮（防护可能减轻）。</t>
  </si>
  <si>
    <t>电击枪</t>
  </si>
  <si>
    <t>目标体质×5检定抵抗眩晕；眩晕后惩罚−20%持续1D20轮。</t>
  </si>
  <si>
    <t>电棍</t>
  </si>
  <si>
    <t>投射式电击枪</t>
  </si>
  <si>
    <t>4 米</t>
  </si>
  <si>
    <t>需要特训。目标体质×5检定抵抗眩晕；眩晕后惩罚−20%持续1D20轮。</t>
  </si>
  <si>
    <t>轻型手枪</t>
  </si>
  <si>
    <t>转轮型装弹量6；基础行按详表装弹量。</t>
  </si>
  <si>
    <t>中型手枪</t>
  </si>
  <si>
    <t>15 米</t>
  </si>
  <si>
    <t>重型手枪</t>
  </si>
  <si>
    <t>霰弹枪（独头弹）</t>
  </si>
  <si>
    <t>2D8</t>
  </si>
  <si>
    <t>75 米</t>
  </si>
  <si>
    <t>手册纸页97：基础距离以外伤害为2D6；双管霰弹枪装弹量2。</t>
  </si>
  <si>
    <t>霰弹枪（霰弹弹丸）</t>
  </si>
  <si>
    <t>手册纸页97：基础距离以外造成一半伤害。星号为此条脚注；本行为12口径基础档。</t>
  </si>
  <si>
    <t>霰弹枪（非致命弹药）</t>
  </si>
  <si>
    <t>1D6 并击昏</t>
  </si>
  <si>
    <t>1D6并击昏。</t>
  </si>
  <si>
    <t>轻型步枪或卡宾枪</t>
  </si>
  <si>
    <t>1D12 / 10%</t>
  </si>
  <si>
    <t>100 米</t>
  </si>
  <si>
    <t>通常伤害1D12；弹幕用10%致死；较大口径版本的1D12+1为明确变体，不覆盖基础行。</t>
  </si>
  <si>
    <t>冲锋枪（SMG）</t>
  </si>
  <si>
    <t>1D10 / 10%</t>
  </si>
  <si>
    <t>通常伤害1D10；弹幕用10%致死。</t>
  </si>
  <si>
    <t>显著</t>
  </si>
  <si>
    <t>重型步枪</t>
  </si>
  <si>
    <t>1D12+2 / 10%</t>
  </si>
  <si>
    <t>5</t>
  </si>
  <si>
    <t>150 米</t>
  </si>
  <si>
    <t>通常伤害1D12+2；弹幕用10%致死（以纸页97武器详表为准）。</t>
  </si>
  <si>
    <t>超重型步枪</t>
  </si>
  <si>
    <t>20%</t>
  </si>
  <si>
    <t>250 米</t>
  </si>
  <si>
    <t>重大</t>
  </si>
  <si>
    <t>手榴弹</t>
  </si>
  <si>
    <t>15%</t>
  </si>
  <si>
    <t>火箭推进榴弹发射器（RPG）</t>
  </si>
  <si>
    <t>30%</t>
  </si>
  <si>
    <t>20</t>
  </si>
  <si>
    <t>200 米</t>
  </si>
  <si>
    <t>手持式喷火器</t>
  </si>
  <si>
    <t>10%</t>
  </si>
  <si>
    <t>5 米</t>
  </si>
  <si>
    <t>军用喷火器</t>
  </si>
  <si>
    <t>2 米</t>
  </si>
  <si>
    <t>通用机关枪（GPMG）</t>
  </si>
  <si>
    <t>300 米</t>
  </si>
  <si>
    <t>视射击模式</t>
  </si>
  <si>
    <t>半径视射击模式（手册纸页56/PDF57）。下拉保留常见缩写GPMG；指定手册表中原文拼为GPMP。</t>
  </si>
  <si>
    <t>榴弹发射器（GL）</t>
  </si>
  <si>
    <t>转轮型装弹量6；基础行装弹量1。</t>
  </si>
  <si>
    <t>榴弹炮机关枪</t>
  </si>
  <si>
    <t>15% / 20%*</t>
  </si>
  <si>
    <t>通常致死15%；弹幕变体（5发）致死20%。</t>
  </si>
  <si>
    <t>重型机关枪（HMG）</t>
  </si>
  <si>
    <t>400 米</t>
  </si>
  <si>
    <t>半径视射击模式（指定手册纸页56/PDF57），未固定为3米。</t>
  </si>
  <si>
    <t>轻型机关枪（LMG）</t>
  </si>
  <si>
    <t>自动火炮</t>
  </si>
  <si>
    <t>极端</t>
  </si>
  <si>
    <t>转轮机枪/机炮</t>
  </si>
  <si>
    <t>3 米（需连续扫射）</t>
  </si>
  <si>
    <t>3米击杀半径需连续扫射。</t>
  </si>
  <si>
    <t>铵油炸药</t>
  </si>
  <si>
    <t>C4 塑胶炸药包，570 克。</t>
  </si>
  <si>
    <t>简易爆炸装置（IED）</t>
  </si>
  <si>
    <t>这是游戏武器分类。较大型变体游戏数值为30%致死、20米半径，不能覆盖基础15%/10米行。</t>
  </si>
  <si>
    <t>大型简易爆炸装置（大型 IED）</t>
  </si>
  <si>
    <t>60%</t>
  </si>
  <si>
    <t>重型反坦克地雷</t>
  </si>
  <si>
    <t>25%</t>
  </si>
  <si>
    <t>通用炸弹</t>
  </si>
  <si>
    <t>70%</t>
  </si>
  <si>
    <t>10</t>
  </si>
  <si>
    <t>空投</t>
  </si>
  <si>
    <t>需要特训。基础射程栏原文为“空投”。</t>
  </si>
  <si>
    <t>重型迫击炮</t>
  </si>
  <si>
    <t>35%</t>
  </si>
  <si>
    <t>4 千米</t>
  </si>
  <si>
    <t>轻型迫击炮</t>
  </si>
  <si>
    <t>2 千米</t>
  </si>
  <si>
    <t>25 米</t>
  </si>
  <si>
    <t>反坦克制导导弹（ATGM）</t>
  </si>
  <si>
    <t>45%</t>
  </si>
  <si>
    <t>25</t>
  </si>
  <si>
    <t>火炮</t>
  </si>
  <si>
    <t>50%</t>
  </si>
  <si>
    <t>5 千米</t>
  </si>
  <si>
    <t>巡航导弹</t>
  </si>
  <si>
    <t>80%</t>
  </si>
  <si>
    <t>15</t>
  </si>
  <si>
    <t>100 千米</t>
  </si>
  <si>
    <t>防暴头盔（护甲+1）</t>
  </si>
  <si>
    <t>凯夫拉尔头盔（护甲+1）</t>
  </si>
  <si>
    <t>凯夫拉尔防弹背心（护甲3）</t>
  </si>
  <si>
    <t>增强凯夫拉尔防弹背心（护甲4）</t>
  </si>
  <si>
    <t>战术防弹衣（护甲5）</t>
  </si>
  <si>
    <t>防爆服（护甲10）</t>
  </si>
  <si>
    <t>检定与对抗</t>
  </si>
  <si>
    <t>追逐</t>
  </si>
  <si>
    <t>毅力与劳累</t>
  </si>
  <si>
    <t>战斗流程</t>
  </si>
  <si>
    <t>防御</t>
  </si>
  <si>
    <t>伤害与治疗</t>
  </si>
  <si>
    <t>致死与护甲</t>
  </si>
  <si>
    <t>射击模式</t>
  </si>
  <si>
    <t>其他伤害</t>
  </si>
  <si>
    <t>理智与疯狂</t>
  </si>
  <si>
    <t>创建创伤</t>
  </si>
  <si>
    <t>使用说明</t>
  </si>
  <si>
    <t>绿色三角洲关系</t>
  </si>
  <si>
    <t>大失败后果示例</t>
  </si>
  <si>
    <t>搜捕</t>
  </si>
  <si>
    <t>审讯</t>
  </si>
  <si>
    <t>医疗救治</t>
  </si>
  <si>
    <t>破坏证据</t>
  </si>
  <si>
    <t>处理尸体</t>
  </si>
  <si>
    <t>警察执法权限</t>
  </si>
  <si>
    <t>秘密行动</t>
  </si>
  <si>
    <t>监控行动</t>
  </si>
  <si>
    <t>追踪</t>
  </si>
  <si>
    <t>破门潜入行动</t>
  </si>
  <si>
    <t>战斗防护</t>
  </si>
  <si>
    <t>灼烧</t>
  </si>
  <si>
    <t>身体护甲</t>
  </si>
  <si>
    <t>地面载具</t>
  </si>
  <si>
    <t>水路载具</t>
  </si>
  <si>
    <t>空中载具</t>
  </si>
  <si>
    <t>护甲与开销</t>
  </si>
  <si>
    <t>申请总结</t>
  </si>
  <si>
    <t>徒手武器</t>
  </si>
  <si>
    <t>催泪瓦斯和胡椒喷雾</t>
  </si>
  <si>
    <t>震撼弹</t>
  </si>
  <si>
    <t>电击武器</t>
  </si>
  <si>
    <t>枪械</t>
  </si>
  <si>
    <t>重型武器续表</t>
  </si>
  <si>
    <t>爆炸物</t>
  </si>
  <si>
    <t>理智损失｜非自然现象</t>
  </si>
  <si>
    <t>理智损失｜经受暴力</t>
  </si>
  <si>
    <t>理智损失｜施行暴力</t>
  </si>
  <si>
    <t>理智损失｜无力感来源</t>
  </si>
  <si>
    <t>战斗修正</t>
  </si>
  <si>
    <t>毒素示例</t>
  </si>
  <si>
    <t>疾病示例</t>
  </si>
  <si>
    <t>装备权衡</t>
  </si>
  <si>
    <t>监控装备</t>
  </si>
  <si>
    <t>照明与视野</t>
  </si>
  <si>
    <t>破门潜入装备</t>
  </si>
  <si>
    <t>急救和生存</t>
  </si>
  <si>
    <t>地下医疗</t>
  </si>
  <si>
    <t>武器配件</t>
  </si>
  <si>
    <t>执法机构申请</t>
  </si>
  <si>
    <t>交通工具</t>
  </si>
  <si>
    <t>住宿</t>
  </si>
  <si>
    <t>身份与背景伪造</t>
  </si>
  <si>
    <t>储存</t>
  </si>
  <si>
    <t>镣铐机具</t>
  </si>
  <si>
    <t>研究</t>
  </si>
  <si>
    <t>通讯与计算机</t>
  </si>
  <si>
    <t>军事部门申请</t>
  </si>
  <si>
    <t>仅限正式申请</t>
  </si>
  <si>
    <t>情报部门申请</t>
  </si>
  <si>
    <t>公共安全申请</t>
  </si>
  <si>
    <t>分类</t>
  </si>
  <si>
    <t>条目</t>
  </si>
  <si>
    <t>何时掷骰</t>
  </si>
  <si>
    <t>由掌局者决定。行为困难、局面不可预料或失败会付出代价时才检定；有充分技能及时间时，可以直接判定成功。</t>
  </si>
  <si>
    <t>技能检定</t>
  </si>
  <si>
    <t>掷百分骰01—00（00为100）。结果小于或等于技能等级成功；大于技能等级失败。0%技能不可尝试。</t>
  </si>
  <si>
    <t>属性检定</t>
  </si>
  <si>
    <t>不依赖专门训练的困难行为可用相应属性×5：力量（蛮力）、体质（耐力）、敏捷（灵巧）、智力（注意力）、意志（精神韧性）、魅力（社交）。</t>
  </si>
  <si>
    <t>大成功 / 大失败</t>
  </si>
  <si>
    <t>01，或成功且两骰相同，为大成功；00，或失败且两骰相同，为大失败。例：技能50%时，01/11/22/33/44大成功，55/66/77/88/99/00大失败。</t>
  </si>
  <si>
    <t>奖罚与上下限</t>
  </si>
  <si>
    <t>常用±10%或±20%，少数情况±40%；修正后成功率最低1%、最高99%。攻击奖励最高叠加至+40%，攻击惩罚无叠加限制。</t>
  </si>
  <si>
    <t>多人行动</t>
  </si>
  <si>
    <t>人越多越有利：用团队最高技能；人多反而妨碍：用最低技能；需要逐人判断结果：每人各检定。</t>
  </si>
  <si>
    <t>幸运检定</t>
  </si>
  <si>
    <t>基础成功率50%，不取决于角色属性；适用大成功和大失败。</t>
  </si>
  <si>
    <t>对抗：双方成功</t>
  </si>
  <si>
    <t>大成功胜过普通成功；其余情况下成功点数较高者获胜。无需掷骰的技能对抗比较技能等级。</t>
  </si>
  <si>
    <t>对抗：一方或双方失败</t>
  </si>
  <si>
    <t>一成一败：成功方胜；双方失败：双方都未成功，或较低点数者胜，由掌局者决定。追逐中双方失败时必须由较低点数者胜。</t>
  </si>
  <si>
    <t>结束条件与抵消</t>
  </si>
  <si>
    <t>最简单追逐：一次胜利即追上/逃脱；长追逐可需两次或三次净胜。双方胜利互相抵消；大成功计两次胜利，大失败计两次失败。</t>
  </si>
  <si>
    <t>行动与战斗轮</t>
  </si>
  <si>
    <t>一次追逐对抗相当于一战斗轮。乘客可先攻击再进行追逐；驾驶员或徒步者选择攻击而不追逐时，仍在追赶/逃离的对手自动成功。</t>
  </si>
  <si>
    <t>精疲力尽</t>
  </si>
  <si>
    <t>先损失1D6毅力；由掌局者判定所有技能、属性和理智检定−10%或−20%。再次彻夜不眠/高强度工作再损失1D6毅力；一整晚睡眠消除状态。</t>
  </si>
  <si>
    <t>行动顺序</t>
  </si>
  <si>
    <t>按敏捷从高到低行动；同敏捷可同时行动或由掌局者定顺序。每轮每人仅一个行为，一次检定可代表数秒内的多次动作。</t>
  </si>
  <si>
    <t>瞄准</t>
  </si>
  <si>
    <t>消耗一轮，不检定；下一轮攻击+20%。到下一轮之后仍未攻击，或攻击前受到任何伤害，则加成消失。</t>
  </si>
  <si>
    <t>攻击技能</t>
  </si>
  <si>
    <t>枪械用射击；投掷武器用运动，可能需特训；近战武器用近战武器；拳脚用徒手搏斗。一次攻击一般只进行一次命中检定和一次伤害骰。</t>
  </si>
  <si>
    <t>精准攻击</t>
  </si>
  <si>
    <t>用于绕开护甲或掩体等特定部位攻击。目标约半身被覆盖：−20%；仅头部/部分肢体暴露：−40%。自动武器的精准效果仅对第一个目标有效。</t>
  </si>
  <si>
    <t>除械与钳制</t>
  </si>
  <si>
    <t>均用徒手搏斗，须双手空闲且目标在近身范围。除械使物品脱手；钳制使目标不能移动，且只能尝试挣脱。针对被钳制者的徒手/近战攻击+20%。</t>
  </si>
  <si>
    <t>挣脱</t>
  </si>
  <si>
    <t>用力量×5或徒手搏斗中较高者对抗对方攻击；对方不攻击则普通检定。成功可脱离，并将结果用于本轮其他攻击防御；失败则不能防御。</t>
  </si>
  <si>
    <t>移动</t>
  </si>
  <si>
    <t>一轮慢跑10米、中速跑20米或疾跑30米；执行其他行为同时约可移动3米。中速/疾跑可能需敏捷×5，失败跌倒，需一轮恢复姿态。</t>
  </si>
  <si>
    <t>等待与其他行为</t>
  </si>
  <si>
    <t>等待后可在下一个行动顺序前插入自己的行动，不能插进已开始的行动结算。装填、拾物、起身等均可消耗一轮。</t>
  </si>
  <si>
    <t>闪避 / 反击占用行动</t>
  </si>
  <si>
    <t>尚未行动时，可在自己的敏捷顺序前声明闪避或反击，作为本轮唯一行动；已经行动则不能另行声明。必须意识到攻击且物理上可以防御。</t>
  </si>
  <si>
    <t>闪避如何生效</t>
  </si>
  <si>
    <t>一次闪避结果用于对抗本轮全部近战攻击；不反伤。可闪避弓箭/投掷物；面对枪弹/爆炸只能闪避到附近掩体，附近无掩体则无效。</t>
  </si>
  <si>
    <t>反击与攻击后防御</t>
  </si>
  <si>
    <t>反击结果抵御本轮来袭近战，并对其中一人声明攻击/精准攻击/除械/钳制。自己的近战攻击结果也可用于后续近战防御，持续至下一次行动。射击结果不能防御。</t>
  </si>
  <si>
    <t>近身推枪与限制</t>
  </si>
  <si>
    <t>反击通常不能防御远程攻击，除非持枪者就在近身范围可把枪推开。被钳制者、正在钳制他人的特工、未察觉攻击者均不能进行相应防御。</t>
  </si>
  <si>
    <t>暴击</t>
  </si>
  <si>
    <t>攻击大成功造成双倍伤害。致死武器则致死等级翻倍；若致死检定失败，两骰相加得到的体力伤害也翻倍。</t>
  </si>
  <si>
    <t>近战伤害加值</t>
  </si>
  <si>
    <t>力量1—4：−2；5—8：−1；9—12：0；13—16：+1；17—18：+2。近战伤害最低0。</t>
  </si>
  <si>
    <t>一次攻击损失当前体力的一半，或受相应眩晕效果时不能行动。轮到自己时可体质×5恢复，成功后下一轮正常行动。</t>
  </si>
  <si>
    <t>昏迷、伤残、死亡</t>
  </si>
  <si>
    <t>体力≤2陷入昏迷；恢复到≥3或经过一小时可苏醒。每次降至≤2时体质×5，失败可能永久伤残。体力降至0死亡，不能低于0。</t>
  </si>
  <si>
    <t>永久伤残的属性损失</t>
  </si>
  <si>
    <t>体质检定失败时，掌局者选一属性永久降低；降低量为该次百分骰两颗D10中较小值，最少3。力量/体质改变时同步调整体力。</t>
  </si>
  <si>
    <t>复苏</t>
  </si>
  <si>
    <t>掌局者认为可复苏时，在死亡后体质数值所对应的分钟内进行急救。成功恢复1D4体力，大成功翻倍；失败则永久死亡，不能再次复苏。</t>
  </si>
  <si>
    <t>稳定伤情（急救）</t>
  </si>
  <si>
    <t>成功恢复1D4体力；大成功翻倍；大失败改为造成1D4伤害。无论成功失败，直到再受伤前不能再次接受急救。</t>
  </si>
  <si>
    <t>诊疗</t>
  </si>
  <si>
    <t>有充足设施药品时，医生每周一次手术/医学尝试；成功恢复1D4体力，大成功翻倍，大失败造成1D4伤害。手术处理严重伤口，医学处理毒病与持续恢复。</t>
  </si>
  <si>
    <t>休养与暂降属性</t>
  </si>
  <si>
    <t>安全、食水充足并休息：每日一次体质×5，成功恢复1体力，大成功恢复1D4，大失败失去1；可与诊疗叠加。暂降属性通常每天恢复1点。</t>
  </si>
  <si>
    <t>并发症</t>
  </si>
  <si>
    <t>接受医院或救助站诊疗后，在体力完全恢复前进行剧烈活动（如身体属性/技能检定），可因伤口恶化损失1D4体力。</t>
  </si>
  <si>
    <t>致死检定</t>
  </si>
  <si>
    <t>命中后按武器致死等级掷百分骰：成功令普通人类目标体力归零；失败将两颗骰各视为D10相加，0计10，造成2—20伤害。致死检定本身无大成功/大失败。</t>
  </si>
  <si>
    <t>击杀半径</t>
  </si>
  <si>
    <t>成功攻击影响以目标为中心、半径内所有角色；失败落在目标的击杀半径外，一般不造成伤害，但仍可能压制。爆炸性武器因范围获得+20%命中奖励。</t>
  </si>
  <si>
    <t>压制</t>
  </si>
  <si>
    <t>意识到自己处于所攻击的击杀半径内，即使命中失败也受压制；下一轮必须找掩体或卧倒，或付1理智正常行动。适应暴力者免此理智代价。</t>
  </si>
  <si>
    <t>身体护甲与掩体</t>
  </si>
  <si>
    <t>多个护甲来源可叠加。身体护甲只减普通伤害及失败致死的伤害，不阻止致死成功。掩体使致死自动失败，再从两骰相加伤害中减护甲。</t>
  </si>
  <si>
    <t>穿甲与巨型目标</t>
  </si>
  <si>
    <t>按武器数据降低有效护甲；爆炸穿甲只作用于指定目标，半径内其他人不适用。巨型目标遭致死攻击时按致死等级数值承受固定伤害，再计护甲。</t>
  </si>
  <si>
    <t>短点射</t>
  </si>
  <si>
    <t>3发；致死10%；单目标，无击杀半径。仅适用于支持该模式的武器。</t>
  </si>
  <si>
    <t>长点射 / 短连射 / 长连射</t>
  </si>
  <si>
    <t>长点射5发、1米；短连射10发、2米；长连射20发、3米；该模式表的致死等级均10%。请同时参照具体武器数据与可用模式。</t>
  </si>
  <si>
    <t>毒素</t>
  </si>
  <si>
    <t>伤害间隔后进行一次致死检定；若失败，再体质×5：成功伤害减半，大成功仅1伤害，大失败伤害翻倍。住院治疗体质检定+20%。</t>
  </si>
  <si>
    <t>疾病</t>
  </si>
  <si>
    <t>伤害间隔后体质×5：成功伤害减半并康复，大成功免伤；失败全伤并在下一间隔重检，大失败伤害翻倍。疾病期间不能恢复体力；住院+20%。</t>
  </si>
  <si>
    <t>解毒剂 / 抗生素</t>
  </si>
  <si>
    <t>伤害起效前，具备药物并成功医学/药学检定可阻止伤害；起效后用解毒剂可使致死等级及体力伤害减半。</t>
  </si>
  <si>
    <t>坠落</t>
  </si>
  <si>
    <t>1—3米一般1D6伤害，尤其不受控制时2D6；更高时每米计1%致死。存活者体质×5，失败眩晕。</t>
  </si>
  <si>
    <t>冲撞</t>
  </si>
  <si>
    <t>窒息</t>
  </si>
  <si>
    <t>事先深呼吸可坚持体质数值的战斗轮数；之后每轮体质×5，成功损失1体力，失败1D6。未深呼吸立即开始；护甲无效。</t>
  </si>
  <si>
    <t>着火</t>
  </si>
  <si>
    <t>中等及以上灼烧后敏捷×5；失败全身着火，每轮承受对应等级一半伤害直至扑灭。大火包围也可能因缺氧窒息。</t>
  </si>
  <si>
    <t>理智检定与记法</t>
  </si>
  <si>
    <t>以当前理智作百分骰检定；X/Y分别为成功/失败损失。大成功损失成功分支最小值；大失败损失失败分支最大值。</t>
  </si>
  <si>
    <t>临时疯狂</t>
  </si>
  <si>
    <t>单次检定损失至少5理智，暂时失控，反应为逃跑、搏命或屈服。安定环境下，其他人可用精神治疗成功使其恢复；否则等待相应反应结束。</t>
  </si>
  <si>
    <t>触及崩溃点</t>
  </si>
  <si>
    <t>理智降至或低于崩溃点时获得新精神疾病；新崩溃点＝当前理智−意志。理智恢复也不撤销疾病或恢复旧崩溃点。触及崩溃点本身不等于临时疯狂。</t>
  </si>
  <si>
    <t>永久疯狂与上限</t>
  </si>
  <si>
    <t>理智0：永久疯狂，角色归掌局者控制。理智上限＝99−非自然知识。</t>
  </si>
  <si>
    <t>适应进度</t>
  </si>
  <si>
    <t>暴力、无力感分别记录：连续三次因该类损失理智且未临时疯狂/触及崩溃点，获得适应；进度完成前若因该类疯狂或触及崩溃点，清空该类勾选。</t>
  </si>
  <si>
    <t>适应的效果与代价</t>
  </si>
  <si>
    <t>适应后相应理智检定自动成功，仍承担成功分支损失。暴力适应永久−1D6魅力且所有关系减相同值；无力感适应永久−1D6意志。非自然不可适应。</t>
  </si>
  <si>
    <t>将损失投射至关系</t>
  </si>
  <si>
    <t>损失理智时可掷1D4并消耗同量毅力；消耗后须至少剩1毅力。理智损失减同量（最低0），一项重要关系减同量，并描述关系受损。</t>
  </si>
  <si>
    <t>抑制临时疯狂 / 急性发作</t>
  </si>
  <si>
    <t>消耗1D4毅力且仍剩至少1，描述依靠重要关系；该关系减同量。随后再理智检定，成功才压制症状并正常行动。</t>
  </si>
  <si>
    <t>精神治疗与恢复</t>
  </si>
  <si>
    <t>成功精神治疗可用数分钟缓解急性发作。消灭非自然威胁时，掌局者可让直接参与者恢复其较小理智损失分支对应的数值，不得超过理智上限。</t>
  </si>
  <si>
    <t>神秘学+10%；理智−5；魅力−3；每项重要关系−3；适应暴力。创建时采用固定−3，不再另掷游戏过程中完成适应的1D6代价。</t>
  </si>
  <si>
    <t>神秘学+10%；理智−5；意志−3，但这次意志下降不影响理智计算；适应无力感。创建时固定−3，不再额外投1D6。</t>
  </si>
  <si>
    <t>神秘学及任选五个技能各+10%（非自然知识除外），此过程最高至90%；理智−5；去掉一项重要关系。</t>
  </si>
  <si>
    <t>获得10%非自然知识、20%神秘学；理智减去意志数值；获得一项非自然相关精神疾病；崩溃点重置为新理智−意志。</t>
  </si>
  <si>
    <t>普通理智下降与崩溃点</t>
  </si>
  <si>
    <t>页码与开销用词</t>
  </si>
  <si>
    <t>特殊重要关系：绿色三角洲</t>
  </si>
  <si>
    <t>互相依靠以求生存的人之间会形成强大的重要关系。只有共同经历沧桑的他们才会理解你经历了什么。你们的特工之间迟早会比家人更加彼此依赖。</t>
  </si>
  <si>
    <t>每当你的特工团队中的一员经历了灾难性的创伤时，你的特工都有机会与他或她的队友们建立或深化重要关系。这样的创伤包括：</t>
  </si>
  <si>
    <t>队伍的一员成员遭受临时疯狂。</t>
  </si>
  <si>
    <t>队伍的一员获得新的精神疾病。</t>
  </si>
  <si>
    <t>队伍的一员因为伤残而失去行动能力。</t>
  </si>
  <si>
    <t>队伍的一员死亡。</t>
  </si>
  <si>
    <t>任何掌局者视为足够严重的其他压力。</t>
  </si>
  <si>
    <t>当危机结束，事情归于平静时，你的特工必须进行一次理智检定。若检定成功则没有效果，失败时，你的特工会与每名共度危机的队友（最多五个）建立新的重要关系，或是加强与他们之间已有的关系。</t>
  </si>
  <si>
    <t>对每一位不是重要之人的队友添加一个新的个人重要关系。写下那个角色的名字，并它旁边标注上“绿色三角洲”，关系值等于你特工魅力的一半。你的特工立即从另一个（非绿色三角洲）的重要关系上减去 1D4 点（如果你还有别的重要关系的话）。</t>
  </si>
  <si>
    <t>每个与你已经有重要关系的队友将会获得 1D4 点关系值，并在由你选择的一个（非绿色三角洲的）重要关系上减去 1。</t>
  </si>
  <si>
    <t>示例：路易斯建立的特工在第一次任务中，一位队友被杀死了。路易斯进行理智检定，以判断他是否与存活的队友——克拉拉和丹尼尔——建立新的重要关系。理智检定失败了，所以他会分别获得与克拉拉和丹尼尔的重要关系。作为代价，他在两个重要关系上失去 1D4 点，或是在一个重要关系上减去两次 1D4。</t>
  </si>
  <si>
    <t>特殊重要关系：绿色三角洲（续1）</t>
  </si>
  <si>
    <t>他为自己与未婚妻的重要关系骰出 3（将它从 10 降到 7）；并为他的儿子骰出 1（从 10 降到 9）。</t>
  </si>
  <si>
    <t>耗尽毅力</t>
  </si>
  <si>
    <t>当毅力达到0点时，特工失去控制，可能崩溃、哭泣、发泄或昏倒；掌局者控制角色直到毅力恢复至至少1点。0毅力时任何检定都不能成功，包括理智检定。此后会入睡直到恢复毅力。</t>
  </si>
  <si>
    <t>当特工的毅力达到 0 点时，他精神全然崩溃，完全丧失行动能力并可能陷入昏迷。掌局者将控制你的特工直到毅力回升至 1 点或以上。0 点毅力的特工将不可能成功任何检定——包括理智检定。</t>
  </si>
  <si>
    <t>恢复毅力</t>
  </si>
  <si>
    <t>当你的特工睡了一整晚后，他或她能恢复 1D6 点毅力（24 小时内只能进行一次）。如果你能扮演出你特工的个人动机，并让掌局者认为合情合理，你的特工将恢复 1 点毅力。</t>
  </si>
  <si>
    <t>身体劳损</t>
  </si>
  <si>
    <t>损失 1D6 的体力或是暂时性地损失 1D4 的力量、体质或敏捷。</t>
  </si>
  <si>
    <t>精神萎靡</t>
  </si>
  <si>
    <t>损失 1D6 的毅力或是暂时性地损失 1D4 的智力、意志或魅力。</t>
  </si>
  <si>
    <t>格格不入</t>
  </si>
  <si>
    <t>冒犯了一位重要的 NPC。在任务结束前，所有对这位 NPC 的魅力或说服检定都将自动失败。</t>
  </si>
  <si>
    <t>精神涣散</t>
  </si>
  <si>
    <t>下一次检定需承受 −20% 的惩罚。</t>
  </si>
  <si>
    <t>迷惑不解</t>
  </si>
  <si>
    <t>你犯了一个重大错误并得到了错误信息。</t>
  </si>
  <si>
    <t>使用哪项技能</t>
  </si>
  <si>
    <t>徒步追逐使用运动，驾驶载具追逐使用机动车驾驶、特种载具乃至重型机械；在水中使用游泳；在马背上使用骑术。</t>
  </si>
  <si>
    <t>支援与优势</t>
  </si>
  <si>
    <t>追逐者有时能获得优势。例如，多名追逐者间具有协作（无论他们是否相见或是在通过无线电交流），有无线电通信的空中支援，或是载具的速度和/或操纵能力显著领先于对方等情况。具有优势时，可以在每次追逐检定中获得 +20% 的奖励，如果优势极大则可获得 +40%。</t>
  </si>
  <si>
    <t>想方设法</t>
  </si>
  <si>
    <t>除了通过常规骰点来追上或逃离以外，追逐者或是逃离者可能会尝试用一些合适的检定来获得优势，譬如警觉、导航、潜藏、生存或者通过其他合适的策略。如果这些检定在对抗中成功，不计为“胜利”，而是在下一次追逐骰点中获得 +20% 的奖励，如果是大成功则获得 +40%。失败或是大失败的影响照常。</t>
  </si>
  <si>
    <t>追逐中的战斗</t>
  </si>
  <si>
    <t>为逮捕嫌疑人或获取搜查令想出合适的借口</t>
  </si>
  <si>
    <t>所需技能：法律；可能的对抗技能：法律</t>
  </si>
  <si>
    <t>想出可能促使对象配合的方法</t>
  </si>
  <si>
    <t>所需技能：人源情报；可能的对抗技能：说服</t>
  </si>
  <si>
    <t>说服对象吐露信息</t>
  </si>
  <si>
    <t>所需技能：说服；可能的对抗技能：说服</t>
  </si>
  <si>
    <t>为伤情编出可信的借口进给医院</t>
  </si>
  <si>
    <t>所需技能：法律或说服；可能的对抗技能：法律或人源情报</t>
  </si>
  <si>
    <t>提供误导性细节以阻止可能的调查</t>
  </si>
  <si>
    <t>所需技能：行政；可能的对抗技能：行政</t>
  </si>
  <si>
    <t>说服医生或护士使其同意提供医治而不通知警方</t>
  </si>
  <si>
    <t>所需技能：说服；可能的对抗技能：说服或人源情报</t>
  </si>
  <si>
    <t>寻找愿意提供非法地下医治的医生或兽医</t>
  </si>
  <si>
    <t>所需技能：犯罪学；可能的对抗技能：无</t>
  </si>
  <si>
    <t>在证物被收走前取得证物</t>
  </si>
  <si>
    <t>所需技能：潜藏；可能的对抗技能：警觉</t>
  </si>
  <si>
    <t>从证物柜取得证物且不引起怀疑</t>
  </si>
  <si>
    <t>所需技能：行政或法律；可能的对抗技能：行政或法律</t>
  </si>
  <si>
    <t>修改证据且不引起怀疑</t>
  </si>
  <si>
    <t>所需技能：法证学；可能的对抗技能：法证学</t>
  </si>
  <si>
    <t>修改案宗且不引起怀疑</t>
  </si>
  <si>
    <t>所需技能：会计学、行政、计算机科学或法律；可能的对抗技能：会计学、行政、计算机科学、犯罪学或法律</t>
  </si>
  <si>
    <t>切碎尸体以便分散埋葬或由食腐动物处置</t>
  </si>
  <si>
    <t>所需技能：法证学；可能的对抗技能：搜寻</t>
  </si>
  <si>
    <t>安全地将尸体融化进酸液</t>
  </si>
  <si>
    <t>所需技能：三次敏捷 × 5 或科学（化学）检定以避免伤害；可能的对抗技能：无</t>
  </si>
  <si>
    <t>使用生石灰焚烧尸体</t>
  </si>
  <si>
    <t>所需技能：法证学；可能的对抗技能：法证学或搜寻</t>
  </si>
  <si>
    <t>使用焚化炉焚烧尸体并避免留下痕迹</t>
  </si>
  <si>
    <t>将尸体融进工业坩埚</t>
  </si>
  <si>
    <t>所需技能：工艺（金属加工）或重型机械以避免伤害；可能的对抗技能：无</t>
  </si>
  <si>
    <t>将尸体丢入远海或静止的深水中</t>
  </si>
  <si>
    <t>所需技能：法证学以清理踪迹；可能的对抗技能：法证学</t>
  </si>
  <si>
    <t>市镇警察</t>
  </si>
  <si>
    <t>市镇法规：可；郡县法规：可；州法：可；部落法：不可；联邦法律：不可</t>
  </si>
  <si>
    <t>县警</t>
  </si>
  <si>
    <t>市镇法规：不可；郡县法规：可；州法：可；部落法：不可；联邦法律：不可</t>
  </si>
  <si>
    <t>州警</t>
  </si>
  <si>
    <t>市镇法规：不可；郡县法规：不可；州法：可；部落法：不可；联邦法律：不可</t>
  </si>
  <si>
    <t>部落警察</t>
  </si>
  <si>
    <t>市镇法规：不可；郡县法规：不可；州法：可；部落法：可；联邦法律：不可</t>
  </si>
  <si>
    <t>联邦执法官</t>
  </si>
  <si>
    <t>市镇法规：不可；郡县法规：不可；州法：不可；部落法：可；联邦法律：可</t>
  </si>
  <si>
    <t>为行动编造合法的借口</t>
  </si>
  <si>
    <t>构造假身份</t>
  </si>
  <si>
    <t>在网上伪造历史</t>
  </si>
  <si>
    <t>所需技能：人源情报（以及计算机科学）；可能的对抗技能：人源情报</t>
  </si>
  <si>
    <t>回调历史数据日期</t>
  </si>
  <si>
    <t>所需技能：计算机科学；可能的对抗技能：计算机科学</t>
  </si>
  <si>
    <t>伪造文件</t>
  </si>
  <si>
    <t>所需技能：艺术（造假）；可能的对抗技能：艺术（造假）</t>
  </si>
  <si>
    <t>争取合作或消除猜疑</t>
  </si>
  <si>
    <t>躲避监控或岗哨</t>
  </si>
  <si>
    <t>清理犯罪现场</t>
  </si>
  <si>
    <t>放置隐蔽麦克风或摄像机</t>
  </si>
  <si>
    <t>所需技能：潜藏；可能的对抗技能：搜寻</t>
  </si>
  <si>
    <t>跟踪目标不被发现</t>
  </si>
  <si>
    <t>驾车跟踪目标不被发现</t>
  </si>
  <si>
    <t>所需技能：潜藏或机动车驾驶，取较低值；可能的对抗技能：警觉</t>
  </si>
  <si>
    <t>进入办公室不被发现</t>
  </si>
  <si>
    <t>说服他人放行且不引起怀疑</t>
  </si>
  <si>
    <t>所需技能：说服；可能的对抗技能：人源情报</t>
  </si>
  <si>
    <t>植入计算机病毒或木马</t>
  </si>
  <si>
    <t>使用 IMSI 追踪及窃听移动通信</t>
  </si>
  <si>
    <t>所需技能：信号情报；可能的对抗技能：信号情报</t>
  </si>
  <si>
    <t>破译所监听到的数字信号</t>
  </si>
  <si>
    <t>拿到 NSA 所监听到的数字或语音信息，但不留下本次申请的记录</t>
  </si>
  <si>
    <t>所需技能：行政或法律，取较低值；可能的对抗技能：行政</t>
  </si>
  <si>
    <t>跑步追赶或逃逸</t>
  </si>
  <si>
    <t>所需技能：运动；可能的对抗技能：运动</t>
  </si>
  <si>
    <t>驾驶追赶或逃逸</t>
  </si>
  <si>
    <t>所需技能：机动车驾驶或特种载具；可能的对抗技能：机动车驾驶或特种载具</t>
  </si>
  <si>
    <t>躲避守卫或摄像头</t>
  </si>
  <si>
    <t>爬墙</t>
  </si>
  <si>
    <t>所需技能：运动；可能的对抗技能：无</t>
  </si>
  <si>
    <t>开锁</t>
  </si>
  <si>
    <t>所需技能：特训（开锁工具）或工艺（锁匠）；可能的对抗技能：无</t>
  </si>
  <si>
    <t>破解电子安保系统</t>
  </si>
  <si>
    <t>所需技能：特训（电子安保系统）或工艺（电工）；可能的对抗技能：无</t>
  </si>
  <si>
    <t>消除工具痕迹及侵入迹象</t>
  </si>
  <si>
    <t>失防</t>
  </si>
  <si>
    <t>普通伤害效果：体力减至 0；致死攻击成功效果：体力减至 0；致死攻击失败效果：体力减至 0</t>
  </si>
  <si>
    <t>暴露</t>
  </si>
  <si>
    <t>普通伤害效果：掷骰决定伤害；若有护甲，从伤害中减去护甲等级；致死攻击成功效果：体力减至 0；致死攻击失败效果：将致死检定两骰相加作为体力伤害；若有护甲，从伤害中减去护甲等级</t>
  </si>
  <si>
    <t>在掩体后</t>
  </si>
  <si>
    <t>普通伤害效果：掷骰决定伤害，并从伤害中减去护甲等级；致死攻击成功效果：致死检定两骰相加作为体力伤害，并从伤害中减去护甲等级；致死攻击失败效果：致死检定两骰相加作为体力伤害，并从伤害中减去护甲等级</t>
  </si>
  <si>
    <t>巨型</t>
  </si>
  <si>
    <t>普通伤害效果：掷骰决定伤害；若有护甲，从伤害中减去护甲等级；致死攻击成功效果：将致死等级作为体力伤害；若有护甲，从伤害中减去护甲等级；致死攻击失败效果：将致死等级作为体力伤害；若有护甲，从伤害中减去护甲等级</t>
  </si>
  <si>
    <t>超然</t>
  </si>
  <si>
    <t>普通伤害效果：不受伤害；致死攻击成功效果：不受伤害；致死攻击失败效果：不受伤害</t>
  </si>
  <si>
    <t>轻微</t>
  </si>
  <si>
    <t>示例：蜡烛；伤害：每轮 1 点</t>
  </si>
  <si>
    <t>中等</t>
  </si>
  <si>
    <t>示例：火把；短暂暴露于更大的火中；伤害：每轮 1D6</t>
  </si>
  <si>
    <t>强烈</t>
  </si>
  <si>
    <t>示例：营火；伤害：每轮 2D6</t>
  </si>
  <si>
    <t>示例：滚烫的蒸汽；篝火；高炉；伤害：每轮 10% 致死</t>
  </si>
  <si>
    <t>防暴头盔</t>
  </si>
  <si>
    <t>护甲等级：+1；开销：常规</t>
  </si>
  <si>
    <t>与其他任意护甲叠加。仅对近战武器，投掷武器和徒手搏斗有效。无法隐藏。</t>
  </si>
  <si>
    <t>凯夫拉尔头盔</t>
  </si>
  <si>
    <t>与其他任意护甲叠加。无法隐藏。</t>
  </si>
  <si>
    <t>凯夫拉尔防弹背心</t>
  </si>
  <si>
    <t>护甲等级：3；开销：常规</t>
  </si>
  <si>
    <t>如果穿戴在其他外衣之下，察觉到它需要通过警觉检定。</t>
  </si>
  <si>
    <t>增强凯夫拉尔防弹背心</t>
  </si>
  <si>
    <t>护甲等级：4；开销：显著</t>
  </si>
  <si>
    <t>如果穿戴在其他外衣之下，察觉到它需要通过警觉+20% 检定。</t>
  </si>
  <si>
    <t>战术防弹衣</t>
  </si>
  <si>
    <t>护甲等级：5；开销：显著</t>
  </si>
  <si>
    <t>无法隐藏。</t>
  </si>
  <si>
    <t>防爆服</t>
  </si>
  <si>
    <t>护甲等级：10；开销：极端</t>
  </si>
  <si>
    <t>包含头盔。无法隐藏。</t>
  </si>
  <si>
    <t>摩托车</t>
  </si>
  <si>
    <t>耐久度：15 至 20；护甲：0；地面速度：快速；开销：重大</t>
  </si>
  <si>
    <t>小轿车</t>
  </si>
  <si>
    <t>耐久度：25 至 30；护甲：3；地面速度：均速；开销：重大</t>
  </si>
  <si>
    <t>皮卡或 SUV</t>
  </si>
  <si>
    <t>耐久度：30 至 35；护甲：3；地面速度：均速；开销：重大</t>
  </si>
  <si>
    <t>装甲 SUV</t>
  </si>
  <si>
    <t>耐久度：35；护甲：10；地面速度：均速；开销：极端</t>
  </si>
  <si>
    <t>悍马</t>
  </si>
  <si>
    <t>耐久度：40；护甲：3；地面速度：均速；开销：极端</t>
  </si>
  <si>
    <t>装甲悍马</t>
  </si>
  <si>
    <t>耐久度：40；护甲：10；地面速度：慢速；开销：极端</t>
  </si>
  <si>
    <t>小型卡车</t>
  </si>
  <si>
    <t>耐久度：45；护甲：3；地面速度：慢速；开销：极端</t>
  </si>
  <si>
    <t>防地雷反伏击装甲车</t>
  </si>
  <si>
    <t>耐久度：60；护甲：20；地面速度：慢速；开销：极端</t>
  </si>
  <si>
    <t>装甲运兵车</t>
  </si>
  <si>
    <t>耐久度：80；护甲：20；地面速度：慢速；开销：极端</t>
  </si>
  <si>
    <t>20 世纪中叶坦克</t>
  </si>
  <si>
    <t>耐久度：90；护甲：20；地面速度：慢速；开销：极端</t>
  </si>
  <si>
    <t>现代坦克</t>
  </si>
  <si>
    <t>耐久度：100；护甲：25；地面速度：慢速；开销：极端</t>
  </si>
  <si>
    <t>橡皮突击作战快艇</t>
  </si>
  <si>
    <t>耐久度：10；护甲：0；地面速度：慢速；开销：显著</t>
  </si>
  <si>
    <t>硬壳充气艇</t>
  </si>
  <si>
    <t>耐久度：20；护甲：0；地面速度：慢速；开销：重大</t>
  </si>
  <si>
    <t>江河巡逻艇</t>
  </si>
  <si>
    <t>耐久度：30；护甲：0；地面速度：慢速；开销：极端</t>
  </si>
  <si>
    <t>快艇</t>
  </si>
  <si>
    <t>耐久度：25；护甲：0；地面速度：均速；开销：极端</t>
  </si>
  <si>
    <t>民用直升机</t>
  </si>
  <si>
    <t>耐久度：20；护甲：0；地面速度：均速；开销：极端</t>
  </si>
  <si>
    <t>通勤客机</t>
  </si>
  <si>
    <t>警用直升机</t>
  </si>
  <si>
    <t>耐久度：30；护甲：0；地面速度：快速；开销：极端</t>
  </si>
  <si>
    <t>武装直升机</t>
  </si>
  <si>
    <t>耐久度：30；护甲：10；地面速度：快速；开销：极端</t>
  </si>
  <si>
    <t>喷气式客机</t>
  </si>
  <si>
    <t>耐久度：50；护甲：0；地面速度：特殊；开销：极端</t>
  </si>
  <si>
    <t>喷气式战斗机</t>
  </si>
  <si>
    <t>耐久度：40；护甲：0；地面速度：特殊；开销：极端</t>
  </si>
  <si>
    <t>凯夫拉尔头盔（在其他护甲基础上增加减伤效果）</t>
  </si>
  <si>
    <t>等级：+1</t>
  </si>
  <si>
    <t>凯夫拉尔背心（穿着时隐藏）</t>
  </si>
  <si>
    <t>等级：3</t>
  </si>
  <si>
    <t>增强型凯夫拉尔背心（常见于制服警察）</t>
  </si>
  <si>
    <t>等级：4</t>
  </si>
  <si>
    <t>战术防弹背心（常见于士兵及特警）；墙或厚门；临时载具掩体</t>
  </si>
  <si>
    <t>等级：5</t>
  </si>
  <si>
    <t>防爆衣；厚墙、混凝土或中型岩石；轻型车用装甲</t>
  </si>
  <si>
    <t>等级：10</t>
  </si>
  <si>
    <t>加固墙、大型岩石或沙袋；中型车用装甲</t>
  </si>
  <si>
    <t>等级：15</t>
  </si>
  <si>
    <t>重型车用装甲或轻型坦克装甲</t>
  </si>
  <si>
    <t>等级：20</t>
  </si>
  <si>
    <t>重型坦克装甲</t>
  </si>
  <si>
    <t>等级：25</t>
  </si>
  <si>
    <t>修正：+0%；用时（通常）：1 到 2 天；用时（加速）：数小时 （注）；招致审查：若物品受限；或是加速但魅力 × 5 检定失败；滥用的后果：警告</t>
  </si>
  <si>
    <t>修正：+0%；用时（通常）：数天；用时（加速）：1 到 2 天 （注）；招致审查：若物品受限；或是加速但魅力 × 5 检定失败；滥用的后果：警告</t>
  </si>
  <si>
    <t>修正：−20%；用时（通常）：数周；用时（加速）：数天；招致审查：总是；滥用的后果：停职以及/或者降职</t>
  </si>
  <si>
    <t>修正：−40%；用时（通常）：数月；用时（加速）：数天；招致审查：总是；滥用的后果：开除以及/或者诉讼</t>
  </si>
  <si>
    <t>常规或显著开销级物品能通过催促官方来加速获取。</t>
  </si>
  <si>
    <t>重大或极端开销级物品能在高优先级任务中加速获取。</t>
  </si>
  <si>
    <t>技能：徒手搏斗；伤害：1D4-1；护甲穿透：不适用；开销：无</t>
  </si>
  <si>
    <t>技能：徒手搏斗；伤害：1D4；护甲穿透：不适用；开销：细微</t>
  </si>
  <si>
    <t>技能：徒手搏斗；伤害：特殊；护甲穿透：不适用；开销：细微</t>
  </si>
  <si>
    <t>只能用于出其不意时。如果成功了，目标将被钳住并无法发出声音。绞具每个战斗轮将造成 1D6 点伤害，直到目标成功挣脱或死亡。由凯夫拉尔纤维制成的绞具能割开索带式塑料手铐。</t>
  </si>
  <si>
    <t>技能：近战武器；伤害：1D4；护甲穿透：3；开销：细微</t>
  </si>
  <si>
    <t>技能：近战武器；伤害：1D4；护甲穿透：不适用；开销：细微</t>
  </si>
  <si>
    <t>技能：近战武器；伤害：1D6；护甲穿透：3；开销：细微</t>
  </si>
  <si>
    <t>技能：近战武器；伤害：1D6；护甲穿透：不适用；开销：细微</t>
  </si>
  <si>
    <t>技能：近战武器；伤害：1D8；护甲穿透：不适用；开销：细微</t>
  </si>
  <si>
    <t>技能：近战武器；伤害：1D8；护甲穿透：3；开销：细微</t>
  </si>
  <si>
    <t>技能：近战武器；伤害：1D10；护甲穿透：不适用；开销：细微</t>
  </si>
  <si>
    <t>技能：近战武器；伤害：1D10；护甲穿透：不适用；开销：常规</t>
  </si>
  <si>
    <t>技能：近战武器；伤害：1D12；护甲穿透：不适用；开销：常规</t>
  </si>
  <si>
    <t>技能：敏捷 × 5；射程：1 米；使用次数：1；有效半径：单体；目标惩罚：−20%，持续 1 小时；开销：细微</t>
  </si>
  <si>
    <t>技能：敏捷 × 5；射程：3 米；使用次数：12；有效半径：两个目标；目标惩罚：−20%，持续 1 小时；开销：细微</t>
  </si>
  <si>
    <t>技能：运动；射程：20 米；使用次数：1；有效半径：10 米；目标惩罚：−40%，持续 1 小时；开销：细微</t>
  </si>
  <si>
    <t>受限制。需要特训。</t>
  </si>
  <si>
    <t>技能：重型武器；射程：50 米；使用次数：1；有效半径：10 米；目标惩罚：−40%，持续 1 小时；开销：细微</t>
  </si>
  <si>
    <t>受限制。</t>
  </si>
  <si>
    <t>技能：运动；射程：20 米；使用次数：1；有效半径：10 米；目标惩罚：−40%；开销：细微</t>
  </si>
  <si>
    <t>受限制。需要特训。室外时有效半径减半。目标惩罚持续 1D6 个战斗轮。</t>
  </si>
  <si>
    <t>技能：重型武器；射程：50 米；使用次数：1；有效半径：10 米；目标惩罚：−40%；开销：细微</t>
  </si>
  <si>
    <t>受限制。室外时有效半径减半。目标惩罚持续 1D6 个战斗轮。</t>
  </si>
  <si>
    <t>技能：敏捷 × 5；射程：1 米；使用次数：10；目标惩罚：−20%，持续 1D20 战斗轮；开销：细微</t>
  </si>
  <si>
    <t>技能：敏捷 × 5；射程：1 米；使用次数：200；目标惩罚：−20%，持续 1D20 战斗轮；开销：细微</t>
  </si>
  <si>
    <t>技能：射击；射程：4 米；使用次数：4；目标惩罚：−20%，持续 1D20 战斗轮；开销：常规</t>
  </si>
  <si>
    <t>技能：射击；基础射程：10 米；伤害：1D8；致死等级：不适用；装弹量：7；护甲穿透：不适用；开销：常规</t>
  </si>
  <si>
    <t>转轮型装弹量：6。例如：.22 LR，.32 ACP，.380 ACP，.38 特殊：S&amp;W Model 36 Chief’s Special，Walther PPK。</t>
  </si>
  <si>
    <t>技能：射击；基础射程：15 米；伤害：1D10；致死等级：不适用；装弹量：15；护甲穿透：不适用；开销：常规</t>
  </si>
  <si>
    <t>转轮型装弹量：6。例如：9×19mm，.40 S&amp;W，.45 ACP：Beretta Mod 92FS（M9），Colt M1911A1，Glock 17，Glock 22。</t>
  </si>
  <si>
    <t>技能：射击；基础射程：20 米；伤害：1D12；致死等级：不适用；装弹量：10；护甲穿透：不适用；开销：常规</t>
  </si>
  <si>
    <t>转轮型装弹量：6。例如：10×25mm Auto，.357 Magnum，.44 Magnum，.50 AE：Colt Delta Elite，Glock 20，S&amp;W Model 13。</t>
  </si>
  <si>
    <t>技能：射击；基础射程：75 米；伤害：2D8；致死等级：不适用；装弹量：5；护甲穿透：不适用；开销：常规</t>
  </si>
  <si>
    <t>12 口径霰弹枪例如：Mossberg Model 500，Remington Model 870，Ruger Red Label。双管霰弹枪装弹量：2。 基础距离以外伤害为2D6。</t>
  </si>
  <si>
    <t>技能：射击；基础射程：75 米；伤害：2D8（注）；致死等级：不适用；装弹量：5；护甲穿透：不适用；开销：常规</t>
  </si>
  <si>
    <t>基础距离以外造成一半伤害。</t>
  </si>
  <si>
    <t>技能：射击；基础射程：10 米；伤害：1D6 并击昏；致死等级：不适用；装弹量：5；护甲穿透：不适用；开销：常规</t>
  </si>
  <si>
    <t>技能：射击；基础射程：100 米；伤害：1D12；致死等级：10%；装弹量：10 或 30；护甲穿透：3；开销：常规</t>
  </si>
  <si>
    <t>全自动版受限制。如果发射弹幕则使用致死等级。例如：5.45×39mm，5.56mm NATO：AR-15，Colt M4，FN SCAR-L，更大口径的诸如 7.62×39mm（AK-47）以及.30-30 Winchester 造成 1D12+1 伤害。</t>
  </si>
  <si>
    <t>技能：射击；基础射程：50 米；伤害：1D10；致死等级：10%；装弹量：30；护甲穿透：不适用；开销：显著</t>
  </si>
  <si>
    <t>全自动版受限制。如果发射弹幕则使用致死等级。例如：5.7×28mm，9×19mm，.45 ACP：B&amp;T MP9，FN P90，H&amp;K MP5，IMI Uzi，KRISS Vector，MAC-Ingram M10。</t>
  </si>
  <si>
    <t>技能：射击；基础射程：150 米；伤害：1D12+2；致死等级：10%；装弹量：10 或 20；护甲穿透：5；开销：显著</t>
  </si>
  <si>
    <t>全自动版受限制。如果发射弹幕则使用致死等级。例如：7.62mm NATO，7.62×54mm，.30-06：H&amp;K G3，FN FAL，Izhmash SVD，M1 Garand，Remington Model 700（M24）。</t>
  </si>
  <si>
    <t>技能：射击；基础射程：250 米；伤害：不适用；致死等级：20%；装弹量：10；护甲穿透：5；开销：重大</t>
  </si>
  <si>
    <t>枪械举例：.408 CheyTac，.50 Browning：Barrett Model 82A1，CheyTac M200。</t>
  </si>
  <si>
    <t>技能：运动；基础射程：20 米；致死等级：15%；击杀半径：10 米；装弹量：不适用；护甲穿透：不适用；开销：细微</t>
  </si>
  <si>
    <t>受限制。举例：M67，RGO。</t>
  </si>
  <si>
    <t>技能：重型武器；基础射程：200 米；致死等级：30%；击杀半径：10 米；装弹量：1；护甲穿透：20；开销：常规</t>
  </si>
  <si>
    <t>受限制。例如：ATK M72 LAW，Bazalt RPG-7V，Bofors AT4（M136）。</t>
  </si>
  <si>
    <t>技能：重型武器；基础射程：5 米；致死等级：10%；击杀半径：1 米；装弹量：20；护甲穿透：不适用；开销：显著</t>
  </si>
  <si>
    <t>举例：Ion XM42。</t>
  </si>
  <si>
    <t>技能：重型武器；基础射程：10 米；致死等级：10%；击杀半径：2 米；装弹量：5；护甲穿透：不适用；开销：显著</t>
  </si>
  <si>
    <t>受限制。例如：AEC M9A1-7。</t>
  </si>
  <si>
    <t>通用机关枪（GPMP）</t>
  </si>
  <si>
    <t>技能：重型武器；基础射程：300 米；致死等级：15%；击杀半径：视射击模式（第 56 页）；装弹量：100；护甲穿透：3；开销：重大</t>
  </si>
  <si>
    <t>受限制。例如：FN MAG（M240），Kovrov PKM，Saco M60。</t>
  </si>
  <si>
    <t>技能：重型武器；基础射程：150 米；致死等级：15%；击杀半径：10 米；装弹量：1；护甲穿透：不适用；开销：重大</t>
  </si>
  <si>
    <t>受限制。转轮型装弹量：6。例如：Colt M203，H&amp;K M320，Milkor M32，Springfield M79。</t>
  </si>
  <si>
    <t>技能：重型武器；基础射程：300 米；致死等级：15%（注）；击杀半径：10 米；装弹量：30；护甲穿透：不适用；开销：重大</t>
  </si>
  <si>
    <t>受限制。 如果发射弹幕（5 发榴弹），致死等级为 20%。例如：H&amp;K GMG，Saco MK 19 MOD 3，KBP AGS-17。</t>
  </si>
  <si>
    <t>技能：重型武器；基础射程：400 米；致死等级：20%；击杀半径：视射击模式（第 56 页）；装弹量：100；护甲穿透：5；开销：重大</t>
  </si>
  <si>
    <t>受限制。例如：Browning M2HB，Degtyaryov DShKM，Kovrov NSV。</t>
  </si>
  <si>
    <t>技能：重型武器；基础射程：200 米；致死等级：10%；击杀半径：视射击模式（第 56 页）；装弹量：100 或 200；护甲穿透：3；开销：重大</t>
  </si>
  <si>
    <t>受限制。例如：FN MINIMI（M249 SAW），Molot RPK。</t>
  </si>
  <si>
    <t>技能：重型武器；基础射程：400 米；致死等级：30%；击杀半径：3 米；装弹量：100；护甲穿透：5；开销：极端</t>
  </si>
  <si>
    <t>受限制。例如：ATK M242 Bushmaster，KBP 2A70。</t>
  </si>
  <si>
    <t>技能：重型武器；基础射程：300 米；致死等级：20%；击杀半径：3 米（需连续扫射）；装弹量：4000；护甲穿透：5；开销：极端</t>
  </si>
  <si>
    <t>受限制。例如：Dillon GAU-17/A，GE M134，KBP GShG-7.62。</t>
  </si>
  <si>
    <t>技能：爆破；基础射程：不适用；致死等级：30%；击杀半径：20 米；装弹量：不适用；护甲穿透：不适用；开销：细微</t>
  </si>
  <si>
    <t>以硝酸铵作为燃料，譬如柴油和化肥；需要科学（化学）技能和爆破技能。</t>
  </si>
  <si>
    <t>技能：爆破；基础射程：不适用；致死等级：30%；击杀半径：2 米；装弹量：不适用；护甲穿透：不适用；开销：细微</t>
  </si>
  <si>
    <t>受限制。例如：M112。</t>
  </si>
  <si>
    <t>技能：爆破；基础射程：不适用；致死等级：15%；击杀半径：10 米；装弹量：不适用；护甲穿透：不适用；开销：细微</t>
  </si>
  <si>
    <t>受限制，尽管原材料通常并不受限制。例如：管状炸弹。一个较大型的炸药（炸弹背心）有 30% 的致死等级和 20 米的击杀半径。</t>
  </si>
  <si>
    <t>技能：爆破；基础射程：不适用；致死等级：60%；击杀半径：75 米；装弹量：不适用；护甲穿透：不适用；开销：常规</t>
  </si>
  <si>
    <t>受限制，尽管原材料通常并不受限制。例如：汽车炸弹。</t>
  </si>
  <si>
    <t>技能：爆破；基础射程：不适用；致死等级：25%；击杀半径：10 米；装弹量：不适用；护甲穿透：20；开销：常规</t>
  </si>
  <si>
    <t>受限制。例如：M21。</t>
  </si>
  <si>
    <t>技能：炮术；基础射程：空投；致死等级：70%；击杀半径：100 米；装弹量：不适用；护甲穿透：10；开销：显著</t>
  </si>
  <si>
    <t>受限制。需要特训。例如：MK82，FAB-250。</t>
  </si>
  <si>
    <t>技能：炮术；基础射程：4 千米；致死等级：35%；击杀半径：50 米；装弹量：1；护甲穿透：5；开销：重大</t>
  </si>
  <si>
    <t>受限制。例如：M120，2B11 Sani。</t>
  </si>
  <si>
    <t>技能：炮术；基础射程：2 千米；致死等级：20%；击杀半径：25 米；装弹量：1；护甲穿透：不适用；开销：重大</t>
  </si>
  <si>
    <t>受限制。例如：M224，Hirtenberger M6。</t>
  </si>
  <si>
    <t>技能：炮术；基础射程：4 千米；致死等级：45%；击杀半径：50 米；装弹量：不适用；护甲穿透：25；开销：极端</t>
  </si>
  <si>
    <t>受限制。例如：AGM-114 Hellfire，9M120 Ataka。</t>
  </si>
  <si>
    <t>技能：炮术；基础射程：5 千米；致死等级：50%；击杀半径：100 米；装弹量：1；护甲穿透：10；开销：极端</t>
  </si>
  <si>
    <t>受限制。例如：M109，M777，2A65 Msta-B，2S19 Msta-S。</t>
  </si>
  <si>
    <t>技能：炮术；基础射程：100 千米；致死等级：80%；击杀半径：150 米；装弹量：不适用；护甲穿透：15；开销：极端</t>
  </si>
  <si>
    <t>受限制。需要特训。例如：BGM-109 Tomahawk，Kh-55SM。</t>
  </si>
  <si>
    <t>尝试对一名由于非自然现象而受到理智损失的角色进行精神治疗</t>
  </si>
  <si>
    <t>损失：0/1</t>
  </si>
  <si>
    <t>目睹一起温和的超自然现象</t>
  </si>
  <si>
    <t>目睹一起剧烈的超自然现象</t>
  </si>
  <si>
    <t>损失：0/1D6</t>
  </si>
  <si>
    <t>目睹一具行走的尸体</t>
  </si>
  <si>
    <t>亲身经历一起明显的超自然现象</t>
  </si>
  <si>
    <t>经受一次剧烈的超自然袭击</t>
  </si>
  <si>
    <t>损失：1/1D8 或更多</t>
  </si>
  <si>
    <t>遭受火力埋伏</t>
  </si>
  <si>
    <t>发现死尸或者面目全非的动物</t>
  </si>
  <si>
    <t>发现被残杀的婴儿或者重要之人</t>
  </si>
  <si>
    <t>损失：0/1D4</t>
  </si>
  <si>
    <t>受到刺伤，扼喉或者枪伤</t>
  </si>
  <si>
    <t>遭受永久性伤残</t>
  </si>
  <si>
    <t>体力降至 2 点或更低</t>
  </si>
  <si>
    <t>遭受酷刑</t>
  </si>
  <si>
    <t>损失：0/1D8</t>
  </si>
  <si>
    <t>造成无辜者的残疾</t>
  </si>
  <si>
    <t>将同伴的尸体扔进焚烧炉以阻碍调查</t>
  </si>
  <si>
    <t>为保护自己或者他人而杀人 （注）</t>
  </si>
  <si>
    <t>冷血地杀死一位残暴的敌人 （注）</t>
  </si>
  <si>
    <t>对人施以酷刑</t>
  </si>
  <si>
    <t>意外地杀死一个无辜的人</t>
  </si>
  <si>
    <t>冷血地杀死一个无辜的人，哪怕有很好的理由 （注）</t>
  </si>
  <si>
    <t>损失：1/1D10</t>
  </si>
  <si>
    <t>对于失败的检定，除第一人以外每多杀一人，损失加 1，最终损失不超过相应最大值：1D4 最大损失 4，1D6 最大损失 6，等等。</t>
  </si>
  <si>
    <t>被炒鱿鱼</t>
  </si>
  <si>
    <t>差点让重要之人受伤或者被杀</t>
  </si>
  <si>
    <t>意料之外地破产</t>
  </si>
  <si>
    <t>朋友受到了永久损伤或者精神失常</t>
  </si>
  <si>
    <t>重要关系的值降至 0</t>
  </si>
  <si>
    <t>被判入狱</t>
  </si>
  <si>
    <t>醒来时发现自己瘫痪或者失明了</t>
  </si>
  <si>
    <t>发现朋友的遗体</t>
  </si>
  <si>
    <t>重要之人受到了永久损伤或者精神失常</t>
  </si>
  <si>
    <t>损失：1/1D4</t>
  </si>
  <si>
    <t>掉进尸体堆中</t>
  </si>
  <si>
    <t>目睹或听说朋友令人胆寒的死亡</t>
  </si>
  <si>
    <t>了解到重要之人的死亡</t>
  </si>
  <si>
    <t>损失：1/1D6</t>
  </si>
  <si>
    <t>目睹或听说重要之人令人胆寒的死亡</t>
  </si>
  <si>
    <t>损失：1/1D8</t>
  </si>
  <si>
    <t>距离极近或极远</t>
  </si>
  <si>
    <t>+20% 奖励：零距离射击（3 米以内）；−20% 惩罚：超出基础射程（不到 2 倍）；−40% 惩罚：超出 2 倍射程（不到 5 倍）</t>
  </si>
  <si>
    <t>目标可见性异常或隐藏</t>
  </si>
  <si>
    <t>+20% 奖励：激光瞄准器；−20% 惩罚：因烟尘或黑暗而难以观察；−40% 惩罚：几乎不可见</t>
  </si>
  <si>
    <t>精准攻击或范围攻击</t>
  </si>
  <si>
    <t>+20% 奖励：爆炸性武器；−20% 惩罚：目标被覆盖约一半，或比人类体型更小；−40% 惩罚：目标几乎被全覆盖，或体型非常小</t>
  </si>
  <si>
    <t>目标状况异常（远程攻击）</t>
  </si>
  <si>
    <t>+20% 奖励：目标完全站定；−20% 惩罚：目标卧倒或跑动；−40% 惩罚：目标如疾驰飞车一般高速移动</t>
  </si>
  <si>
    <t>目标状况异常（近程攻击）</t>
  </si>
  <si>
    <t>+20% 奖励：目标已被固定或完全站定；−20% 惩罚：目标在载具中或跑动；−40% 惩罚：目标如疾驰飞车一般高速移动</t>
  </si>
  <si>
    <t>攻击者状况异常</t>
  </si>
  <si>
    <t>+20% 奖励：花费一个战斗轮仔细瞄准；−20% 惩罚：受辣椒喷雾或电击枪影响；精疲力尽；−40% 惩罚：受催泪弹或闪光弹影响</t>
  </si>
  <si>
    <t>蜘蛛毒液</t>
  </si>
  <si>
    <t>中毒方式：咬伤；伤害间隔：1D6 小时；致死等级：5%；症状：疼痛，发冷，恶心，可能坏死；解毒剂？：有</t>
  </si>
  <si>
    <t>使用危险的药物治疗时药学检定失败</t>
  </si>
  <si>
    <t>中毒方式：多种；伤害间隔：1D6 小时；致死等级：5%；症状：多为疼痛，腹泻，惊厥，窒息；解毒剂？：有</t>
  </si>
  <si>
    <t>砒霜</t>
  </si>
  <si>
    <t>中毒方式：服用；伤害间隔：1D6 小时；致死等级：10%；症状：疼痛，腹泻，抽筋；解毒剂？：无</t>
  </si>
  <si>
    <t>蝎子或响尾蛇毒液</t>
  </si>
  <si>
    <t>中毒方式：咬伤或刺伤；伤害间隔：1D6 小时；致死等级：10%；症状：疼痛，虚弱，出血；解毒剂？：有</t>
  </si>
  <si>
    <t>光气</t>
  </si>
  <si>
    <t>中毒方式：吸入；伤害间隔：2D6 小时；致死等级：15%；症状：水泡，咳血，窒息；解毒剂？：无</t>
  </si>
  <si>
    <t>氰化氢气体</t>
  </si>
  <si>
    <t>中毒方式：吸入；伤害间隔：1D6 战斗轮；致死等级：20%；症状：窒息；解毒剂？：有</t>
  </si>
  <si>
    <t>沙林毒气</t>
  </si>
  <si>
    <t>中毒方式：吸入或皮肤吸收；伤害间隔：2D6 战斗轮；致死等级：20%；症状：肌肉收缩，痉挛，窒息；解毒剂？：有</t>
  </si>
  <si>
    <t>蓖麻毒素</t>
  </si>
  <si>
    <t>中毒方式：注射或粉末吸入；伤害间隔：2D6 小时；致死等级：20%；症状：腹泻，休克，癫痫发作，循环系统衰竭；解毒剂？：无</t>
  </si>
  <si>
    <t>细菌性脑膜炎</t>
  </si>
  <si>
    <t>传播途径：空气传播；伤害间隔：1D6 天；体质检定惩罚：−40；伤害：1D4；症状：颈部僵硬，反胃，神志不清；治疗方式：抗生素</t>
  </si>
  <si>
    <t>细菌性肺炎</t>
  </si>
  <si>
    <t>传播途径：吸入；伤害间隔：1D6 天；体质检定惩罚：无；伤害：1D6；症状：咳嗽，发烧，发冷；治疗方式：抗生素</t>
  </si>
  <si>
    <t>坏疽</t>
  </si>
  <si>
    <t>传播途径：伤口清洁不当；伤害间隔：1D6 天；体质检定惩罚：−20；伤害：1D4；症状：变色，渗液，麻木；治疗方式：抗生素、切除或截肢</t>
  </si>
  <si>
    <t>鼠疫</t>
  </si>
  <si>
    <t>传播途径：跳蚤叮咬（腺鼠疫），吸入（肺鼠疫）；伤害间隔：1D6 天；体质检定惩罚：无；伤害：1D6；症状：发烧，发冷，淋巴结肿大，咳嗽（肺鼠疫），休克；治疗方式：抗生素</t>
  </si>
  <si>
    <t>艾滋病/HIV</t>
  </si>
  <si>
    <t>传播途径：注射或无保护性行为；伤害间隔：1D6 月；体质检定惩罚：无；伤害：1D6；症状：消瘦，发烧，淋巴结肿大，免疫系统崩溃；治疗方式：无法治疗；顽疾；抗病毒药可控制病情</t>
  </si>
  <si>
    <t>埃博拉病毒</t>
  </si>
  <si>
    <t>传播途径：接触受感染的血液、尸体或肉类；伤害间隔：1D6 天；体质检定惩罚：−40；伤害：1D6；症状：发烧，腹泻，反胃，流血，休克；治疗方式：无</t>
  </si>
  <si>
    <t>联邦特工</t>
  </si>
  <si>
    <t>机构徽章和身份证明，带枪套的中型手枪，两条装在腰包里的备用弹匣，战术灯，装在腰包里的手铐，凯夫拉尔防弹背心，印有机构名称的防风衣，加密手机，带有耳机和喉式麦克风的警用无线电，小型证据采集套件。或许在脚踝处还会有一把装在小型枪套里的轻型手枪作为备用。</t>
  </si>
  <si>
    <t>联邦特工（续1）</t>
  </si>
  <si>
    <t>机构派发的车辆通常还有些额外装备，一把带有全息瞄准镜的轻型卡宾枪和两条备用弹匣，或是一把栓动式霰弹枪和 40 发盒装备用弹药（其中一半为独头弹），战术防弹背心，凯夫拉尔防弹头盔，能访问机构网络的加密笔记本电脑，急救套件，以及便携灭火器。</t>
  </si>
  <si>
    <t>特警部队</t>
  </si>
  <si>
    <t>机构徽章和身份证明，带有激光瞄准镜和下挂式手电的突击步枪或是卡宾枪，在战术背心的胸部位置挂有六条备用弹匣，一把枪身外侧装有六发备弹的半自动霰弹枪，中型手枪，挂有两条备用弹匣，战术匕首，闪光弹和催泪手雷，投射式电击枪，胡椒喷雾，破门槌，哈利根撬棍，防爆盾牌，战术电台，耳机和喉式麦克风，</t>
  </si>
  <si>
    <t>特警部队（续1）</t>
  </si>
  <si>
    <t>索带式塑料手铐，战术护甲，印有机构名称的背心，护膝与护肘，战术手套，头盔，防火头套，有色眼镜，用于收纳弹匣和手雷的突击织带，水化系统（譬如一个可穿戴式净水补水背包），双筒望远镜，强光手电筒，速降绳索安全套件及其配套设备。</t>
  </si>
  <si>
    <t>狗牌，带有全息瞄准镜，激光指示器，胸部位置挂有六条备用弹匣，带枪套的中型手枪，挂有两条备用弹匣，两枚破片手雷，两枚烟雾弹，两枚闪光弹，格斗匕首，索带式塑料手铐，战术护甲，凯夫拉尔头盔，战术灯，眼镜或者太阳镜，夜视镜，带有耳机和喉式麦克风的军用电台，多功能工具，指南针，战地止血包，</t>
  </si>
  <si>
    <t>特种作战员（续1）</t>
  </si>
  <si>
    <t>以及 GPS。</t>
  </si>
  <si>
    <t>警局警员</t>
  </si>
  <si>
    <t>徽章和身份证明，强化凯夫拉尔防弹背心，勤务腰带，中型手枪和腰包内的两条备用弹匣，胡椒喷雾和/或投射式电击枪，折叠警棍，折叠匕首，手铐及钥匙，手电筒，手持无线电，笔，以及便携记事本。有些部门会要求警员穿戴摄像头和录音机。</t>
  </si>
  <si>
    <t>警局警员（续1）</t>
  </si>
  <si>
    <t>大部分警员会携带一把轻型备用手枪放在脚踝处或是内衬里，额外的备用子弹，皮革手套，多功能工具，止血凝胶，应急绷带和自救止血器。</t>
  </si>
  <si>
    <t>警局警员（续2）</t>
  </si>
  <si>
    <t>一辆巡逻车上通常有警用电台，架子上放有带全息瞄准镜的卡宾枪或是霰弹枪，几盒备用弹药，防暴头盔和防暴警棍，道钉，照明弹，指挥交通时穿的反光背心，证据袋，交通圆筒，血源性病原体试剂盒，灭火器，警用车载电脑，驾照扫描器，用于安抚儿童的毛绒玩具或毛毯，毛巾，铁撬棍，</t>
  </si>
  <si>
    <t>警局警员（续3）</t>
  </si>
  <si>
    <t>各式各样的工具和对抗恶劣天气的装备，写字夹板，表格和文书用具，地图册和参考册（药品识别，危险品编号，恐怖主义应对策略），瓶装水，能量棒，和抗菌凝胶。</t>
  </si>
  <si>
    <t>典型的警用应急包</t>
  </si>
  <si>
    <t>急救套件，自救止血器，止血凝胶，衣服，几盒弹药，额外的手枪和/或卡宾枪的弹匣，手电筒，折叠匕首，基础工具，制门器，粉笔，瓶装水，能量棒，电池，防晒霜，和抗菌凝胶。</t>
  </si>
  <si>
    <t>简易定向麦克风</t>
  </si>
  <si>
    <t>开销：细微</t>
  </si>
  <si>
    <t>在典型的市区环境中有效半径为 10 米。</t>
  </si>
  <si>
    <t>窃听嗅探器</t>
  </si>
  <si>
    <t>开销：常规</t>
  </si>
  <si>
    <t>纤维内窥镜</t>
  </si>
  <si>
    <t>GPS 干扰器</t>
  </si>
  <si>
    <t>声控录音机</t>
  </si>
  <si>
    <t>定向麦克风及音频软件</t>
  </si>
  <si>
    <t>在典型的市区环境中有效半径为 20 米。先进型号的有效半径为 50 米，开销为显著开销。</t>
  </si>
  <si>
    <t>基础无人机，能在市场上购得</t>
  </si>
  <si>
    <t>需要特训（敏捷）。</t>
  </si>
  <si>
    <t>音频干扰器（射频/蜂窝）</t>
  </si>
  <si>
    <t>开销：显著</t>
  </si>
  <si>
    <t>GPS 跟踪设备</t>
  </si>
  <si>
    <t>先进无人机</t>
  </si>
  <si>
    <t>需要特种载具（无人机）技能。</t>
  </si>
  <si>
    <t>探地雷达</t>
  </si>
  <si>
    <t>开销：重大</t>
  </si>
  <si>
    <t>和一台割草机差不多大；需要特训（智力）。</t>
  </si>
  <si>
    <t>军用无人机</t>
  </si>
  <si>
    <t>开销：极端</t>
  </si>
  <si>
    <t>需要特种载具（无人机）技能；能装配武器。</t>
  </si>
  <si>
    <t>大型手电筒</t>
  </si>
  <si>
    <t>有效距离为 100 米。能连续使用 10 个小时。</t>
  </si>
  <si>
    <t>战术灯或武器挂灯</t>
  </si>
  <si>
    <t>有效距离为 50 米。能连续使用 1 个小时。可选装配红外线或紫外线滤波器。红外线仅能被夜视眼镜或夜视瞄准镜捕获。紫外线会使“不可见”的证据显形，譬如人体体液以及特殊墨水。</t>
  </si>
  <si>
    <t>普通双筒望远镜</t>
  </si>
  <si>
    <t>10 倍放大倍率；允许在更远的距离进行警觉检定。</t>
  </si>
  <si>
    <t>民用夜视眼镜（NVG）</t>
  </si>
  <si>
    <t>允许在低可视环境下行动。能连续使用 100 个小时。大部分技能检定，诸如机动车驾驶，特种载具以及远程攻击，需要承受 −20% 的惩罚。如果夜视眼镜和处于红外线模式下的激光指示器一同使用，可以避免攻击检定的惩罚。</t>
  </si>
  <si>
    <t>先进双筒望远镜或望远镜</t>
  </si>
  <si>
    <t>20 倍放大倍率；允许在更远的距离进行警觉检定。</t>
  </si>
  <si>
    <t>强力望远镜</t>
  </si>
  <si>
    <t>50 倍放大倍率；允许在更远的距离进行警觉检定。</t>
  </si>
  <si>
    <t>军用夜视眼镜</t>
  </si>
  <si>
    <t>受限制。 允许在低可视环境下行动。大部分技能检定无需承受惩罚。如果进行高精度行为则需要承受 −20% 的惩罚。</t>
  </si>
  <si>
    <t>开锁套件</t>
  </si>
  <si>
    <t>哈利根撬棍</t>
  </si>
  <si>
    <t>通过较为结实的障碍物时需要进行力量检定。</t>
  </si>
  <si>
    <t>抖锁器</t>
  </si>
  <si>
    <t>仅适用于简单的弹簧锁。</t>
  </si>
  <si>
    <t>个人急救套件</t>
  </si>
  <si>
    <t>为单个急救增加 +20% 的奖励。</t>
  </si>
  <si>
    <t>小型灭火器（CO₂）</t>
  </si>
  <si>
    <t>熄灭小型火焰。能通过敏捷 × 5 检定来朝诸如狗一类的动物脸上喷射，使它们逃跑。</t>
  </si>
  <si>
    <t>手持 GPS</t>
  </si>
  <si>
    <t>不需要无线电信号。电池寿命为 14 到 25 小时。</t>
  </si>
  <si>
    <t>基本露营装备</t>
  </si>
  <si>
    <t>廉价背包，露营袋，救生毯，纽扣指南针，手电筒，火柴，代餐棒，净水片。为 3 天内的生存检定增加 +20% 的奖励。</t>
  </si>
  <si>
    <t>个人防护装备（PPE）</t>
  </si>
  <si>
    <t>围裙，眼镜，手套，呼吸面罩；对于化学物质以及酸性物质的喷溅和烟雾提供 2 点护甲。</t>
  </si>
  <si>
    <t>重型灭火器</t>
  </si>
  <si>
    <t>熄灭约一室量的火焰。</t>
  </si>
  <si>
    <t>防毒面具</t>
  </si>
  <si>
    <t>有效阻止空气传播的威胁。</t>
  </si>
  <si>
    <t>危险物品防护服</t>
  </si>
  <si>
    <t>有效阻止空气传播或接触传播的威胁。需要 30 分钟来安全地穿戴。（不要忘记黏上胶带。）</t>
  </si>
  <si>
    <t>急救人员医疗套件</t>
  </si>
  <si>
    <t>绷带，静脉输液套件和输液，药品（麻醉药品（译注：指任意能减少疼痛，诱发睡眠以及可能调节心情或行为的药物），麻醉药（译注：指专业的医用药物，用于减轻疼痛或使之失去知觉的药物），抗生素等），听诊器，缝线和插管套件，止血凝胶，人工呼吸急救苏醒球。为四次急救检定增加 +20% 的奖励。</t>
  </si>
  <si>
    <t>扩展露营装备</t>
  </si>
  <si>
    <t>大型背包，睡袋，帐篷，指南针，头灯，点火器，脱水食品，水过滤器，气罐炉，远足服。为 14 天内的生存检定增加 +20% 的奖励。</t>
  </si>
  <si>
    <t>水下呼吸装备</t>
  </si>
  <si>
    <t>需要特训（游泳）。</t>
  </si>
  <si>
    <t>装满酸液的聚丙烯桶</t>
  </si>
  <si>
    <t>足以让尸体变成烂泥。记得穿好个人防护装备！</t>
  </si>
  <si>
    <t>地下急救，闭口不问</t>
  </si>
  <si>
    <t>需要犯罪学来找到职业道德较为宽松的专业医疗人员。</t>
  </si>
  <si>
    <t>地下药品或小手术，闭口不问</t>
  </si>
  <si>
    <t>地下大手术，闭口不问</t>
  </si>
  <si>
    <t>贿赂焚烧厂，火葬场，或熔炉工人，让他们对你焚烧尸体的行为视而不见</t>
  </si>
  <si>
    <t>需要犯罪学来找到愿意合作的工人。</t>
  </si>
  <si>
    <t>全息瞄准镜</t>
  </si>
  <si>
    <t>只要在上一轮行为之后没有受到过伤害，就能得到额外 +20% 的命中率。</t>
  </si>
  <si>
    <t>夜视瞄准镜</t>
  </si>
  <si>
    <t>允许在诸如星光等光线黯淡的情况下瞄准。有效半径为 400 米。能连续使用 100 个小时。如果你的特工在上一轮中进行瞄准，那么在夜间时可以使武器的基础射程翻倍。</t>
  </si>
  <si>
    <t>消声器</t>
  </si>
  <si>
    <t>受限制。 隔着墙或是门时需要通过警觉检定才能听到枪声。对于特别安静的射击，譬如作用在轻型手枪上时，警觉检定需要承受 −20% 的惩罚。</t>
  </si>
  <si>
    <t>激光指示器</t>
  </si>
  <si>
    <t>只要在上一轮行为之后没有受到过伤害，就能得到额外 +20% 的命中率。你的特工不需要将枪抬到眼睛处。有效半径为 200 米。能连续使用 100 个小时。有开销等级为显著开销的红外线型号，这种型号只能被夜视眼镜或夜视瞄准镜看到。</t>
  </si>
  <si>
    <t>缩放瞄准镜</t>
  </si>
  <si>
    <t>如果你的特工在上一轮中进行瞄准，那么可以使武器的基础射程翻倍。</t>
  </si>
  <si>
    <t>先进战斗光学瞄准镜（ACOG）</t>
  </si>
  <si>
    <t>将全息瞄准镜和缩放瞄准镜融为一体。</t>
  </si>
  <si>
    <t>热成像瞄准镜（TWS）</t>
  </si>
  <si>
    <t>允许在完全黑暗的情况下瞄准。有效半径为 400 米。能连续使用 2 个小时。如果你的特工在上一轮中进行瞄准，那么可以使武器的基础射程翻倍。</t>
  </si>
  <si>
    <t>黑枪设备：带有配套软件的重型台式 3D 打印机</t>
  </si>
  <si>
    <t>可以将铝研磨成下机匣用于制造枪械。其他枪械部件可以在无需证件的情况下以显著开销购得。枪械装配需要通过智力 × 5 检定以及特训，或是通过工艺（枪匠）检定。如果检定失败，那么枪械是不可靠的；参见废铜烂铁。</t>
  </si>
  <si>
    <t>访问非机密但受限制的文件，诸如刑事或财务记录</t>
  </si>
  <si>
    <t>无理由地将一名囚犯关押 24 小时</t>
  </si>
  <si>
    <t>借用 1 天机构用车，巡逻车或 SUV</t>
  </si>
  <si>
    <t>请求获取不相关案件的资料</t>
  </si>
  <si>
    <t>使用无人机监控嫌疑人 1 到 2 天</t>
  </si>
  <si>
    <t>公交车单日票</t>
  </si>
  <si>
    <t>小轿车或 SUV，租借一周</t>
  </si>
  <si>
    <t>国内航班或火车单日票</t>
  </si>
  <si>
    <t>目的地为发达国家的国际航班单日票</t>
  </si>
  <si>
    <t>单程直升机包机</t>
  </si>
  <si>
    <t>目的地为发展中国家的国际航班单日票</t>
  </si>
  <si>
    <t>单程喷气式飞机包机</t>
  </si>
  <si>
    <t>廉价汽车旅馆住宿 1 到 2 晚</t>
  </si>
  <si>
    <t>汽车旅馆住宿一周或短租公寓</t>
  </si>
  <si>
    <t>星级酒店住宿一周</t>
  </si>
  <si>
    <t>高档度假村住宿一周</t>
  </si>
  <si>
    <t>最高档度假圣地享受私人食宿</t>
  </si>
  <si>
    <t>伪造的护照或身份证明文件</t>
  </si>
  <si>
    <t>需要正式申请或犯罪学来找到可靠来源。</t>
  </si>
  <si>
    <t>G-7 国家的伪造护照（加拿大，欧盟，日本，美国，英国）</t>
  </si>
  <si>
    <t>全新的合法身份证明</t>
  </si>
  <si>
    <t>公共储存柜，一个月</t>
  </si>
  <si>
    <t>公共储存柜，一年</t>
  </si>
  <si>
    <t>大型公共储存柜，一年</t>
  </si>
  <si>
    <t>索带式塑料手铐</t>
  </si>
  <si>
    <t>需要刀片或剪刀才能割开。通过力量 × 5 + 20% 检定能挣脱临时用束线带制成的手铐。</t>
  </si>
  <si>
    <t>手铐</t>
  </si>
  <si>
    <t>需要手铐钥匙才能打开；经过特训并持有开锁器，或工艺（锁匠）技能也能打开；或通过敏捷 × 5 − 20%。</t>
  </si>
  <si>
    <t>使用付费期刊以及专业公开设施</t>
  </si>
  <si>
    <t>从专家或科研人员处获取专业建议</t>
  </si>
  <si>
    <t>独自进入限制区域的身份资格</t>
  </si>
  <si>
    <t>来自科研专家的第三方验证或审核</t>
  </si>
  <si>
    <t>从外部来源获取专用的科研设备或制品用于“测试和检查”</t>
  </si>
  <si>
    <t>一次性电话</t>
  </si>
  <si>
    <t>短途对讲机或早期的移动电话</t>
  </si>
  <si>
    <t>现成的常用黑客软件</t>
  </si>
  <si>
    <t>需要计算机科学；失败的幸运检定意味着软件有缺陷（见破铜烂铁）。</t>
  </si>
  <si>
    <t>耳机通讯套件</t>
  </si>
  <si>
    <t>普通的计算机</t>
  </si>
  <si>
    <t>平板电脑或智能手机</t>
  </si>
  <si>
    <t>3D 打印机（塑料）</t>
  </si>
  <si>
    <t>卫星电话</t>
  </si>
  <si>
    <t>雇用黑客来破解基础加密系统</t>
  </si>
  <si>
    <t>如果行动是非法的，需要计算机科学或犯罪学来找到可靠的来源。</t>
  </si>
  <si>
    <t>高级计算机</t>
  </si>
  <si>
    <t>顶尖的加密系统或数据挖掘软件</t>
  </si>
  <si>
    <t>受限制。 需要计算机科学或特训（智力）。</t>
  </si>
  <si>
    <t>先进数据分析软件</t>
  </si>
  <si>
    <t>需要计算机科学或特训（智力）。</t>
  </si>
  <si>
    <t>3D 打印机（金属）</t>
  </si>
  <si>
    <t>雇用黑客来破解先进加密系统</t>
  </si>
  <si>
    <t>如果行动是非法的，需要犯罪学来找到可靠的来源。</t>
  </si>
  <si>
    <t>用于监控手机的便携式国际移动用户识别码捕获器</t>
  </si>
  <si>
    <t>受限制。 需要计算机科学或特训（智力）。有效半径为 2 千米。另一种能藏在衣服下的型号有效半径为 200 米。车载型号的有效半径为 30 千米，开销为极端开销。</t>
  </si>
  <si>
    <t>独享一颗专用通信卫星</t>
  </si>
  <si>
    <t>借用 1 天机构用四轮全地形车，巡逻艇，或其他小型特种船只</t>
  </si>
  <si>
    <t>派遣 2-5 名身着制服的当地警员</t>
  </si>
  <si>
    <t>监控一件进行中案件的资料</t>
  </si>
  <si>
    <t>申请一个窃听器</t>
  </si>
  <si>
    <t>征用一周一辆装甲 SUV</t>
  </si>
  <si>
    <t>呼叫当地的 FBI SWAT 小队进行突袭</t>
  </si>
  <si>
    <t>在已安排好的支援航班上保有一个座位（仅限有多余座位时）</t>
  </si>
  <si>
    <t>呼叫一支特种作战小队进行安保或撤离行动</t>
  </si>
  <si>
    <t>直升机支援（运载或监控）</t>
  </si>
  <si>
    <t>导弹空袭</t>
  </si>
  <si>
    <t>这些执法机构，军事，情报部门和公共安全的项目是无法购买的。这里的“开销”代表通过行政或军事科学技能获取的难度等级，审批所需时间，以及可能招致的官方审查的严重程度。</t>
  </si>
  <si>
    <t>访问另一个机构的机密文件（与国土安全无关）</t>
  </si>
  <si>
    <t>包括来源于 NarusInsight（FBI）或 Xkeyscore（NSA）的数字通讯数据。（译注：NarusInsight 和 Xkeyscore 都是为美国政府服务的信息监控与分析系统。）</t>
  </si>
  <si>
    <t>无人机低空飞越并监控一块特定区域</t>
  </si>
  <si>
    <t>将一名囚犯关押在“黑狱”中 48 小时</t>
  </si>
  <si>
    <t>特工首先需要知晓黑狱的存在。</t>
  </si>
  <si>
    <t>申请审讯或汇报时的在场许可</t>
  </si>
  <si>
    <t>申请足以以假乱真的伪造档案</t>
  </si>
  <si>
    <t>访问与国土安全相关和机密文件（特工本不应知道）</t>
  </si>
  <si>
    <t>从技术层面上属于间谍行为。如果被发现，可能招致开除以及/或者起诉。</t>
  </si>
  <si>
    <t>无人机或卫星扩展性监控一块特定区域（不仅限于一次短途低空飞越）</t>
  </si>
  <si>
    <t>呼叫秘密行动队在区域内提供支援</t>
  </si>
  <si>
    <t>访问特工职责之外的敏感文件</t>
  </si>
  <si>
    <t>向地方执法机构提出逮捕申请（以正当理由）</t>
  </si>
  <si>
    <t>以所谓的环境犯罪为名义，获取进入工地的许可</t>
  </si>
  <si>
    <t>临时性地关闭一处工地进行环境犯罪调查</t>
  </si>
  <si>
    <t>隔离一块区域</t>
  </si>
  <si>
    <t>绿色三角洲</t>
  </si>
  <si>
    <t>1. 姓名</t>
  </si>
  <si>
    <t>2. 职业（军衔，若适用）</t>
  </si>
  <si>
    <t>3. 雇主</t>
  </si>
  <si>
    <t>4. 国籍</t>
  </si>
  <si>
    <t>5. 性别</t>
  </si>
  <si>
    <t>6. 年龄及生日</t>
  </si>
  <si>
    <t>7. 教育及职业历史</t>
  </si>
  <si>
    <t>8. 属性</t>
  </si>
  <si>
    <t>突出特征</t>
  </si>
  <si>
    <t>11. 重要关系</t>
  </si>
  <si>
    <t>关系值</t>
  </si>
  <si>
    <t>力量（STR）</t>
  </si>
  <si>
    <t>体质（CON）</t>
  </si>
  <si>
    <t>敏捷（DEX）</t>
  </si>
  <si>
    <t>智力（INT）</t>
  </si>
  <si>
    <t>意志（POW）</t>
  </si>
  <si>
    <t>魅力（CHA）</t>
  </si>
  <si>
    <t>在受损伤的重要关系前打钩，直到下次幕间活动结束。</t>
  </si>
  <si>
    <t>9. 衍生属性</t>
  </si>
  <si>
    <t>最大</t>
  </si>
  <si>
    <t>当前</t>
  </si>
  <si>
    <t>12. 人生动力与精神创伤</t>
  </si>
  <si>
    <t>体力（HP）</t>
  </si>
  <si>
    <t>毅力（WP）</t>
  </si>
  <si>
    <t>理智（SAN）</t>
  </si>
  <si>
    <t>崩溃点（BP）</t>
  </si>
  <si>
    <t>10. 外观描述</t>
  </si>
  <si>
    <t>13. 未引起疯狂的理智损失次数</t>
  </si>
  <si>
    <t>技能（括号内为基础等级）</t>
  </si>
  <si>
    <t>%</t>
  </si>
  <si>
    <t>尝试使用技能并失败后，在对应的方框中打钩。在每场游戏结束后，为每个带钩的技能加上1D4，并擦去钩。</t>
  </si>
  <si>
    <t>体力最大值＝（力量＋体质）÷2，向上取整；毅力最大值＝意志；理智最大值＝99－非自然知识；关系6—7见背面。</t>
  </si>
  <si>
    <t>TOP SECRET//ORCON//SPECIAL ACCESS REQUIRED—DELTA GREEN  ·  本作品纯属虚构</t>
  </si>
  <si>
    <t>绿色三角洲  /  特工档案</t>
  </si>
  <si>
    <t>14. 伤口与病痛</t>
  </si>
  <si>
    <t>上次受伤后是否接受过急救？  ☐ 是：仅能通过医学、手术或长期休养来得到进一步改进。</t>
  </si>
  <si>
    <t>15. 护甲与装备</t>
  </si>
  <si>
    <t>身体护甲能降低各种攻击的伤害，除了精准射击及检定成功的致死攻击。</t>
  </si>
  <si>
    <t>16.</t>
  </si>
  <si>
    <t>武器</t>
  </si>
  <si>
    <t>技能 %</t>
  </si>
  <si>
    <t>伤害</t>
  </si>
  <si>
    <t>护甲穿透</t>
  </si>
  <si>
    <t>致死等级</t>
  </si>
  <si>
    <t>弹药</t>
  </si>
  <si>
    <t>(a)</t>
  </si>
  <si>
    <t>(b)</t>
  </si>
  <si>
    <t>(c)</t>
  </si>
  <si>
    <t>(d)</t>
  </si>
  <si>
    <t>(e)</t>
  </si>
  <si>
    <t>(f)</t>
  </si>
  <si>
    <t>(g)</t>
  </si>
  <si>
    <t>17. 个人详情及备注</t>
  </si>
  <si>
    <t>18. 影响到家庭及日常生活的变故</t>
  </si>
  <si>
    <t>19. 特训（全部9项）</t>
  </si>
  <si>
    <t>重要关系续栏（6—7）</t>
  </si>
  <si>
    <t>请说明这名特工为何会被招募，以及特工为何同意了加入。</t>
  </si>
  <si>
    <t>20. 批准人签字</t>
  </si>
  <si>
    <t>21. 特工签字</t>
  </si>
  <si>
    <t>DD  FORM</t>
  </si>
  <si>
    <t>315</t>
  </si>
  <si>
    <t>UNITED STATES
AGENT DOCUMENTATION SHEET</t>
  </si>
  <si>
    <t>112382</t>
  </si>
  <si>
    <t>TOP SECRET//ORCON//SPECIAL ACCESS REQUIRED—DELTA GREEN</t>
  </si>
  <si>
    <t>本作品纯属虚构</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</si>
</sst>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quot;%&quot;"/>
    <numFmt numFmtId="177" formatCode="0&quot;/72&quot;"/>
    <numFmt numFmtId="178" formatCode="0&quot;/160&quot;"/>
    <numFmt numFmtId="179" formatCode="&quot;/&quot;0"/>
    <x:numFmt xmlns:x="http://schemas.openxmlformats.org/spreadsheetml/2006/main" numFmtId="180" formatCode="yyyy-mm-dd"/>
  </numFmts>
  <fonts count="156">
    <font>
      <sz val="11"/>
      <color theme="1"/>
      <name val="等线"/>
      <charset val="134"/>
      <scheme val="minor"/>
    </font>
    <font>
      <b/>
      <sz val="26"/>
      <color rgb="FFFFFFFF"/>
      <name val="微软雅黑"/>
      <charset val="134"/>
    </font>
    <font>
      <sz val="11"/>
      <color theme="1"/>
      <name val="等线"/>
      <charset val="134"/>
      <scheme val="minor"/>
    </font>
    <font>
      <b/>
      <sz val="8"/>
      <color rgb="FF000000"/>
      <name val="微软雅黑"/>
      <charset val="134"/>
    </font>
    <font>
      <sz val="11"/>
      <color rgb="FF000000"/>
      <name val="微软雅黑"/>
      <charset val="134"/>
    </font>
    <font>
      <sz val="8.5"/>
      <color rgb="FF000000"/>
      <name val="微软雅黑"/>
      <charset val="134"/>
    </font>
    <font>
      <sz val="8"/>
      <color rgb="FF000000"/>
      <name val="微软雅黑"/>
      <charset val="134"/>
    </font>
    <font>
      <sz val="7.5"/>
      <color rgb="FF000000"/>
      <name val="微软雅黑"/>
      <charset val="134"/>
    </font>
    <font>
      <sz val="6.5"/>
      <color rgb="FF000000"/>
      <name val="微软雅黑"/>
      <charset val="134"/>
    </font>
    <font>
      <sz val="9"/>
      <color rgb="FF000000"/>
      <name val="微软雅黑"/>
      <charset val="134"/>
    </font>
    <font>
      <sz val="7.2"/>
      <color rgb="FF000000"/>
      <name val="微软雅黑"/>
      <charset val="134"/>
    </font>
    <font>
      <sz val="7"/>
      <color rgb="FF000000"/>
      <name val="微软雅黑"/>
      <charset val="134"/>
    </font>
    <font>
      <b/>
      <sz val="23"/>
      <color rgb="FFFFFFFF"/>
      <name val="微软雅黑"/>
      <charset val="134"/>
    </font>
    <font>
      <b/>
      <sz val="13"/>
      <color rgb="FF000000"/>
      <name val="微软雅黑"/>
      <charset val="134"/>
    </font>
    <font>
      <b/>
      <sz val="18"/>
      <color rgb="FF000000"/>
      <name val="微软雅黑"/>
      <charset val="134"/>
    </font>
    <font>
      <b/>
      <sz val="16"/>
      <color rgb="FF000000"/>
      <name val="微软雅黑"/>
      <charset val="134"/>
    </font>
    <font>
      <b/>
      <sz val="20"/>
      <color rgb="FFFFFFFF"/>
      <name val="微软雅黑"/>
      <charset val="134"/>
    </font>
    <font>
      <sz val="9"/>
      <color rgb="FF444444"/>
      <name val="微软雅黑"/>
      <charset val="134"/>
    </font>
    <font>
      <b/>
      <sz val="10"/>
      <name val="微软雅黑"/>
      <charset val="134"/>
    </font>
    <font>
      <u/>
      <sz val="9"/>
      <color rgb="FF245B45"/>
      <name val="微软雅黑"/>
      <charset val="134"/>
    </font>
    <font>
      <b/>
      <sz val="10"/>
      <color rgb="FFFFFFFF"/>
      <name val="微软雅黑"/>
      <charset val="134"/>
    </font>
    <font>
      <sz val="10"/>
      <color rgb="FF17251E"/>
      <name val="微软雅黑"/>
      <charset val="134"/>
    </font>
    <font>
      <b/>
      <sz val="10"/>
      <color rgb="FF17251E"/>
      <name val="微软雅黑"/>
      <charset val="134"/>
    </font>
    <font>
      <sz val="11"/>
      <color theme="1"/>
      <name val="宋体"/>
      <charset val="134"/>
    </font>
    <font>
      <sz val="11"/>
      <color theme="1"/>
      <name val="Arial"/>
      <charset val="134"/>
    </font>
    <font>
      <sz val="9"/>
      <color theme="1"/>
      <name val="宋体"/>
      <charset val="134"/>
    </font>
    <font>
      <u/>
      <sz val="9"/>
      <color theme="10"/>
      <name val="等线"/>
      <charset val="134"/>
      <scheme val="minor"/>
    </font>
    <font>
      <u/>
      <sz val="11"/>
      <color theme="10"/>
      <name val="等线"/>
      <charset val="134"/>
      <scheme val="minor"/>
    </font>
    <font>
      <b/>
      <i/>
      <sz val="11"/>
      <color theme="1"/>
      <name val="微软雅黑"/>
      <charset val="134"/>
    </font>
    <font>
      <b/>
      <i/>
      <sz val="11"/>
      <color theme="1"/>
      <name val="等线"/>
      <charset val="134"/>
      <scheme val="minor"/>
    </font>
    <font>
      <i/>
      <sz val="11"/>
      <color theme="1"/>
      <name val="等线"/>
      <charset val="134"/>
      <scheme val="minor"/>
    </font>
    <font>
      <b/>
      <sz val="11"/>
      <color theme="1"/>
      <name val="等线"/>
      <charset val="134"/>
      <scheme val="minor"/>
    </font>
    <font>
      <sz val="11"/>
      <color theme="0"/>
      <name val="等线"/>
      <charset val="134"/>
      <scheme val="minor"/>
    </font>
    <font>
      <sz val="11"/>
      <color rgb="FFFF0000"/>
      <name val="等线"/>
      <charset val="134"/>
      <scheme val="minor"/>
    </font>
    <font>
      <sz val="10"/>
      <color theme="1"/>
      <name val="等线"/>
      <charset val="134"/>
      <scheme val="minor"/>
    </font>
    <font>
      <sz val="9"/>
      <color theme="1"/>
      <name val="微软雅黑"/>
      <charset val="134"/>
    </font>
    <font>
      <sz val="9"/>
      <color theme="0"/>
      <name val="微软雅黑"/>
      <charset val="134"/>
    </font>
    <font>
      <sz val="8"/>
      <color theme="0" tint="-0.349986266670736"/>
      <name val="微软雅黑"/>
      <charset val="134"/>
    </font>
    <font>
      <sz val="9"/>
      <color theme="0" tint="-0.349986266670736"/>
      <name val="微软雅黑"/>
      <charset val="134"/>
    </font>
    <font>
      <sz val="9"/>
      <name val="微软雅黑"/>
      <charset val="134"/>
    </font>
    <font>
      <sz val="8"/>
      <color theme="0" tint="-0.249977111117893"/>
      <name val="微软雅黑"/>
      <charset val="134"/>
    </font>
    <font>
      <sz val="8"/>
      <color theme="1"/>
      <name val="微软雅黑"/>
      <charset val="134"/>
    </font>
    <font>
      <sz val="9"/>
      <color theme="1"/>
      <name val="等线"/>
      <charset val="134"/>
      <scheme val="minor"/>
    </font>
    <font>
      <sz val="8"/>
      <color theme="0"/>
      <name val="微软雅黑"/>
      <charset val="134"/>
    </font>
    <font>
      <b/>
      <sz val="9"/>
      <color theme="0"/>
      <name val="微软雅黑"/>
      <charset val="134"/>
    </font>
    <font>
      <b/>
      <sz val="9"/>
      <color theme="1"/>
      <name val="微软雅黑"/>
      <charset val="134"/>
    </font>
    <font>
      <sz val="8"/>
      <color rgb="FF666666"/>
      <name val="微软雅黑"/>
      <charset val="134"/>
    </font>
    <font>
      <i/>
      <sz val="9"/>
      <color theme="0" tint="-0.249977111117893"/>
      <name val="微软雅黑"/>
      <charset val="134"/>
    </font>
    <font>
      <sz val="9"/>
      <color rgb="FF333333"/>
      <name val="微软雅黑"/>
      <charset val="134"/>
    </font>
    <font>
      <sz val="9"/>
      <color rgb="FF205A8A"/>
      <name val="微软雅黑"/>
      <charset val="134"/>
    </font>
    <font>
      <sz val="9"/>
      <color theme="0" tint="-0.249977111117893"/>
      <name val="微软雅黑"/>
      <charset val="134"/>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theme="0"/>
      <name val="微软雅黑"/>
      <charset val="134"/>
    </font>
    <font>
      <sz val="10"/>
      <color theme="0" tint="-0.349986266670736"/>
      <name val="微软雅黑"/>
      <charset val="134"/>
    </font>
    <font>
      <sz val="8"/>
      <name val="微软雅黑"/>
      <charset val="134"/>
    </font>
    <font>
      <sz val="8"/>
      <color rgb="FF202020"/>
      <name val="微软雅黑"/>
      <charset val="134"/>
    </font>
    <font>
      <b/>
      <sz val="9"/>
      <color rgb="FF202020"/>
      <name val="微软雅黑"/>
      <charset val="134"/>
    </font>
    <x:font xmlns:x="http://schemas.openxmlformats.org/spreadsheetml/2006/main">
      <x:sz val="11"/>
      <x:name val="Carlito"/>
    </x:font>
    <x:font xmlns:x="http://schemas.openxmlformats.org/spreadsheetml/2006/main">
      <x:sz val="10"/>
      <x:color rgb="FF22312B"/>
      <x:name val="微软雅黑"/>
    </x:font>
    <x:font xmlns:x="http://schemas.openxmlformats.org/spreadsheetml/2006/main">
      <x:b/>
      <x:sz val="15"/>
      <x:color rgb="FF375548"/>
      <x:name val="微软雅黑"/>
    </x:font>
    <x:font xmlns:x="http://schemas.openxmlformats.org/spreadsheetml/2006/main">
      <x:sz val="10"/>
      <x:color rgb="FF1F6650"/>
      <x:name val="微软雅黑"/>
    </x:font>
    <x:font xmlns:x="http://schemas.openxmlformats.org/spreadsheetml/2006/main">
      <x:b/>
      <x:sz val="10"/>
      <x:color rgb="FFFFFFFF"/>
      <x:name val="微软雅黑"/>
    </x:font>
    <x:font xmlns:x="http://schemas.openxmlformats.org/spreadsheetml/2006/main">
      <x:b/>
      <x:sz val="10"/>
      <x:color rgb="FF375548"/>
      <x:name val="微软雅黑"/>
    </x:font>
    <x:font xmlns:x="http://schemas.openxmlformats.org/spreadsheetml/2006/main">
      <x:b/>
      <x:sz val="10"/>
      <x:color rgb="FF22312B"/>
      <x:name val="微软雅黑"/>
    </x: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x:font xmlns:x="http://schemas.openxmlformats.org/spreadsheetml/2006/main">
      <x:sz val="11"/>
      <x:name val="Carlito"/>
    </x:font>
    <x:font xmlns:x="http://schemas.openxmlformats.org/spreadsheetml/2006/main">
      <x:sz val="10"/>
      <x:color rgb="FF22312B"/>
      <x:name val="微软雅黑"/>
    </x:font>
    <x:font xmlns:x="http://schemas.openxmlformats.org/spreadsheetml/2006/main">
      <x:b/>
      <x:sz val="15"/>
      <x:color rgb="FF375548"/>
      <x:name val="微软雅黑"/>
    </x:font>
    <x:font xmlns:x="http://schemas.openxmlformats.org/spreadsheetml/2006/main">
      <x:sz val="10"/>
      <x:color rgb="FF375548"/>
      <x:name val="微软雅黑"/>
    </x:font>
    <x:font xmlns:x="http://schemas.openxmlformats.org/spreadsheetml/2006/main">
      <x:sz val="10"/>
      <x:color rgb="FF1F6650"/>
      <x:name val="微软雅黑"/>
    </x:font>
    <x:font xmlns:x="http://schemas.openxmlformats.org/spreadsheetml/2006/main">
      <x:b/>
      <x:sz val="10"/>
      <x:color rgb="FFFFFFFF"/>
      <x:name val="微软雅黑"/>
    </x:font>
    <font>
      <sz val="9"/>
      <name val="微软雅黑"/>
      <charset val="134"/>
      <scheme val="minor"/>
      <color rgb="FF1F6650"/>
      <u val="single"/>
    </font>
    <font>
      <sz val="9.5"/>
      <color rgb="FF17251E"/>
      <name val="微软雅黑"/>
      <charset val="134"/>
    </font>
    <x:font xmlns:x="http://schemas.openxmlformats.org/spreadsheetml/2006/main">
      <x:sz val="11"/>
      <x:name val="Carlito"/>
    </x:font>
    <x:font xmlns:x="http://schemas.openxmlformats.org/spreadsheetml/2006/main">
      <x:sz val="11"/>
      <x:color rgb="FF202020"/>
      <x:name val="等线"/>
    </x:font>
    <x:font xmlns:x="http://schemas.openxmlformats.org/spreadsheetml/2006/main">
      <x:b/>
      <x:sz val="16"/>
      <x:color rgb="FFFFFFFF"/>
      <x:name val="等线"/>
    </x:font>
    <x:font xmlns:x="http://schemas.openxmlformats.org/spreadsheetml/2006/main">
      <x:b/>
      <x:sz val="11"/>
      <x:color rgb="FF303030"/>
      <x:name val="等线"/>
    </x:font>
    <x:font xmlns:x="http://schemas.openxmlformats.org/spreadsheetml/2006/main">
      <x:sz val="11"/>
      <x:color rgb="FF0563C1"/>
      <x:name val="等线"/>
    </x:font>
    <x:font xmlns:x="http://schemas.openxmlformats.org/spreadsheetml/2006/main">
      <x:b/>
      <x:sz val="11"/>
      <x:color rgb="FFFFFFFF"/>
      <x:name val="等线"/>
    </x:font>
    <x:font xmlns:x="http://schemas.openxmlformats.org/spreadsheetml/2006/main">
      <x:b/>
      <x:sz val="11"/>
      <x:color rgb="FF202020"/>
      <x:name val="等线"/>
    </x:font>
    <font>
      <sz val="9"/>
      <name val="微软雅黑"/>
      <charset val="134"/>
      <scheme val="minor"/>
      <color rgb="FF0563C1"/>
      <u val="single"/>
    </font>
    <font>
      <b/>
      <sz val="11"/>
      <color theme="1"/>
      <name val="微软雅黑"/>
      <charset val="134"/>
    </font>
    <font>
      <sz val="10"/>
      <color theme="1"/>
      <name val="微软雅黑"/>
      <charset val="134"/>
    </font>
    <font>
      <sz val="11"/>
      <color theme="1"/>
      <name val="微软雅黑"/>
      <charset val="134"/>
    </font>
    <font>
      <sz val="11"/>
      <color rgb="FFFFFFFF"/>
      <name val="微软雅黑"/>
      <charset val="134"/>
      <b/>
    </font>
    <font>
      <sz val="11"/>
      <color rgb="FFFF0000"/>
      <name val="微软雅黑"/>
      <charset val="134"/>
    </font>
    <font>
      <sz val="11"/>
      <color theme="0"/>
      <name val="微软雅黑"/>
      <charset val="134"/>
    </font>
    <font>
      <b/>
      <i/>
      <sz val="11"/>
      <color rgb="FFFFFFFF"/>
      <name val="微软雅黑"/>
      <charset val="134"/>
    </font>
    <font>
      <i/>
      <sz val="11"/>
      <color theme="1"/>
      <name val="微软雅黑"/>
      <charset val="134"/>
    </font>
    <font>
      <b/>
      <sz val="16"/>
      <color rgb="FFFFFFFF"/>
      <name val="微软雅黑"/>
    </font>
    <font>
      <sz val="11"/>
      <color rgb="FF202020"/>
      <name val="微软雅黑"/>
    </font>
    <font>
      <b/>
      <sz val="11"/>
      <color rgb="FF303030"/>
      <name val="微软雅黑"/>
    </font>
    <font>
      <sz val="11"/>
      <color rgb="FF0563C1"/>
      <name val="微软雅黑"/>
    </font>
    <font>
      <b/>
      <sz val="11"/>
      <color rgb="FFFFFFFF"/>
      <name val="微软雅黑"/>
    </font>
    <font>
      <b/>
      <sz val="11"/>
      <color rgb="FF202020"/>
      <name val="微软雅黑"/>
    </font>
    <font>
      <sz val="9"/>
      <name val="微软雅黑"/>
      <charset val="134"/>
      <color rgb="FF0563C1"/>
      <u val="single"/>
    </font>
    <font>
      <sz val="10"/>
      <color rgb="FF333333"/>
      <name val="微软雅黑"/>
      <charset val="134"/>
    </font>
    <font>
      <b/>
      <sz val="10"/>
      <color rgb="FF000000"/>
      <name val="微软雅黑"/>
      <charset val="134"/>
    </font>
    <font>
      <sz val="9.5"/>
      <color rgb="FF333333"/>
      <name val="微软雅黑"/>
      <charset val="134"/>
    </font>
    <font>
      <sz val="10"/>
      <color rgb="FF333333"/>
      <name val="微软雅黑"/>
    </font>
    <font>
      <b/>
      <sz val="15"/>
      <color rgb="FF000000"/>
      <name val="微软雅黑"/>
    </font>
    <font>
      <sz val="10"/>
      <color rgb="FF0563C1"/>
      <name val="微软雅黑"/>
    </font>
    <font>
      <b/>
      <sz val="10"/>
      <color rgb="FF000000"/>
      <name val="微软雅黑"/>
    </font>
    <font>
      <b/>
      <sz val="15"/>
      <color rgb="FFFFFFFF"/>
      <name val="微软雅黑"/>
    </font>
    <x:font xmlns:x="http://schemas.openxmlformats.org/spreadsheetml/2006/main">
      <x:sz val="11"/>
      <x:name val="Carlito"/>
    </x:font>
    <x:font xmlns:x="http://schemas.openxmlformats.org/spreadsheetml/2006/main">
      <x:sz val="11"/>
      <x:color rgb="FF202020"/>
      <x:name val="等线"/>
    </x:font>
    <x:font xmlns:x="http://schemas.openxmlformats.org/spreadsheetml/2006/main">
      <x:b/>
      <x:sz val="16"/>
      <x:color rgb="FFFFFFFF"/>
      <x:name val="等线"/>
    </x:font>
    <x:font xmlns:x="http://schemas.openxmlformats.org/spreadsheetml/2006/main">
      <x:b/>
      <x:sz val="11"/>
      <x:color rgb="FF303030"/>
      <x:name val="等线"/>
    </x:font>
    <x:font xmlns:x="http://schemas.openxmlformats.org/spreadsheetml/2006/main">
      <x:sz val="11"/>
      <x:color rgb="FF0563C1"/>
      <x:name val="等线"/>
    </x:font>
    <x:font xmlns:x="http://schemas.openxmlformats.org/spreadsheetml/2006/main">
      <x:b/>
      <x:sz val="11"/>
      <x:color rgb="FFFFFFFF"/>
      <x:name val="等线"/>
    </x:font>
    <x:font xmlns:x="http://schemas.openxmlformats.org/spreadsheetml/2006/main">
      <x:b/>
      <x:sz val="11"/>
      <x:color rgb="FF202020"/>
      <x:name val="等线"/>
    </x:font>
    <x:font xmlns:x="http://schemas.openxmlformats.org/spreadsheetml/2006/main">
      <x:sz val="11"/>
      <x:name val="Carlito"/>
    </x:font>
    <x:font xmlns:x="http://schemas.openxmlformats.org/spreadsheetml/2006/main">
      <x:sz val="11"/>
      <x:color rgb="FF202020"/>
      <x:name val="等线"/>
    </x:font>
    <x:font xmlns:x="http://schemas.openxmlformats.org/spreadsheetml/2006/main">
      <x:b/>
      <x:sz val="16"/>
      <x:color rgb="FFFFFFFF"/>
      <x:name val="等线"/>
    </x:font>
    <x:font xmlns:x="http://schemas.openxmlformats.org/spreadsheetml/2006/main">
      <x:b/>
      <x:sz val="11"/>
      <x:color rgb="FF303030"/>
      <x:name val="等线"/>
    </x:font>
    <x:font xmlns:x="http://schemas.openxmlformats.org/spreadsheetml/2006/main">
      <x:sz val="11"/>
      <x:color rgb="FF0563C1"/>
      <x:name val="等线"/>
    </x:font>
    <x:font xmlns:x="http://schemas.openxmlformats.org/spreadsheetml/2006/main">
      <x:b/>
      <x:sz val="11"/>
      <x:color rgb="FFFFFFFF"/>
      <x:name val="等线"/>
    </x:font>
    <x:font xmlns:x="http://schemas.openxmlformats.org/spreadsheetml/2006/main">
      <x:b/>
      <x:sz val="11"/>
      <x:color rgb="FF202020"/>
      <x:name val="等线"/>
    </x:font>
  </fonts>
  <fills count="73">
    <fill>
      <patternFill patternType="none"/>
    </fill>
    <fill>
      <patternFill patternType="gray125"/>
    </fill>
    <fill>
      <patternFill patternType="solid">
        <fgColor indexed="65"/>
        <bgColor indexed="64"/>
      </patternFill>
    </fill>
    <fill>
      <patternFill patternType="solid">
        <fgColor rgb="FFE8E8E8"/>
        <bgColor indexed="64"/>
      </patternFill>
    </fill>
    <fill>
      <patternFill patternType="solid">
        <fgColor rgb="FF234B3B"/>
        <bgColor indexed="64"/>
      </patternFill>
    </fill>
    <fill>
      <patternFill patternType="solid">
        <fgColor rgb="FFE9F0EB"/>
        <bgColor indexed="64"/>
      </patternFill>
    </fill>
    <fill>
      <patternFill patternType="solid">
        <fgColor rgb="FFFFFFFF"/>
        <bgColor indexed="64"/>
      </patternFill>
    </fill>
    <fill>
      <patternFill patternType="solid">
        <fgColor rgb="FFF5F7F5"/>
        <bgColor indexed="64"/>
      </patternFill>
    </fill>
    <fill>
      <patternFill patternType="solid">
        <fgColor theme="1"/>
        <bgColor indexed="64"/>
      </patternFill>
    </fill>
    <fill>
      <patternFill patternType="solid">
        <fgColor theme="7" tint="0.799890133365886"/>
        <bgColor indexed="64"/>
      </patternFill>
    </fill>
    <fill>
      <patternFill patternType="solid">
        <fgColor theme="0"/>
        <bgColor indexed="64"/>
      </patternFill>
    </fill>
    <fill>
      <patternFill patternType="solid">
        <fgColor rgb="FFE8EDF8"/>
        <bgColor indexed="64"/>
      </patternFill>
    </fill>
    <fill>
      <patternFill patternType="solid">
        <fgColor rgb="FFB4C6E7"/>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0" tint="-0.149906918546098"/>
        <bgColor indexed="64"/>
      </patternFill>
    </fill>
    <fill>
      <patternFill patternType="solid">
        <fgColor rgb="FFEDF5F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x:fill xmlns:x="http://schemas.openxmlformats.org/spreadsheetml/2006/main">
      <x:patternFill patternType="none"/>
    </x:fill>
    <x:fill xmlns:x="http://schemas.openxmlformats.org/spreadsheetml/2006/main">
      <x:patternFill patternType="gray125"/>
    </x:fill>
    <x:fill xmlns:x="http://schemas.openxmlformats.org/spreadsheetml/2006/main">
      <x:patternFill patternType="solid">
        <x:fgColor rgb="FF375548"/>
      </x:patternFill>
    </x:fill>
    <x:fill xmlns:x="http://schemas.openxmlformats.org/spreadsheetml/2006/main">
      <x:patternFill patternType="solid">
        <x:fgColor rgb="FFEAF0EB"/>
      </x:patternFill>
    </x:fill>
    <x:fill xmlns:x="http://schemas.openxmlformats.org/spreadsheetml/2006/main">
      <x:patternFill patternType="solid">
        <x:fgColor rgb="FFF6F8F6"/>
      </x:patternFill>
    </x:fill>
    <x:fill xmlns:x="http://schemas.openxmlformats.org/spreadsheetml/2006/main">
      <x:patternFill patternType="none"/>
    </x:fill>
    <x:fill xmlns:x="http://schemas.openxmlformats.org/spreadsheetml/2006/main">
      <x:patternFill patternType="gray125"/>
    </x:fill>
    <x:fill xmlns:x="http://schemas.openxmlformats.org/spreadsheetml/2006/main">
      <x:patternFill patternType="solid">
        <x:fgColor rgb="FF375548"/>
      </x:patternFill>
    </x:fill>
    <x:fill xmlns:x="http://schemas.openxmlformats.org/spreadsheetml/2006/main">
      <x:patternFill patternType="solid">
        <x:fgColor rgb="FFF4F7F4"/>
      </x:patternFill>
    </x:fill>
    <x:fill xmlns:x="http://schemas.openxmlformats.org/spreadsheetml/2006/main">
      <x:patternFill patternType="none"/>
    </x:fill>
    <x:fill xmlns:x="http://schemas.openxmlformats.org/spreadsheetml/2006/main">
      <x:patternFill patternType="gray125"/>
    </x:fill>
    <x:fill xmlns:x="http://schemas.openxmlformats.org/spreadsheetml/2006/main">
      <x:patternFill patternType="solid">
        <x:fgColor rgb="FF202020"/>
      </x:patternFill>
    </x:fill>
    <x:fill xmlns:x="http://schemas.openxmlformats.org/spreadsheetml/2006/main">
      <x:patternFill patternType="solid">
        <x:fgColor rgb="FFE8EDF8"/>
      </x:patternFill>
    </x:fill>
    <x:fill xmlns:x="http://schemas.openxmlformats.org/spreadsheetml/2006/main">
      <x:patternFill patternType="solid">
        <x:fgColor rgb="FF303030"/>
      </x:patternFill>
    </x:fill>
    <fill>
      <patternFill patternType="solid">
        <fgColor rgb="FF000000"/>
        <bgColor indexed="64"/>
      </patternFill>
    </fill>
    <fill>
      <patternFill patternType="solid">
        <fgColor rgb="FFF5F6F8"/>
        <bgColor indexed="64"/>
      </patternFill>
    </fill>
    <x:fill xmlns:x="http://schemas.openxmlformats.org/spreadsheetml/2006/main">
      <x:patternFill patternType="none"/>
    </x:fill>
    <x:fill xmlns:x="http://schemas.openxmlformats.org/spreadsheetml/2006/main">
      <x:patternFill patternType="gray125"/>
    </x:fill>
    <x:fill xmlns:x="http://schemas.openxmlformats.org/spreadsheetml/2006/main">
      <x:patternFill patternType="solid">
        <x:fgColor rgb="FF202020"/>
      </x:patternFill>
    </x:fill>
    <x:fill xmlns:x="http://schemas.openxmlformats.org/spreadsheetml/2006/main">
      <x:patternFill patternType="solid">
        <x:fgColor rgb="FFE8EDF8"/>
      </x:patternFill>
    </x:fill>
    <x:fill xmlns:x="http://schemas.openxmlformats.org/spreadsheetml/2006/main">
      <x:patternFill patternType="solid">
        <x:fgColor rgb="FF303030"/>
      </x:patternFill>
    </x:fill>
    <x:fill xmlns:x="http://schemas.openxmlformats.org/spreadsheetml/2006/main">
      <x:patternFill patternType="none"/>
    </x:fill>
    <x:fill xmlns:x="http://schemas.openxmlformats.org/spreadsheetml/2006/main">
      <x:patternFill patternType="gray125"/>
    </x:fill>
    <x:fill xmlns:x="http://schemas.openxmlformats.org/spreadsheetml/2006/main">
      <x:patternFill patternType="solid">
        <x:fgColor rgb="FF202020"/>
      </x:patternFill>
    </x:fill>
    <x:fill xmlns:x="http://schemas.openxmlformats.org/spreadsheetml/2006/main">
      <x:patternFill patternType="solid">
        <x:fgColor rgb="FFE8EDF8"/>
      </x:patternFill>
    </x:fill>
    <x:fill xmlns:x="http://schemas.openxmlformats.org/spreadsheetml/2006/main">
      <x:patternFill patternType="solid">
        <x:fgColor rgb="FF303030"/>
      </x:patternFill>
    </x:fill>
  </fills>
  <borders count="226">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CFD8D3"/>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style="thin">
        <color theme="0" tint="-0.149876400036622"/>
      </bottom>
      <diagonal/>
    </border>
    <border>
      <left style="thin">
        <color theme="0"/>
      </left>
      <right style="thin">
        <color theme="0"/>
      </right>
      <top/>
      <bottom style="thin">
        <color theme="0" tint="-0.149876400036622"/>
      </bottom>
      <diagonal/>
    </border>
    <border>
      <left style="thin">
        <color theme="0" tint="-0.149876400036622"/>
      </left>
      <right style="thin">
        <color theme="0"/>
      </right>
      <top style="thin">
        <color theme="0" tint="-0.149876400036622"/>
      </top>
      <bottom style="thin">
        <color theme="0" tint="-0.149876400036622"/>
      </bottom>
      <diagonal/>
    </border>
    <border>
      <left style="thin">
        <color theme="0"/>
      </left>
      <right style="thin">
        <color theme="0"/>
      </right>
      <top style="thin">
        <color theme="0" tint="-0.149876400036622"/>
      </top>
      <bottom style="thin">
        <color theme="0" tint="-0.149876400036622"/>
      </bottom>
      <diagonal/>
    </border>
    <border>
      <left/>
      <right style="thin">
        <color theme="0"/>
      </right>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style="thin">
        <color theme="0"/>
      </right>
      <top/>
      <bottom style="thin">
        <color theme="0" tint="-0.149876400036622"/>
      </bottom>
      <diagonal/>
    </border>
    <border>
      <left style="thin">
        <color theme="0"/>
      </left>
      <right style="thin">
        <color theme="0"/>
      </right>
      <top/>
      <bottom/>
      <diagonal/>
    </border>
    <border>
      <left style="thin">
        <color theme="0"/>
      </left>
      <right style="thin">
        <color theme="0"/>
      </right>
      <top style="thin">
        <color auto="1"/>
      </top>
      <bottom/>
      <diagonal/>
    </border>
    <border>
      <left style="thin">
        <color theme="0"/>
      </left>
      <right/>
      <top style="thin">
        <color auto="1"/>
      </top>
      <bottom/>
      <diagonal/>
    </border>
    <border>
      <left/>
      <right/>
      <top style="thin">
        <color auto="1"/>
      </top>
      <bottom/>
      <diagonal/>
    </border>
    <border>
      <left/>
      <right style="thin">
        <color theme="0"/>
      </right>
      <top style="thin">
        <color auto="1"/>
      </top>
      <bottom/>
      <diagonal/>
    </border>
    <border>
      <left/>
      <right style="thin">
        <color theme="0"/>
      </right>
      <top/>
      <bottom/>
      <diagonal/>
    </border>
    <border>
      <left style="thin">
        <color theme="0"/>
      </left>
      <right style="dashed">
        <color theme="0" tint="-0.0499893185216834"/>
      </right>
      <top style="thin">
        <color auto="1"/>
      </top>
      <bottom/>
      <diagonal/>
    </border>
    <border>
      <left style="dashed">
        <color theme="0" tint="-0.0499893185216834"/>
      </left>
      <right style="dashed">
        <color theme="0" tint="-0.0499893185216834"/>
      </right>
      <top style="thin">
        <color auto="1"/>
      </top>
      <bottom/>
      <diagonal/>
    </border>
    <border>
      <left style="dashed">
        <color theme="0" tint="-0.0499893185216834"/>
      </left>
      <right style="thin">
        <color auto="1"/>
      </right>
      <top style="thin">
        <color auto="1"/>
      </top>
      <bottom/>
      <diagonal/>
    </border>
    <border>
      <left/>
      <right/>
      <top style="thin">
        <color theme="0"/>
      </top>
      <bottom style="thin">
        <color theme="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right>
      <top style="thin">
        <color auto="1"/>
      </top>
      <bottom style="thin">
        <color auto="1"/>
      </bottom>
      <diagonal/>
    </border>
    <border>
      <left style="thin">
        <color auto="1"/>
      </left>
      <right style="thin">
        <color theme="0" tint="-0.149876400036622"/>
      </right>
      <top/>
      <bottom style="thin">
        <color theme="0" tint="-0.149876400036622"/>
      </bottom>
      <diagonal/>
    </border>
    <border>
      <left style="thin">
        <color theme="0" tint="-0.149876400036622"/>
      </left>
      <right style="thin">
        <color theme="0" tint="-0.149876400036622"/>
      </right>
      <top/>
      <bottom style="thin">
        <color theme="0" tint="-0.149876400036622"/>
      </bottom>
      <diagonal/>
    </border>
    <border>
      <left style="thin">
        <color theme="0" tint="-0.149876400036622"/>
      </left>
      <right style="thin">
        <color auto="1"/>
      </right>
      <top/>
      <bottom style="thin">
        <color theme="0" tint="-0.149876400036622"/>
      </bottom>
      <diagonal/>
    </border>
    <border>
      <left style="thin">
        <color theme="0" tint="-0.149876400036622"/>
      </left>
      <right style="thin">
        <color theme="0"/>
      </right>
      <top/>
      <bottom style="thin">
        <color theme="0" tint="-0.149876400036622"/>
      </bottom>
      <diagonal/>
    </border>
    <border>
      <left/>
      <right style="thin">
        <color theme="0" tint="-0.149876400036622"/>
      </right>
      <top/>
      <bottom style="thin">
        <color theme="0" tint="-0.149876400036622"/>
      </bottom>
      <diagonal/>
    </border>
    <border>
      <left style="thin">
        <color theme="0" tint="-0.149876400036622"/>
      </left>
      <right/>
      <top style="thin">
        <color auto="1"/>
      </top>
      <bottom style="thin">
        <color theme="0" tint="-0.149876400036622"/>
      </bottom>
      <diagonal/>
    </border>
    <border>
      <left/>
      <right/>
      <top style="thin">
        <color auto="1"/>
      </top>
      <bottom style="thin">
        <color theme="0" tint="-0.149876400036622"/>
      </bottom>
      <diagonal/>
    </border>
    <border>
      <left/>
      <right style="thin">
        <color auto="1"/>
      </right>
      <top style="thin">
        <color auto="1"/>
      </top>
      <bottom style="thin">
        <color theme="0" tint="-0.149876400036622"/>
      </bottom>
      <diagonal/>
    </border>
    <border>
      <left style="thin">
        <color theme="0" tint="-0.499984740745262"/>
      </left>
      <right/>
      <top/>
      <bottom/>
      <diagonal/>
    </border>
    <border>
      <left/>
      <right style="thin">
        <color theme="0" tint="-0.499984740745262"/>
      </right>
      <top/>
      <bottom/>
      <diagonal/>
    </border>
    <border>
      <left style="thin">
        <color rgb="FFC00000"/>
      </left>
      <right style="thin">
        <color theme="0" tint="-0.149876400036622"/>
      </right>
      <top style="thin">
        <color auto="1"/>
      </top>
      <bottom style="thin">
        <color theme="0" tint="-0.149876400036622"/>
      </bottom>
      <diagonal/>
    </border>
    <border>
      <left style="thin">
        <color theme="0" tint="-0.149876400036622"/>
      </left>
      <right style="thin">
        <color theme="0" tint="-0.149876400036622"/>
      </right>
      <top style="thin">
        <color auto="1"/>
      </top>
      <bottom style="thin">
        <color theme="0" tint="-0.149876400036622"/>
      </bottom>
      <diagonal/>
    </border>
    <border>
      <left style="thin">
        <color theme="0" tint="-0.149876400036622"/>
      </left>
      <right style="thin">
        <color rgb="FFC00000"/>
      </right>
      <top style="thin">
        <color auto="1"/>
      </top>
      <bottom style="thin">
        <color theme="0" tint="-0.149876400036622"/>
      </bottom>
      <diagonal/>
    </border>
    <border>
      <left style="thin">
        <color auto="1"/>
      </left>
      <right/>
      <top style="thin">
        <color auto="1"/>
      </top>
      <bottom/>
      <diagonal/>
    </border>
    <border>
      <left style="thin">
        <color theme="0" tint="-0.0499893185216834"/>
      </left>
      <right/>
      <top style="thin">
        <color auto="1"/>
      </top>
      <bottom/>
      <diagonal/>
    </border>
    <border>
      <left/>
      <right style="thin">
        <color auto="1"/>
      </right>
      <top style="thin">
        <color auto="1"/>
      </top>
      <bottom/>
      <diagonal/>
    </border>
    <border>
      <left style="thin">
        <color auto="1"/>
      </left>
      <right style="thin">
        <color theme="0" tint="-0.149876400036622"/>
      </right>
      <top style="thin">
        <color theme="0" tint="-0.149876400036622"/>
      </top>
      <bottom style="thin">
        <color theme="0" tint="-0.149876400036622"/>
      </bottom>
      <diagonal/>
    </border>
    <border>
      <left style="thin">
        <color theme="0" tint="-0.149876400036622"/>
      </left>
      <right style="thin">
        <color theme="0" tint="-0.149876400036622"/>
      </right>
      <top style="thin">
        <color theme="0" tint="-0.149876400036622"/>
      </top>
      <bottom style="thin">
        <color theme="0" tint="-0.149876400036622"/>
      </bottom>
      <diagonal/>
    </border>
    <border>
      <left style="thin">
        <color theme="0" tint="-0.149876400036622"/>
      </left>
      <right/>
      <top style="thin">
        <color theme="0" tint="-0.149876400036622"/>
      </top>
      <bottom style="thin">
        <color theme="0" tint="-0.149876400036622"/>
      </bottom>
      <diagonal/>
    </border>
    <border>
      <left/>
      <right/>
      <top style="thin">
        <color theme="0" tint="-0.149876400036622"/>
      </top>
      <bottom style="thin">
        <color theme="0" tint="-0.149876400036622"/>
      </bottom>
      <diagonal/>
    </border>
    <border>
      <left/>
      <right style="thin">
        <color auto="1"/>
      </right>
      <top style="thin">
        <color theme="0" tint="-0.149876400036622"/>
      </top>
      <bottom style="thin">
        <color theme="0" tint="-0.149876400036622"/>
      </bottom>
      <diagonal/>
    </border>
    <border>
      <left/>
      <right style="thin">
        <color theme="0" tint="-0.149876400036622"/>
      </right>
      <top style="thin">
        <color theme="0" tint="-0.149876400036622"/>
      </top>
      <bottom style="thin">
        <color theme="0" tint="-0.149876400036622"/>
      </bottom>
      <diagonal/>
    </border>
    <border>
      <left style="thin">
        <color rgb="FFC00000"/>
      </left>
      <right style="thin">
        <color theme="0" tint="-0.149876400036622"/>
      </right>
      <top style="thin">
        <color theme="0" tint="-0.149876400036622"/>
      </top>
      <bottom style="thin">
        <color theme="0" tint="-0.149876400036622"/>
      </bottom>
      <diagonal/>
    </border>
    <border>
      <left style="thin">
        <color theme="0" tint="-0.149876400036622"/>
      </left>
      <right style="thin">
        <color rgb="FFC00000"/>
      </right>
      <top style="thin">
        <color theme="0" tint="-0.149876400036622"/>
      </top>
      <bottom style="thin">
        <color theme="0" tint="-0.149876400036622"/>
      </bottom>
      <diagonal/>
    </border>
    <border>
      <left style="thin">
        <color auto="1"/>
      </left>
      <right/>
      <top/>
      <bottom/>
      <diagonal/>
    </border>
    <border>
      <left style="thin">
        <color theme="0" tint="-0.0499893185216834"/>
      </left>
      <right/>
      <top/>
      <bottom/>
      <diagonal/>
    </border>
    <border>
      <left/>
      <right style="thin">
        <color auto="1"/>
      </right>
      <top/>
      <bottom/>
      <diagonal/>
    </border>
    <border>
      <left style="thin">
        <color theme="0" tint="-0.149876400036622"/>
      </left>
      <right style="thin">
        <color auto="1"/>
      </right>
      <top style="thin">
        <color theme="0" tint="-0.149876400036622"/>
      </top>
      <bottom style="thin">
        <color theme="0" tint="-0.149876400036622"/>
      </bottom>
      <diagonal/>
    </border>
    <border>
      <left style="thin">
        <color auto="1"/>
      </left>
      <right style="thin">
        <color theme="0" tint="-0.149876400036622"/>
      </right>
      <top style="thin">
        <color theme="0" tint="-0.149876400036622"/>
      </top>
      <bottom style="thin">
        <color auto="1"/>
      </bottom>
      <diagonal/>
    </border>
    <border>
      <left style="thin">
        <color theme="0" tint="-0.149876400036622"/>
      </left>
      <right style="thin">
        <color theme="0" tint="-0.149876400036622"/>
      </right>
      <top style="thin">
        <color theme="0" tint="-0.149876400036622"/>
      </top>
      <bottom style="thin">
        <color auto="1"/>
      </bottom>
      <diagonal/>
    </border>
    <border>
      <left style="thin">
        <color theme="0" tint="-0.149876400036622"/>
      </left>
      <right/>
      <top style="thin">
        <color theme="0" tint="-0.149876400036622"/>
      </top>
      <bottom style="thin">
        <color auto="1"/>
      </bottom>
      <diagonal/>
    </border>
    <border>
      <left/>
      <right/>
      <top style="thin">
        <color theme="0" tint="-0.149876400036622"/>
      </top>
      <bottom style="thin">
        <color auto="1"/>
      </bottom>
      <diagonal/>
    </border>
    <border>
      <left/>
      <right style="thin">
        <color auto="1"/>
      </right>
      <top style="thin">
        <color theme="0" tint="-0.149876400036622"/>
      </top>
      <bottom style="thin">
        <color auto="1"/>
      </bottom>
      <diagonal/>
    </border>
    <border>
      <left style="thin">
        <color auto="1"/>
      </left>
      <right style="thin">
        <color auto="1"/>
      </right>
      <top style="thin">
        <color theme="0"/>
      </top>
      <bottom style="thin">
        <color theme="0"/>
      </bottom>
      <diagonal/>
    </border>
    <border>
      <left/>
      <right style="thin">
        <color theme="0" tint="-0.149876400036622"/>
      </right>
      <top style="thin">
        <color theme="0" tint="-0.149876400036622"/>
      </top>
      <bottom style="thin">
        <color auto="1"/>
      </bottom>
      <diagonal/>
    </border>
    <border>
      <left style="thin">
        <color theme="0"/>
      </left>
      <right/>
      <top style="thin">
        <color auto="1"/>
      </top>
      <bottom style="thin">
        <color auto="1"/>
      </bottom>
      <diagonal/>
    </border>
    <border>
      <left/>
      <right style="thin">
        <color theme="0"/>
      </right>
      <top/>
      <bottom style="thin">
        <color auto="1"/>
      </bottom>
      <diagonal/>
    </border>
    <border>
      <left style="thin">
        <color theme="0"/>
      </left>
      <right style="thin">
        <color theme="0"/>
      </right>
      <top style="thin">
        <color auto="1"/>
      </top>
      <bottom style="thin">
        <color auto="1"/>
      </bottom>
      <diagonal/>
    </border>
    <border>
      <left style="thin">
        <color theme="0"/>
      </left>
      <right/>
      <top/>
      <bottom style="thin">
        <color theme="0"/>
      </bottom>
      <diagonal/>
    </border>
    <border>
      <left/>
      <right style="thin">
        <color rgb="FFE8EDF8"/>
      </right>
      <top style="thin">
        <color auto="1"/>
      </top>
      <bottom/>
      <diagonal/>
    </border>
    <border>
      <left style="thin">
        <color rgb="FFE8EDF8"/>
      </left>
      <right/>
      <top style="thin">
        <color auto="1"/>
      </top>
      <bottom/>
      <diagonal/>
    </border>
    <border>
      <left/>
      <right style="double">
        <color theme="0" tint="-0.499984740745262"/>
      </right>
      <top style="thin">
        <color auto="1"/>
      </top>
      <bottom/>
      <diagonal/>
    </border>
    <border>
      <left style="double">
        <color theme="0" tint="-0.499984740745262"/>
      </left>
      <right/>
      <top style="thin">
        <color auto="1"/>
      </top>
      <bottom/>
      <diagonal/>
    </border>
    <border>
      <left/>
      <right style="thin">
        <color rgb="FFB4C6E7"/>
      </right>
      <top style="thin">
        <color auto="1"/>
      </top>
      <bottom/>
      <diagonal/>
    </border>
    <border>
      <left style="thin">
        <color rgb="FFB4C6E7"/>
      </left>
      <right/>
      <top style="thin">
        <color auto="1"/>
      </top>
      <bottom/>
      <diagonal/>
    </border>
    <border>
      <left/>
      <right style="double">
        <color theme="1"/>
      </right>
      <top style="thin">
        <color auto="1"/>
      </top>
      <bottom/>
      <diagonal/>
    </border>
    <border>
      <left style="double">
        <color theme="1"/>
      </left>
      <right/>
      <top style="thin">
        <color auto="1"/>
      </top>
      <bottom/>
      <diagonal/>
    </border>
    <border>
      <left/>
      <right style="double">
        <color auto="1"/>
      </right>
      <top style="thin">
        <color auto="1"/>
      </top>
      <bottom/>
      <diagonal/>
    </border>
    <border>
      <left/>
      <right style="thin">
        <color theme="0" tint="-0.149876400036622"/>
      </right>
      <top style="thin">
        <color auto="1"/>
      </top>
      <bottom style="thin">
        <color theme="0" tint="-0.499984740745262"/>
      </bottom>
      <diagonal/>
    </border>
    <border>
      <left style="thin">
        <color theme="0" tint="-0.149876400036622"/>
      </left>
      <right style="thin">
        <color theme="0" tint="-0.149876400036622"/>
      </right>
      <top style="thin">
        <color auto="1"/>
      </top>
      <bottom style="thin">
        <color theme="0" tint="-0.499984740745262"/>
      </bottom>
      <diagonal/>
    </border>
    <border>
      <left style="thin">
        <color theme="0" tint="-0.149876400036622"/>
      </left>
      <right style="thin">
        <color auto="1"/>
      </right>
      <top style="thin">
        <color auto="1"/>
      </top>
      <bottom style="thin">
        <color theme="0" tint="-0.499984740745262"/>
      </bottom>
      <diagonal/>
    </border>
    <border>
      <left style="thin">
        <color auto="1"/>
      </left>
      <right/>
      <top/>
      <bottom style="thin">
        <color auto="1"/>
      </bottom>
      <diagonal/>
    </border>
    <border>
      <left/>
      <right/>
      <top/>
      <bottom style="thin">
        <color auto="1"/>
      </bottom>
      <diagonal/>
    </border>
    <border>
      <left/>
      <right style="thin">
        <color rgb="FFE8EDF8"/>
      </right>
      <top/>
      <bottom style="thin">
        <color auto="1"/>
      </bottom>
      <diagonal/>
    </border>
    <border>
      <left style="thin">
        <color rgb="FFE8EDF8"/>
      </left>
      <right/>
      <top/>
      <bottom style="thin">
        <color auto="1"/>
      </bottom>
      <diagonal/>
    </border>
    <border>
      <left/>
      <right style="double">
        <color theme="0" tint="-0.499984740745262"/>
      </right>
      <top/>
      <bottom style="thin">
        <color auto="1"/>
      </bottom>
      <diagonal/>
    </border>
    <border>
      <left style="double">
        <color theme="0" tint="-0.499984740745262"/>
      </left>
      <right/>
      <top/>
      <bottom style="thin">
        <color auto="1"/>
      </bottom>
      <diagonal/>
    </border>
    <border>
      <left/>
      <right style="thin">
        <color rgb="FFB4C6E7"/>
      </right>
      <top/>
      <bottom style="thin">
        <color auto="1"/>
      </bottom>
      <diagonal/>
    </border>
    <border>
      <left style="thin">
        <color rgb="FFB4C6E7"/>
      </left>
      <right/>
      <top/>
      <bottom style="thin">
        <color auto="1"/>
      </bottom>
      <diagonal/>
    </border>
    <border>
      <left/>
      <right style="double">
        <color theme="1"/>
      </right>
      <top/>
      <bottom style="thin">
        <color auto="1"/>
      </bottom>
      <diagonal/>
    </border>
    <border>
      <left style="double">
        <color theme="1"/>
      </left>
      <right/>
      <top/>
      <bottom style="thin">
        <color auto="1"/>
      </bottom>
      <diagonal/>
    </border>
    <border>
      <left/>
      <right style="double">
        <color auto="1"/>
      </right>
      <top/>
      <bottom style="thin">
        <color auto="1"/>
      </bottom>
      <diagonal/>
    </border>
    <border>
      <left/>
      <right style="thin">
        <color theme="0" tint="-0.149876400036622"/>
      </right>
      <top style="thin">
        <color theme="0" tint="-0.499984740745262"/>
      </top>
      <bottom style="thin">
        <color auto="1"/>
      </bottom>
      <diagonal/>
    </border>
    <border>
      <left style="thin">
        <color theme="0" tint="-0.149876400036622"/>
      </left>
      <right style="thin">
        <color theme="0" tint="-0.149876400036622"/>
      </right>
      <top style="thin">
        <color theme="0" tint="-0.499984740745262"/>
      </top>
      <bottom style="thin">
        <color auto="1"/>
      </bottom>
      <diagonal/>
    </border>
    <border>
      <left style="thin">
        <color theme="0" tint="-0.149876400036622"/>
      </left>
      <right style="thin">
        <color auto="1"/>
      </right>
      <top style="thin">
        <color theme="0" tint="-0.499984740745262"/>
      </top>
      <bottom style="thin">
        <color auto="1"/>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rgb="FFC00000"/>
      </left>
      <right style="thin">
        <color theme="0" tint="-0.149876400036622"/>
      </right>
      <top style="thin">
        <color theme="0" tint="-0.149876400036622"/>
      </top>
      <bottom style="thin">
        <color rgb="FFC00000"/>
      </bottom>
      <diagonal/>
    </border>
    <border>
      <left style="thin">
        <color theme="0" tint="-0.149876400036622"/>
      </left>
      <right style="thin">
        <color theme="0" tint="-0.149876400036622"/>
      </right>
      <top style="thin">
        <color theme="0" tint="-0.149876400036622"/>
      </top>
      <bottom style="thin">
        <color rgb="FFC00000"/>
      </bottom>
      <diagonal/>
    </border>
    <border>
      <left style="thin">
        <color theme="0" tint="-0.149876400036622"/>
      </left>
      <right style="thin">
        <color rgb="FFC00000"/>
      </right>
      <top style="thin">
        <color theme="0" tint="-0.149876400036622"/>
      </top>
      <bottom style="thin">
        <color rgb="FFC00000"/>
      </bottom>
      <diagonal/>
    </border>
    <border>
      <left style="thin">
        <color theme="0" tint="-0.0499893185216834"/>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theme="0" tint="-0.149876400036622"/>
      </right>
      <top style="thin">
        <color auto="1"/>
      </top>
      <bottom style="thin">
        <color theme="0" tint="-0.149876400036622"/>
      </bottom>
      <diagonal/>
    </border>
    <border>
      <left style="thin">
        <color theme="0" tint="-0.149876400036622"/>
      </left>
      <right style="double">
        <color theme="0" tint="-0.499984740745262"/>
      </right>
      <top style="thin">
        <color auto="1"/>
      </top>
      <bottom style="thin">
        <color theme="0" tint="-0.149876400036622"/>
      </bottom>
      <diagonal/>
    </border>
    <border>
      <left style="double">
        <color theme="0" tint="-0.499984740745262"/>
      </left>
      <right style="thin">
        <color theme="0" tint="-0.149876400036622"/>
      </right>
      <top style="thin">
        <color auto="1"/>
      </top>
      <bottom style="thin">
        <color theme="0" tint="-0.149876400036622"/>
      </bottom>
      <diagonal/>
    </border>
    <border>
      <left style="thin">
        <color theme="0" tint="-0.149876400036622"/>
      </left>
      <right style="thin">
        <color theme="1"/>
      </right>
      <top style="thin">
        <color auto="1"/>
      </top>
      <bottom style="thin">
        <color theme="0" tint="-0.149876400036622"/>
      </bottom>
      <diagonal/>
    </border>
    <border>
      <left style="thin">
        <color theme="0" tint="-0.149876400036622"/>
      </left>
      <right style="thin">
        <color auto="1"/>
      </right>
      <top style="thin">
        <color auto="1"/>
      </top>
      <bottom style="thin">
        <color theme="0" tint="-0.149876400036622"/>
      </bottom>
      <diagonal/>
    </border>
    <border>
      <left style="thin">
        <color theme="1"/>
      </left>
      <right style="thin">
        <color theme="0" tint="-0.149876400036622"/>
      </right>
      <top style="thin">
        <color theme="1"/>
      </top>
      <bottom style="thin">
        <color theme="0" tint="-0.149876400036622"/>
      </bottom>
      <diagonal/>
    </border>
    <border>
      <left style="thin">
        <color theme="0" tint="-0.149876400036622"/>
      </left>
      <right style="thin">
        <color theme="0" tint="-0.149876400036622"/>
      </right>
      <top style="thin">
        <color theme="1"/>
      </top>
      <bottom style="thin">
        <color theme="0" tint="-0.149876400036622"/>
      </bottom>
      <diagonal/>
    </border>
    <border>
      <left style="thin">
        <color theme="0" tint="-0.149876400036622"/>
      </left>
      <right style="thin">
        <color theme="1"/>
      </right>
      <top style="thin">
        <color theme="1"/>
      </top>
      <bottom style="thin">
        <color theme="0" tint="-0.149876400036622"/>
      </bottom>
      <diagonal/>
    </border>
    <border>
      <left style="thin">
        <color theme="0" tint="-0.149876400036622"/>
      </left>
      <right style="double">
        <color theme="0" tint="-0.499984740745262"/>
      </right>
      <top style="thin">
        <color theme="0" tint="-0.149876400036622"/>
      </top>
      <bottom style="thin">
        <color theme="0" tint="-0.149876400036622"/>
      </bottom>
      <diagonal/>
    </border>
    <border>
      <left style="double">
        <color theme="0" tint="-0.499984740745262"/>
      </left>
      <right style="thin">
        <color theme="0" tint="-0.149876400036622"/>
      </right>
      <top style="thin">
        <color theme="0" tint="-0.149876400036622"/>
      </top>
      <bottom style="thin">
        <color theme="0" tint="-0.149876400036622"/>
      </bottom>
      <diagonal/>
    </border>
    <border>
      <left style="thin">
        <color theme="0" tint="-0.149876400036622"/>
      </left>
      <right style="thin">
        <color theme="1"/>
      </right>
      <top style="thin">
        <color theme="0" tint="-0.149876400036622"/>
      </top>
      <bottom style="thin">
        <color theme="0" tint="-0.149876400036622"/>
      </bottom>
      <diagonal/>
    </border>
    <border>
      <left style="thin">
        <color theme="1"/>
      </left>
      <right style="thin">
        <color theme="0" tint="-0.149876400036622"/>
      </right>
      <top style="thin">
        <color theme="0" tint="-0.149876400036622"/>
      </top>
      <bottom style="thin">
        <color theme="0" tint="-0.149876400036622"/>
      </bottom>
      <diagonal/>
    </border>
    <border>
      <left style="thin">
        <color theme="1"/>
      </left>
      <right style="thin">
        <color theme="0"/>
      </right>
      <top style="thin">
        <color theme="0"/>
      </top>
      <bottom style="thin">
        <color theme="0"/>
      </bottom>
      <diagonal/>
    </border>
    <border>
      <left style="thin">
        <color theme="0"/>
      </left>
      <right style="thin">
        <color theme="0" tint="-0.149876400036622"/>
      </right>
      <top style="thin">
        <color theme="0" tint="-0.149876400036622"/>
      </top>
      <bottom style="thin">
        <color theme="0" tint="-0.149876400036622"/>
      </bottom>
      <diagonal/>
    </border>
    <border>
      <left style="thin">
        <color theme="0" tint="-0.149876400036622"/>
      </left>
      <right style="thin">
        <color rgb="FFE8EDF8"/>
      </right>
      <top style="thin">
        <color theme="0" tint="-0.149876400036622"/>
      </top>
      <bottom style="thin">
        <color theme="0" tint="-0.149876400036622"/>
      </bottom>
      <diagonal/>
    </border>
    <border>
      <left style="thin">
        <color rgb="FFE8EDF8"/>
      </left>
      <right style="thin">
        <color rgb="FFE8EDF8"/>
      </right>
      <top style="thin">
        <color theme="0" tint="-0.149876400036622"/>
      </top>
      <bottom style="thin">
        <color theme="0" tint="-0.149876400036622"/>
      </bottom>
      <diagonal/>
    </border>
    <border>
      <left style="thin">
        <color rgb="FFE8EDF8"/>
      </left>
      <right style="thin">
        <color theme="0" tint="-0.149876400036622"/>
      </right>
      <top style="thin">
        <color theme="0" tint="-0.149876400036622"/>
      </top>
      <bottom style="thin">
        <color theme="0" tint="-0.149876400036622"/>
      </bottom>
      <diagonal/>
    </border>
    <border>
      <left style="thin">
        <color theme="1"/>
      </left>
      <right style="thin">
        <color theme="0" tint="-0.149876400036622"/>
      </right>
      <top style="thin">
        <color theme="0" tint="-0.149876400036622"/>
      </top>
      <bottom style="thin">
        <color theme="1"/>
      </bottom>
      <diagonal/>
    </border>
    <border>
      <left style="thin">
        <color theme="0" tint="-0.149876400036622"/>
      </left>
      <right style="thin">
        <color theme="0" tint="-0.149876400036622"/>
      </right>
      <top style="thin">
        <color theme="0" tint="-0.149876400036622"/>
      </top>
      <bottom style="thin">
        <color theme="1"/>
      </bottom>
      <diagonal/>
    </border>
    <border>
      <left style="thin">
        <color theme="0" tint="-0.149876400036622"/>
      </left>
      <right style="thin">
        <color theme="1"/>
      </right>
      <top style="thin">
        <color theme="0" tint="-0.149876400036622"/>
      </top>
      <bottom style="thin">
        <color theme="1"/>
      </bottom>
      <diagonal/>
    </border>
    <border>
      <left style="thin">
        <color theme="1"/>
      </left>
      <right style="thin">
        <color theme="0" tint="-0.149876400036622"/>
      </right>
      <top style="thin">
        <color auto="1"/>
      </top>
      <bottom style="thin">
        <color theme="0" tint="-0.149876400036622"/>
      </bottom>
      <diagonal/>
    </border>
    <border>
      <left style="thin">
        <color theme="0" tint="-0.149876400036622"/>
      </left>
      <right/>
      <top style="thin">
        <color theme="0" tint="-0.149876400036622"/>
      </top>
      <bottom/>
      <diagonal/>
    </border>
    <border>
      <left/>
      <right style="thin">
        <color theme="0" tint="-0.149876400036622"/>
      </right>
      <top style="thin">
        <color theme="0" tint="-0.149876400036622"/>
      </top>
      <bottom/>
      <diagonal/>
    </border>
    <border>
      <left style="thin">
        <color theme="0" tint="-0.149876400036622"/>
      </left>
      <right/>
      <top/>
      <bottom style="thin">
        <color theme="0" tint="-0.149876400036622"/>
      </bottom>
      <diagonal/>
    </border>
    <border>
      <left style="thin">
        <color auto="1"/>
      </left>
      <right style="thin">
        <color theme="0" tint="-0.149876400036622"/>
      </right>
      <top style="thin">
        <color theme="0" tint="-0.149876400036622"/>
      </top>
      <bottom style="thin">
        <color theme="1"/>
      </bottom>
      <diagonal/>
    </border>
    <border>
      <left style="thin">
        <color theme="0" tint="-0.149876400036622"/>
      </left>
      <right style="double">
        <color theme="0" tint="-0.499984740745262"/>
      </right>
      <top style="thin">
        <color theme="0" tint="-0.149876400036622"/>
      </top>
      <bottom style="thin">
        <color theme="1"/>
      </bottom>
      <diagonal/>
    </border>
    <border>
      <left style="double">
        <color theme="0" tint="-0.499984740745262"/>
      </left>
      <right style="thin">
        <color theme="0" tint="-0.149876400036622"/>
      </right>
      <top style="thin">
        <color theme="0" tint="-0.149876400036622"/>
      </top>
      <bottom style="thin">
        <color theme="1"/>
      </bottom>
      <diagonal/>
    </border>
    <border>
      <left style="thin">
        <color theme="0" tint="-0.149876400036622"/>
      </left>
      <right style="thin">
        <color auto="1"/>
      </right>
      <top style="thin">
        <color theme="0" tint="-0.149876400036622"/>
      </top>
      <bottom style="thin">
        <color auto="1"/>
      </bottom>
      <diagonal/>
    </border>
    <border>
      <left style="thin">
        <color theme="1"/>
      </left>
      <right style="thin">
        <color theme="0" tint="-0.149876400036622"/>
      </right>
      <top style="thin">
        <color theme="0" tint="-0.149876400036622"/>
      </top>
      <bottom style="thin">
        <color auto="1"/>
      </bottom>
      <diagonal/>
    </border>
    <border>
      <left style="thin">
        <color theme="0" tint="-0.149876400036622"/>
      </left>
      <right/>
      <top/>
      <bottom style="thin">
        <color auto="1"/>
      </bottom>
      <diagonal/>
    </border>
    <border>
      <left/>
      <right style="thin">
        <color theme="0" tint="-0.149876400036622"/>
      </right>
      <top/>
      <bottom style="thin">
        <color auto="1"/>
      </bottom>
      <diagonal/>
    </border>
    <border>
      <left style="thin">
        <color theme="0"/>
      </left>
      <right style="thin">
        <color theme="0"/>
      </right>
      <top style="thin">
        <color theme="0"/>
      </top>
      <bottom/>
      <diagonal/>
    </border>
    <border>
      <left/>
      <right style="thin">
        <color theme="1" tint="0.499984740745262"/>
      </right>
      <top style="thin">
        <color auto="1"/>
      </top>
      <bottom style="thin">
        <color auto="1"/>
      </bottom>
      <diagonal/>
    </border>
    <border>
      <left style="thin">
        <color theme="1" tint="0.499984740745262"/>
      </left>
      <right style="thin">
        <color theme="0"/>
      </right>
      <top style="thin">
        <color theme="1"/>
      </top>
      <bottom style="thin">
        <color theme="1"/>
      </bottom>
      <diagonal/>
    </border>
    <border>
      <left style="thin">
        <color theme="0"/>
      </left>
      <right style="thin">
        <color theme="0"/>
      </right>
      <top style="thin">
        <color theme="1"/>
      </top>
      <bottom style="thin">
        <color theme="1"/>
      </bottom>
      <diagonal/>
    </border>
    <border>
      <left style="thin">
        <color theme="0"/>
      </left>
      <right style="thin">
        <color theme="1" tint="0.499984740745262"/>
      </right>
      <top style="thin">
        <color theme="1"/>
      </top>
      <bottom style="thin">
        <color theme="1"/>
      </bottom>
      <diagonal/>
    </border>
    <border>
      <left style="thin">
        <color theme="1" tint="0.499984740745262"/>
      </left>
      <right style="thin">
        <color theme="0"/>
      </right>
      <top style="thin">
        <color theme="1"/>
      </top>
      <bottom style="thin">
        <color theme="0"/>
      </bottom>
      <diagonal/>
    </border>
    <border>
      <left style="thin">
        <color theme="0"/>
      </left>
      <right style="thin">
        <color theme="0"/>
      </right>
      <top style="thin">
        <color theme="1"/>
      </top>
      <bottom style="thin">
        <color theme="0"/>
      </bottom>
      <diagonal/>
    </border>
    <border>
      <left style="thin">
        <color theme="0"/>
      </left>
      <right style="thin">
        <color theme="1"/>
      </right>
      <top style="thin">
        <color theme="1"/>
      </top>
      <bottom style="thin">
        <color theme="0"/>
      </bottom>
      <diagonal/>
    </border>
    <border>
      <left style="thin">
        <color theme="1"/>
      </left>
      <right/>
      <top style="thin">
        <color theme="1"/>
      </top>
      <bottom style="thin">
        <color auto="1"/>
      </bottom>
      <diagonal/>
    </border>
    <border>
      <left/>
      <right/>
      <top style="thin">
        <color theme="1"/>
      </top>
      <bottom style="thin">
        <color auto="1"/>
      </bottom>
      <diagonal/>
    </border>
    <border>
      <left/>
      <right style="thin">
        <color theme="0"/>
      </right>
      <top style="thin">
        <color theme="1"/>
      </top>
      <bottom style="thin">
        <color auto="1"/>
      </bottom>
      <diagonal/>
    </border>
    <border>
      <left style="thin">
        <color theme="0"/>
      </left>
      <right style="thin">
        <color theme="0"/>
      </right>
      <top style="thin">
        <color theme="1"/>
      </top>
      <bottom style="thin">
        <color auto="1"/>
      </bottom>
      <diagonal/>
    </border>
    <border>
      <left style="thin">
        <color theme="0"/>
      </left>
      <right style="thin">
        <color theme="1"/>
      </right>
      <top style="thin">
        <color theme="1"/>
      </top>
      <bottom style="thin">
        <color auto="1"/>
      </bottom>
      <diagonal/>
    </border>
    <border>
      <left/>
      <right style="thin">
        <color theme="0" tint="-0.149876400036622"/>
      </right>
      <top style="thin">
        <color auto="1"/>
      </top>
      <bottom style="thin">
        <color auto="1"/>
      </bottom>
      <diagonal/>
    </border>
    <border>
      <left/>
      <right/>
      <top/>
      <bottom style="thin">
        <color theme="0"/>
      </bottom>
      <diagonal/>
    </border>
    <border>
      <left style="thin">
        <color theme="0"/>
      </left>
      <right style="thin">
        <color theme="1"/>
      </right>
      <top/>
      <bottom style="thin">
        <color theme="0"/>
      </bottom>
      <diagonal/>
    </border>
    <border>
      <left/>
      <right/>
      <top style="thin">
        <color auto="1"/>
      </top>
      <bottom style="thin">
        <color theme="0"/>
      </bottom>
      <diagonal/>
    </border>
    <border>
      <left/>
      <right style="thin">
        <color theme="1"/>
      </right>
      <top style="thin">
        <color auto="1"/>
      </top>
      <bottom style="thin">
        <color theme="0"/>
      </bottom>
      <diagonal/>
    </border>
    <border>
      <left style="thin">
        <color auto="1"/>
      </left>
      <right style="thin">
        <color theme="0"/>
      </right>
      <top style="thin">
        <color auto="1"/>
      </top>
      <bottom style="thin">
        <color theme="0"/>
      </bottom>
      <diagonal/>
    </border>
    <border>
      <left style="thin">
        <color theme="0"/>
      </left>
      <right style="thin">
        <color theme="0"/>
      </right>
      <top style="thin">
        <color auto="1"/>
      </top>
      <bottom style="thin">
        <color theme="0"/>
      </bottom>
      <diagonal/>
    </border>
    <border>
      <left style="thin">
        <color theme="0"/>
      </left>
      <right style="thin">
        <color auto="1"/>
      </right>
      <top style="thin">
        <color auto="1"/>
      </top>
      <bottom style="thin">
        <color theme="0"/>
      </bottom>
      <diagonal/>
    </border>
    <border>
      <left style="thin">
        <color auto="1"/>
      </left>
      <right style="thin">
        <color theme="0"/>
      </right>
      <top/>
      <bottom style="thin">
        <color theme="0"/>
      </bottom>
      <diagonal/>
    </border>
    <border>
      <left style="thin">
        <color theme="0"/>
      </left>
      <right style="thin">
        <color theme="1"/>
      </right>
      <top style="thin">
        <color theme="0"/>
      </top>
      <bottom style="thin">
        <color theme="0"/>
      </bottom>
      <diagonal/>
    </border>
    <border>
      <left style="thin">
        <color auto="1"/>
      </left>
      <right style="thin">
        <color theme="0"/>
      </right>
      <top style="thin">
        <color theme="0"/>
      </top>
      <bottom style="thin">
        <color theme="0"/>
      </bottom>
      <diagonal/>
    </border>
    <border>
      <left style="thin">
        <color theme="0"/>
      </left>
      <right style="thin">
        <color auto="1"/>
      </right>
      <top style="thin">
        <color theme="0"/>
      </top>
      <bottom style="thin">
        <color theme="0"/>
      </bottom>
      <diagonal/>
    </border>
    <border>
      <left style="thin">
        <color auto="1"/>
      </left>
      <right style="thin">
        <color theme="0"/>
      </right>
      <top style="thin">
        <color theme="0"/>
      </top>
      <bottom style="thin">
        <color auto="1"/>
      </bottom>
      <diagonal/>
    </border>
    <border>
      <left style="thin">
        <color theme="0"/>
      </left>
      <right style="thin">
        <color theme="0"/>
      </right>
      <top style="thin">
        <color theme="0"/>
      </top>
      <bottom style="thin">
        <color auto="1"/>
      </bottom>
      <diagonal/>
    </border>
    <border>
      <left style="thin">
        <color theme="0"/>
      </left>
      <right style="thin">
        <color auto="1"/>
      </right>
      <top style="thin">
        <color theme="0"/>
      </top>
      <bottom style="thin">
        <color auto="1"/>
      </bottom>
      <diagonal/>
    </border>
    <border>
      <left style="thin">
        <color theme="0"/>
      </left>
      <right style="thin">
        <color theme="0"/>
      </right>
      <top style="thin">
        <color theme="0"/>
      </top>
      <bottom style="thin">
        <color theme="1"/>
      </bottom>
      <diagonal/>
    </border>
    <border>
      <left style="thin">
        <color theme="0"/>
      </left>
      <right style="thin">
        <color theme="1"/>
      </right>
      <top style="thin">
        <color theme="0"/>
      </top>
      <bottom style="thin">
        <color theme="1"/>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style="thin">
        <color theme="0"/>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medium">
        <color theme="1"/>
      </left>
      <right style="medium">
        <color theme="1"/>
      </right>
      <top style="medium">
        <color theme="1"/>
      </top>
      <bottom style="medium">
        <color theme="1"/>
      </bottom>
      <diagonal/>
    </border>
    <x:border xmlns:x="http://schemas.openxmlformats.org/spreadsheetml/2006/main"/>
    <x:border xmlns:x="http://schemas.openxmlformats.org/spreadsheetml/2006/main">
      <x:bottom style="thin">
        <x:color rgb="FFD2DBD4"/>
      </x:bottom>
    </x: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x:border xmlns:x="http://schemas.openxmlformats.org/spreadsheetml/2006/main"/>
    <x:border xmlns:x="http://schemas.openxmlformats.org/spreadsheetml/2006/main">
      <x:bottom style="thin">
        <x:color rgb="FFD2DBD4"/>
      </x:bottom>
    </x:border>
    <x:border xmlns:x="http://schemas.openxmlformats.org/spreadsheetml/2006/main"/>
    <x:border xmlns:x="http://schemas.openxmlformats.org/spreadsheetml/2006/main">
      <x:left style="thin">
        <x:color rgb="FFBFBFBF"/>
      </x:left>
      <x:bottom style="thin">
        <x:color rgb="FFBFBFBF"/>
      </x:bottom>
    </x:border>
    <x:border xmlns:x="http://schemas.openxmlformats.org/spreadsheetml/2006/main">
      <x:right style="thin">
        <x:color rgb="FFBFBFBF"/>
      </x:right>
      <x:bottom style="thin">
        <x:color rgb="FFBFBFBF"/>
      </x:bottom>
    </x: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border>
    <x:border xmlns:x="http://schemas.openxmlformats.org/spreadsheetml/2006/main"/>
    <x:border xmlns:x="http://schemas.openxmlformats.org/spreadsheetml/2006/main">
      <x:left style="thin">
        <x:color rgb="FFBFBFBF"/>
      </x:left>
      <x:bottom style="thin">
        <x:color rgb="FFBFBFBF"/>
      </x:bottom>
    </x:border>
    <x:border xmlns:x="http://schemas.openxmlformats.org/spreadsheetml/2006/main">
      <x:right style="thin">
        <x:color rgb="FFBFBFBF"/>
      </x:right>
      <x:bottom style="thin">
        <x:color rgb="FFBFBFBF"/>
      </x:bottom>
    </x:border>
    <x:border xmlns:x="http://schemas.openxmlformats.org/spreadsheetml/2006/main"/>
    <x:border xmlns:x="http://schemas.openxmlformats.org/spreadsheetml/2006/main">
      <x:left style="thin">
        <x:color rgb="FFBFBFBF"/>
      </x:left>
      <x:bottom style="thin">
        <x:color rgb="FFBFBFBF"/>
      </x:bottom>
    </x:border>
    <x:border xmlns:x="http://schemas.openxmlformats.org/spreadsheetml/2006/main">
      <x:right style="thin">
        <x:color rgb="FFBFBFBF"/>
      </x:right>
      <x:bottom style="thin">
        <x:color rgb="FFBFBFBF"/>
      </x:bottom>
    </x:border>
  </borders>
  <cellStyleXfs count="58">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xf numFmtId="0" fontId="51" fillId="0" borderId="0" applyNumberFormat="0" applyFill="0" applyBorder="0" applyAlignment="0" applyProtection="0">
      <alignment vertical="center"/>
    </xf>
    <xf numFmtId="0" fontId="0" fillId="17" borderId="180" applyNumberFormat="0" applyFont="0" applyAlignment="0" applyProtection="0">
      <alignment vertical="center"/>
    </xf>
    <xf numFmtId="0" fontId="52"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5" fillId="0" borderId="181" applyNumberFormat="0" applyFill="0" applyAlignment="0" applyProtection="0">
      <alignment vertical="center"/>
    </xf>
    <xf numFmtId="0" fontId="56" fillId="0" borderId="181" applyNumberFormat="0" applyFill="0" applyAlignment="0" applyProtection="0">
      <alignment vertical="center"/>
    </xf>
    <xf numFmtId="0" fontId="57" fillId="0" borderId="182" applyNumberFormat="0" applyFill="0" applyAlignment="0" applyProtection="0">
      <alignment vertical="center"/>
    </xf>
    <xf numFmtId="0" fontId="57" fillId="0" borderId="0" applyNumberFormat="0" applyFill="0" applyBorder="0" applyAlignment="0" applyProtection="0">
      <alignment vertical="center"/>
    </xf>
    <xf numFmtId="0" fontId="58" fillId="18" borderId="183" applyNumberFormat="0" applyAlignment="0" applyProtection="0">
      <alignment vertical="center"/>
    </xf>
    <xf numFmtId="0" fontId="59" fillId="19" borderId="184" applyNumberFormat="0" applyAlignment="0" applyProtection="0">
      <alignment vertical="center"/>
    </xf>
    <xf numFmtId="0" fontId="60" fillId="19" borderId="183" applyNumberFormat="0" applyAlignment="0" applyProtection="0">
      <alignment vertical="center"/>
    </xf>
    <xf numFmtId="0" fontId="61" fillId="20" borderId="185" applyNumberFormat="0" applyAlignment="0" applyProtection="0">
      <alignment vertical="center"/>
    </xf>
    <xf numFmtId="0" fontId="62" fillId="0" borderId="186" applyNumberFormat="0" applyFill="0" applyAlignment="0" applyProtection="0">
      <alignment vertical="center"/>
    </xf>
    <xf numFmtId="0" fontId="63" fillId="0" borderId="187" applyNumberFormat="0" applyFill="0" applyAlignment="0" applyProtection="0">
      <alignment vertical="center"/>
    </xf>
    <xf numFmtId="0" fontId="64" fillId="21" borderId="0" applyNumberFormat="0" applyBorder="0" applyAlignment="0" applyProtection="0">
      <alignment vertical="center"/>
    </xf>
    <xf numFmtId="0" fontId="65" fillId="22" borderId="0" applyNumberFormat="0" applyBorder="0" applyAlignment="0" applyProtection="0">
      <alignment vertical="center"/>
    </xf>
    <xf numFmtId="0" fontId="66" fillId="23" borderId="0" applyNumberFormat="0" applyBorder="0" applyAlignment="0" applyProtection="0">
      <alignment vertical="center"/>
    </xf>
    <xf numFmtId="0" fontId="67" fillId="24" borderId="0" applyNumberFormat="0" applyBorder="0" applyAlignment="0" applyProtection="0">
      <alignment vertical="center"/>
    </xf>
    <xf numFmtId="0" fontId="68" fillId="25" borderId="0" applyNumberFormat="0" applyBorder="0" applyAlignment="0" applyProtection="0">
      <alignment vertical="center"/>
    </xf>
    <xf numFmtId="0" fontId="68" fillId="13" borderId="0" applyNumberFormat="0" applyBorder="0" applyAlignment="0" applyProtection="0">
      <alignment vertical="center"/>
    </xf>
    <xf numFmtId="0" fontId="67" fillId="26" borderId="0" applyNumberFormat="0" applyBorder="0" applyAlignment="0" applyProtection="0">
      <alignment vertical="center"/>
    </xf>
    <xf numFmtId="0" fontId="67" fillId="27" borderId="0" applyNumberFormat="0" applyBorder="0" applyAlignment="0" applyProtection="0">
      <alignment vertical="center"/>
    </xf>
    <xf numFmtId="0" fontId="68" fillId="28" borderId="0" applyNumberFormat="0" applyBorder="0" applyAlignment="0" applyProtection="0">
      <alignment vertical="center"/>
    </xf>
    <xf numFmtId="0" fontId="68" fillId="29" borderId="0" applyNumberFormat="0" applyBorder="0" applyAlignment="0" applyProtection="0">
      <alignment vertical="center"/>
    </xf>
    <xf numFmtId="0" fontId="67" fillId="30" borderId="0" applyNumberFormat="0" applyBorder="0" applyAlignment="0" applyProtection="0">
      <alignment vertical="center"/>
    </xf>
    <xf numFmtId="0" fontId="67" fillId="31" borderId="0" applyNumberFormat="0" applyBorder="0" applyAlignment="0" applyProtection="0">
      <alignment vertical="center"/>
    </xf>
    <xf numFmtId="0" fontId="68" fillId="32" borderId="0" applyNumberFormat="0" applyBorder="0" applyAlignment="0" applyProtection="0">
      <alignment vertical="center"/>
    </xf>
    <xf numFmtId="0" fontId="68" fillId="33" borderId="0" applyNumberFormat="0" applyBorder="0" applyAlignment="0" applyProtection="0">
      <alignment vertical="center"/>
    </xf>
    <xf numFmtId="0" fontId="67" fillId="34" borderId="0" applyNumberFormat="0" applyBorder="0" applyAlignment="0" applyProtection="0">
      <alignment vertical="center"/>
    </xf>
    <xf numFmtId="0" fontId="67" fillId="35" borderId="0" applyNumberFormat="0" applyBorder="0" applyAlignment="0" applyProtection="0">
      <alignment vertical="center"/>
    </xf>
    <xf numFmtId="0" fontId="68" fillId="36" borderId="0" applyNumberFormat="0" applyBorder="0" applyAlignment="0" applyProtection="0">
      <alignment vertical="center"/>
    </xf>
    <xf numFmtId="0" fontId="68" fillId="37" borderId="0" applyNumberFormat="0" applyBorder="0" applyAlignment="0" applyProtection="0">
      <alignment vertical="center"/>
    </xf>
    <xf numFmtId="0" fontId="67" fillId="38" borderId="0" applyNumberFormat="0" applyBorder="0" applyAlignment="0" applyProtection="0">
      <alignment vertical="center"/>
    </xf>
    <xf numFmtId="0" fontId="67" fillId="39" borderId="0" applyNumberFormat="0" applyBorder="0" applyAlignment="0" applyProtection="0">
      <alignment vertical="center"/>
    </xf>
    <xf numFmtId="0" fontId="68" fillId="40" borderId="0" applyNumberFormat="0" applyBorder="0" applyAlignment="0" applyProtection="0">
      <alignment vertical="center"/>
    </xf>
    <xf numFmtId="0" fontId="68" fillId="41" borderId="0" applyNumberFormat="0" applyBorder="0" applyAlignment="0" applyProtection="0">
      <alignment vertical="center"/>
    </xf>
    <xf numFmtId="0" fontId="67" fillId="42" borderId="0" applyNumberFormat="0" applyBorder="0" applyAlignment="0" applyProtection="0">
      <alignment vertical="center"/>
    </xf>
    <xf numFmtId="0" fontId="67" fillId="43" borderId="0" applyNumberFormat="0" applyBorder="0" applyAlignment="0" applyProtection="0">
      <alignment vertical="center"/>
    </xf>
    <xf numFmtId="0" fontId="68" fillId="44" borderId="0" applyNumberFormat="0" applyBorder="0" applyAlignment="0" applyProtection="0">
      <alignment vertical="center"/>
    </xf>
    <xf numFmtId="0" fontId="68" fillId="45" borderId="0" applyNumberFormat="0" applyBorder="0" applyAlignment="0" applyProtection="0">
      <alignment vertical="center"/>
    </xf>
    <xf numFmtId="0" fontId="67" fillId="46" borderId="0" applyNumberFormat="0" applyBorder="0" applyAlignment="0" applyProtection="0">
      <alignment vertical="center"/>
    </xf>
    <xf numFmtId="0" fontId="0" fillId="0" borderId="0"/>
    <xf numFmtId="0" fontId="69" fillId="8" borderId="0" applyBorder="0">
      <alignment horizontal="center"/>
    </xf>
    <xf numFmtId="0" fontId="70" fillId="8" borderId="0" applyBorder="0">
      <alignment horizontal="center"/>
    </xf>
    <xf numFmtId="0" fontId="69" fillId="0" borderId="188" applyNumberFormat="0" applyFont="0" applyFill="0" applyAlignment="0" applyProtection="0">
      <alignment horizontal="left"/>
    </xf>
    <x:xf xmlns:x="http://schemas.openxmlformats.org/spreadsheetml/2006/main" numFmtId="0" fontId="74" fillId="47" borderId="189"/>
    <x:xf xmlns:x="http://schemas.openxmlformats.org/spreadsheetml/2006/main" numFmtId="0" fontId="103" fillId="52" borderId="213"/>
    <x:xf xmlns:x="http://schemas.openxmlformats.org/spreadsheetml/2006/main" numFmtId="0" fontId="111" fillId="56" borderId="215"/>
    <x:xf xmlns:x="http://schemas.openxmlformats.org/spreadsheetml/2006/main" numFmtId="0" fontId="142" fillId="63" borderId="220"/>
    <x:xf xmlns:x="http://schemas.openxmlformats.org/spreadsheetml/2006/main" numFmtId="0" fontId="149" fillId="68" borderId="223"/>
  </cellStyleXfs>
  <cellXfs count="664">
    <xf numFmtId="0" fontId="0" fillId="0" borderId="0" xfId="0"/>
    <xf numFmtId="0" fontId="1" fillId="2" borderId="1" xfId="0" applyFont="1" applyFill="1" applyBorder="1" applyAlignment="1">
      <alignment horizontal="center" vertical="center" shrinkToFit="1"/>
    </xf>
    <xf numFmtId="0" fontId="2" fillId="0" borderId="2" xfId="0" applyFont="1" applyBorder="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2" fillId="0" borderId="7" xfId="0" applyFont="1" applyBorder="1"/>
    <xf numFmtId="0" fontId="2" fillId="0" borderId="8" xfId="0" applyFont="1" applyBorder="1"/>
    <xf numFmtId="0" fontId="3" fillId="3" borderId="1" xfId="0" applyFont="1" applyFill="1" applyBorder="1" applyAlignment="1">
      <alignment horizontal="left" vertical="center" indent="1" shrinkToFit="1"/>
    </xf>
    <xf numFmtId="0" fontId="2" fillId="0" borderId="9" xfId="0" applyFont="1" applyBorder="1"/>
    <xf numFmtId="0" fontId="2" fillId="0" borderId="10" xfId="0" applyFont="1" applyBorder="1"/>
    <xf numFmtId="0" fontId="4" fillId="0" borderId="1" xfId="0" applyFont="1" applyBorder="1" applyAlignment="1">
      <alignment horizontal="left" vertical="center" indent="1" shrinkToFit="1"/>
    </xf>
    <xf numFmtId="0" fontId="5" fillId="0" borderId="1" xfId="0" applyFont="1" applyBorder="1" applyAlignment="1">
      <alignment horizontal="left" vertical="center" indent="1" shrinkToFit="1"/>
    </xf>
    <xf numFmtId="0" fontId="6" fillId="0" borderId="1" xfId="0" applyFont="1" applyBorder="1" applyAlignment="1">
      <alignment horizontal="left" vertical="center" indent="1" shrinkToFit="1"/>
    </xf>
    <xf numFmtId="0" fontId="5" fillId="0" borderId="1" xfId="0" applyFont="1" applyBorder="1" applyAlignment="1">
      <alignment horizontal="center" vertical="center" shrinkToFit="1"/>
    </xf>
    <xf numFmtId="0" fontId="7" fillId="0" borderId="1" xfId="0" applyFont="1" applyBorder="1" applyAlignment="1">
      <alignment horizontal="left" vertical="center" indent="1" shrinkToFit="1"/>
    </xf>
    <xf numFmtId="0" fontId="8" fillId="0" borderId="1" xfId="0" applyFont="1" applyBorder="1" applyAlignment="1">
      <alignment horizontal="left" vertical="center" indent="1" shrinkToFit="1"/>
    </xf>
    <xf numFmtId="0" fontId="6" fillId="0" borderId="1" xfId="0" applyFont="1" applyBorder="1" applyAlignment="1">
      <alignment horizontal="left" vertical="top" wrapText="1" indent="1" shrinkToFit="1"/>
    </xf>
    <xf numFmtId="0" fontId="7" fillId="0" borderId="1" xfId="0" applyFont="1" applyBorder="1" applyAlignment="1">
      <alignment horizontal="center" vertical="center" shrinkToFit="1"/>
    </xf>
    <xf numFmtId="0" fontId="9" fillId="0" borderId="1" xfId="0" applyFont="1" applyBorder="1" applyAlignment="1">
      <alignment horizontal="center" vertical="center" shrinkToFit="1"/>
    </xf>
    <xf numFmtId="0" fontId="6" fillId="0" borderId="1" xfId="0" applyFont="1" applyBorder="1" applyAlignment="1">
      <alignment horizontal="left" vertical="center" wrapText="1" indent="1" shrinkToFit="1"/>
    </xf>
    <xf numFmtId="0" fontId="10" fillId="0" borderId="0" xfId="0" applyFont="1" applyAlignment="1">
      <alignment horizontal="left" vertical="center" indent="1" shrinkToFit="1"/>
    </xf>
    <xf numFmtId="0" fontId="6" fillId="0" borderId="0" xfId="0" applyFont="1" applyAlignment="1">
      <alignment horizontal="left" vertical="center" indent="1" shrinkToFit="1"/>
    </xf>
    <xf numFmtId="0" fontId="11" fillId="0" borderId="0" xfId="0" applyFont="1" applyAlignment="1">
      <alignment horizontal="center" vertical="center" shrinkToFit="1"/>
    </xf>
    <xf numFmtId="0" fontId="12" fillId="2" borderId="1" xfId="0" applyFont="1" applyFill="1" applyBorder="1" applyAlignment="1">
      <alignment horizontal="center" vertical="center" shrinkToFit="1"/>
    </xf>
    <xf numFmtId="0" fontId="5" fillId="0" borderId="1" xfId="0" applyFont="1" applyBorder="1" applyAlignment="1">
      <alignment horizontal="left" vertical="top" wrapText="1" indent="1" shrinkToFit="1"/>
    </xf>
    <xf numFmtId="0" fontId="6" fillId="0" borderId="1" xfId="0" applyFont="1" applyBorder="1" applyAlignment="1">
      <alignment horizontal="center" vertical="center" shrinkToFit="1"/>
    </xf>
    <xf numFmtId="0" fontId="13" fillId="0" borderId="1" xfId="0" applyFont="1" applyBorder="1" applyAlignment="1">
      <alignment horizontal="center" vertical="center" shrinkToFit="1"/>
    </xf>
    <xf numFmtId="0" fontId="14" fillId="0" borderId="1" xfId="0" applyFont="1" applyBorder="1" applyAlignment="1">
      <alignment horizontal="center" vertical="center" shrinkToFit="1"/>
    </xf>
    <xf numFmtId="0" fontId="11" fillId="0" borderId="1" xfId="0" applyFont="1" applyBorder="1" applyAlignment="1">
      <alignment horizontal="center" vertical="center" wrapText="1" shrinkToFit="1"/>
    </xf>
    <xf numFmtId="0" fontId="15" fillId="0" borderId="1" xfId="0" applyFont="1" applyBorder="1" applyAlignment="1">
      <alignment horizontal="center" vertical="center" shrinkToFit="1"/>
    </xf>
    <xf numFmtId="0" fontId="16" fillId="4" borderId="0" xfId="0" applyFont="1" applyFill="1" applyAlignment="1">
      <alignment vertical="center" indent="1"/>
    </xf>
    <xf numFmtId="0" fontId="17" fillId="0" borderId="0" xfId="0" applyFont="1" applyAlignment="1">
      <alignment vertical="center" wrapText="1"/>
    </xf>
    <xf numFmtId="0" fontId="18" fillId="0" borderId="0" xfId="0" applyFont="1"/>
    <xf numFmtId="0" fontId="19" fillId="0" borderId="0" xfId="0" applyFont="1" applyAlignment="1">
      <alignment vertical="center" wrapText="1"/>
    </xf>
    <xf numFmtId="0" fontId="20" fillId="4" borderId="0" xfId="0" applyFont="1" applyFill="1" applyAlignment="1">
      <alignment vertical="center"/>
    </xf>
    <xf numFmtId="0" fontId="21" fillId="5" borderId="11" xfId="0" applyFont="1" applyFill="1" applyBorder="1" applyAlignment="1">
      <alignment vertical="top" wrapText="1"/>
    </xf>
    <xf numFmtId="0" fontId="22" fillId="5" borderId="11" xfId="0" applyFont="1" applyFill="1" applyBorder="1" applyAlignment="1">
      <alignment vertical="top" wrapText="1"/>
    </xf>
    <xf numFmtId="0" fontId="21" fillId="6" borderId="11" xfId="0" applyFont="1" applyFill="1" applyBorder="1" applyAlignment="1">
      <alignment vertical="top" wrapText="1"/>
    </xf>
    <xf numFmtId="0" fontId="22" fillId="6" borderId="11" xfId="0" applyFont="1" applyFill="1" applyBorder="1" applyAlignment="1">
      <alignment vertical="top" wrapText="1"/>
    </xf>
    <xf numFmtId="0" fontId="21" fillId="7" borderId="11" xfId="0" applyFont="1" applyFill="1" applyBorder="1" applyAlignment="1">
      <alignment vertical="top" wrapText="1"/>
    </xf>
    <xf numFmtId="0" fontId="22" fillId="7" borderId="11" xfId="0" applyFont="1" applyFill="1" applyBorder="1" applyAlignment="1">
      <alignment vertical="top" wrapText="1"/>
    </xf>
    <xf numFmtId="0" fontId="23" fillId="0" borderId="12" xfId="0" applyFont="1" applyBorder="1"/>
    <xf numFmtId="0" fontId="23" fillId="0" borderId="13" xfId="0" applyFont="1" applyBorder="1"/>
    <xf numFmtId="0" fontId="23" fillId="0" borderId="14" xfId="0" applyFont="1" applyBorder="1"/>
    <xf numFmtId="0" fontId="23" fillId="0" borderId="15" xfId="0" applyFont="1" applyBorder="1"/>
    <xf numFmtId="0" fontId="23" fillId="0" borderId="16" xfId="0" applyFont="1" applyBorder="1"/>
    <xf numFmtId="0" fontId="23" fillId="0" borderId="17" xfId="0" applyFont="1" applyBorder="1"/>
    <xf numFmtId="0" fontId="23" fillId="0" borderId="18" xfId="0" applyFont="1" applyBorder="1"/>
    <xf numFmtId="0" fontId="24" fillId="0" borderId="12" xfId="0" applyFont="1" applyBorder="1"/>
    <xf numFmtId="0" fontId="25" fillId="0" borderId="12" xfId="0" applyFont="1" applyBorder="1" applyAlignment="1">
      <alignment horizontal="right"/>
    </xf>
    <xf numFmtId="49" fontId="25" fillId="0" borderId="19" xfId="0" applyNumberFormat="1" applyFont="1" applyBorder="1" applyAlignment="1">
      <alignment horizontal="left"/>
    </xf>
    <xf numFmtId="49" fontId="25" fillId="0" borderId="20" xfId="0" applyNumberFormat="1" applyFont="1" applyBorder="1" applyAlignment="1">
      <alignment horizontal="left"/>
    </xf>
    <xf numFmtId="49" fontId="26" fillId="0" borderId="19" xfId="6" applyNumberFormat="1" applyFont="1" applyBorder="1" applyAlignment="1">
      <alignment horizontal="left"/>
    </xf>
    <xf numFmtId="49" fontId="26" fillId="0" borderId="20" xfId="6" applyNumberFormat="1" applyFont="1" applyBorder="1" applyAlignment="1">
      <alignment horizontal="left"/>
    </xf>
    <xf numFmtId="0" fontId="23" fillId="0" borderId="20" xfId="0" applyFont="1" applyBorder="1"/>
    <xf numFmtId="0" fontId="27" fillId="0" borderId="13" xfId="6" applyBorder="1"/>
    <xf numFmtId="0" fontId="23" fillId="0" borderId="21" xfId="0" applyFont="1" applyBorder="1"/>
    <xf numFmtId="49" fontId="0" fillId="0" borderId="0" xfId="0" applyNumberFormat="1"/>
    <xf numFmtId="0" fontId="28" fillId="0" borderId="0" xfId="0" applyFont="1"/>
    <xf numFmtId="0" fontId="29" fillId="0" borderId="0" xfId="0" applyFont="1"/>
    <xf numFmtId="0" fontId="30" fillId="0" borderId="0" xfId="0" applyFont="1"/>
    <xf numFmtId="0" fontId="31" fillId="0" borderId="0" xfId="0" applyFont="1"/>
    <xf numFmtId="0" fontId="0" fillId="0" borderId="0" xfId="0" applyFont="1"/>
    <xf numFmtId="0" fontId="0" fillId="0" borderId="0" xfId="0" applyAlignment="1">
      <alignment horizontal="center"/>
    </xf>
    <xf numFmtId="0" fontId="32" fillId="8" borderId="0" xfId="0" applyFont="1" applyFill="1" applyAlignment="1">
      <alignment horizontal="left"/>
    </xf>
    <xf numFmtId="0" fontId="0" fillId="0" borderId="0" xfId="0" applyAlignment="1">
      <alignment wrapText="1"/>
    </xf>
    <xf numFmtId="0" fontId="0" fillId="9" borderId="0" xfId="0" applyFill="1"/>
    <xf numFmtId="49" fontId="0" fillId="9" borderId="0" xfId="0" applyNumberFormat="1" applyFill="1" applyProtection="1">
      <protection locked="0"/>
    </xf>
    <xf numFmtId="0" fontId="0" fillId="9" borderId="0" xfId="0" applyFill="1" applyProtection="1">
      <protection locked="0"/>
    </xf>
    <xf numFmtId="0" fontId="33" fillId="0" borderId="0" xfId="0" applyFont="1"/>
    <xf numFmtId="0" fontId="0" fillId="0" borderId="0" xfId="0" applyProtection="1">
      <protection locked="0"/>
    </xf>
    <xf numFmtId="0" fontId="31" fillId="0" borderId="0" xfId="0" applyFont="1" applyProtection="1">
      <protection locked="0"/>
    </xf>
    <xf numFmtId="0" fontId="34" fillId="0" borderId="0" xfId="0" applyFont="1" applyAlignment="1" applyProtection="1">
      <alignment vertical="top" wrapText="1"/>
      <protection locked="0"/>
    </xf>
    <xf numFmtId="0" fontId="0" fillId="0" borderId="0" xfId="0" applyAlignment="1" applyProtection="1">
      <alignment vertical="top" wrapText="1"/>
      <protection locked="0"/>
    </xf>
    <xf numFmtId="0" fontId="35" fillId="0" borderId="12" xfId="0" applyFont="1" applyBorder="1"/>
    <xf numFmtId="0" fontId="35" fillId="0" borderId="20" xfId="0" applyFont="1" applyBorder="1"/>
    <xf numFmtId="0" fontId="35" fillId="0" borderId="13" xfId="0" applyFont="1" applyBorder="1"/>
    <xf numFmtId="0" fontId="35" fillId="0" borderId="18" xfId="0" applyFont="1" applyBorder="1"/>
    <xf numFmtId="0" fontId="35" fillId="0" borderId="22" xfId="0" applyFont="1" applyBorder="1"/>
    <xf numFmtId="0" fontId="35" fillId="0" borderId="23" xfId="0" applyFont="1" applyBorder="1"/>
    <xf numFmtId="0" fontId="35" fillId="0" borderId="24" xfId="0" applyFont="1" applyBorder="1" applyAlignment="1">
      <alignment horizontal="center"/>
    </xf>
    <xf numFmtId="0" fontId="35" fillId="0" borderId="25" xfId="0" applyFont="1" applyBorder="1" applyAlignment="1">
      <alignment horizontal="center"/>
    </xf>
    <xf numFmtId="0" fontId="35" fillId="0" borderId="26" xfId="0" applyFont="1" applyBorder="1" applyAlignment="1">
      <alignment horizontal="center"/>
    </xf>
    <xf numFmtId="0" fontId="35" fillId="0" borderId="27" xfId="0" applyFont="1" applyBorder="1"/>
    <xf numFmtId="0" fontId="36" fillId="0" borderId="23" xfId="50" applyFont="1" applyFill="1" applyBorder="1" applyAlignment="1">
      <alignment vertical="center" textRotation="255" wrapText="1"/>
    </xf>
    <xf numFmtId="0" fontId="36" fillId="0" borderId="23" xfId="50" applyFont="1" applyFill="1" applyBorder="1" applyAlignment="1">
      <alignment vertical="center" textRotation="255"/>
    </xf>
    <xf numFmtId="0" fontId="35" fillId="0" borderId="23" xfId="0" applyFont="1" applyBorder="1" applyAlignment="1">
      <alignment vertical="top"/>
    </xf>
    <xf numFmtId="0" fontId="35" fillId="0" borderId="28" xfId="0" applyFont="1" applyBorder="1" applyAlignment="1">
      <alignment vertical="top"/>
    </xf>
    <xf numFmtId="0" fontId="35" fillId="0" borderId="29" xfId="0" applyFont="1" applyBorder="1" applyAlignment="1">
      <alignment vertical="top"/>
    </xf>
    <xf numFmtId="0" fontId="35" fillId="0" borderId="30" xfId="0" applyFont="1" applyBorder="1" applyAlignment="1">
      <alignment vertical="top"/>
    </xf>
    <xf numFmtId="0" fontId="35" fillId="0" borderId="31" xfId="0" applyFont="1" applyBorder="1"/>
    <xf numFmtId="0" fontId="36" fillId="8" borderId="32" xfId="50" applyFont="1" applyBorder="1" applyAlignment="1">
      <alignment horizontal="left" vertical="center"/>
    </xf>
    <xf numFmtId="0" fontId="36" fillId="8" borderId="33" xfId="50" applyFont="1" applyBorder="1" applyAlignment="1">
      <alignment horizontal="left" vertical="center"/>
    </xf>
    <xf numFmtId="0" fontId="36" fillId="8" borderId="34" xfId="50" applyFont="1" applyBorder="1" applyAlignment="1">
      <alignment horizontal="left" vertical="center"/>
    </xf>
    <xf numFmtId="0" fontId="37" fillId="8" borderId="33" xfId="51" applyFont="1" applyBorder="1" applyAlignment="1">
      <alignment horizontal="center" vertical="center"/>
    </xf>
    <xf numFmtId="0" fontId="37" fillId="8" borderId="34" xfId="51" applyFont="1" applyBorder="1" applyAlignment="1">
      <alignment horizontal="center" vertical="center"/>
    </xf>
    <xf numFmtId="0" fontId="38" fillId="0" borderId="31" xfId="0" applyFont="1" applyBorder="1" applyAlignment="1">
      <alignment vertical="center"/>
    </xf>
    <xf numFmtId="0" fontId="38" fillId="0" borderId="35" xfId="0" applyFont="1" applyBorder="1" applyAlignment="1">
      <alignment horizontal="center" vertical="center"/>
    </xf>
    <xf numFmtId="0" fontId="38" fillId="0" borderId="36" xfId="0" applyFont="1" applyBorder="1" applyAlignment="1">
      <alignment horizontal="center" vertical="center"/>
    </xf>
    <xf numFmtId="0" fontId="38" fillId="0" borderId="37" xfId="0" applyFont="1" applyBorder="1" applyAlignment="1">
      <alignment horizontal="center" vertical="center"/>
    </xf>
    <xf numFmtId="0" fontId="37" fillId="8" borderId="33" xfId="50" applyFont="1" applyBorder="1" applyAlignment="1">
      <alignment horizontal="center" vertical="center"/>
    </xf>
    <xf numFmtId="0" fontId="37" fillId="8" borderId="34" xfId="50" applyFont="1" applyBorder="1" applyAlignment="1">
      <alignment horizontal="center" vertical="center"/>
    </xf>
    <xf numFmtId="0" fontId="36" fillId="8" borderId="32" xfId="50" applyFont="1" applyBorder="1" applyAlignment="1">
      <alignment horizontal="left"/>
    </xf>
    <xf numFmtId="0" fontId="36" fillId="8" borderId="33" xfId="50" applyFont="1" applyBorder="1" applyAlignment="1">
      <alignment horizontal="left"/>
    </xf>
    <xf numFmtId="0" fontId="36" fillId="8" borderId="38" xfId="50" applyFont="1" applyBorder="1" applyAlignment="1">
      <alignment horizontal="left"/>
    </xf>
    <xf numFmtId="0" fontId="35" fillId="0" borderId="39" xfId="0" applyFont="1" applyBorder="1" applyAlignment="1">
      <alignment horizontal="center" vertical="center"/>
    </xf>
    <xf numFmtId="0" fontId="35" fillId="0" borderId="40" xfId="0" applyFont="1" applyBorder="1" applyAlignment="1">
      <alignment horizontal="center" vertical="center"/>
    </xf>
    <xf numFmtId="0" fontId="35" fillId="0" borderId="40" xfId="0" applyFont="1" applyBorder="1" applyAlignment="1" applyProtection="1">
      <alignment horizontal="left" vertical="top"/>
      <protection locked="0"/>
    </xf>
    <xf numFmtId="0" fontId="35" fillId="0" borderId="41" xfId="0" applyFont="1" applyBorder="1" applyAlignment="1" applyProtection="1">
      <alignment horizontal="left" vertical="top"/>
      <protection locked="0"/>
    </xf>
    <xf numFmtId="0" fontId="35" fillId="0" borderId="42" xfId="0" applyFont="1" applyBorder="1" applyAlignment="1">
      <alignment horizontal="center" vertical="center"/>
    </xf>
    <xf numFmtId="0" fontId="35" fillId="0" borderId="43" xfId="0" applyFont="1" applyBorder="1" applyAlignment="1">
      <alignment horizontal="left" vertical="center"/>
    </xf>
    <xf numFmtId="0" fontId="35" fillId="0" borderId="40" xfId="0" applyFont="1" applyBorder="1" applyAlignment="1">
      <alignment horizontal="left" vertical="center"/>
    </xf>
    <xf numFmtId="0" fontId="35" fillId="0" borderId="40" xfId="0" applyFont="1" applyBorder="1" applyAlignment="1" applyProtection="1">
      <alignment horizontal="right" vertical="center"/>
      <protection locked="0"/>
    </xf>
    <xf numFmtId="176" fontId="35" fillId="0" borderId="40" xfId="0" applyNumberFormat="1" applyFont="1" applyBorder="1" applyAlignment="1">
      <alignment horizontal="right" vertical="center"/>
    </xf>
    <xf numFmtId="0" fontId="35" fillId="0" borderId="44" xfId="0" applyFont="1" applyBorder="1" applyAlignment="1" applyProtection="1">
      <alignment horizontal="center" vertical="center"/>
      <protection locked="0"/>
    </xf>
    <xf numFmtId="0" fontId="35" fillId="0" borderId="45" xfId="0" applyFont="1" applyBorder="1" applyAlignment="1" applyProtection="1">
      <alignment horizontal="center" vertical="center"/>
      <protection locked="0"/>
    </xf>
    <xf numFmtId="0" fontId="35" fillId="0" borderId="46" xfId="0" applyFont="1" applyBorder="1" applyAlignment="1" applyProtection="1">
      <alignment horizontal="center" vertical="center"/>
      <protection locked="0"/>
    </xf>
    <xf numFmtId="0" fontId="38" fillId="0" borderId="47" xfId="0" applyFont="1" applyBorder="1" applyAlignment="1">
      <alignment horizontal="center" vertical="center"/>
    </xf>
    <xf numFmtId="0" fontId="38" fillId="0" borderId="0" xfId="0" applyFont="1" applyAlignment="1">
      <alignment horizontal="center" vertical="center"/>
    </xf>
    <xf numFmtId="0" fontId="38" fillId="0" borderId="48" xfId="0" applyFont="1" applyBorder="1" applyAlignment="1">
      <alignment horizontal="center" vertical="center"/>
    </xf>
    <xf numFmtId="0" fontId="39" fillId="0" borderId="49" xfId="0" applyFont="1" applyBorder="1" applyAlignment="1" applyProtection="1">
      <alignment horizontal="center" vertical="center"/>
      <protection locked="0"/>
    </xf>
    <xf numFmtId="0" fontId="39" fillId="0" borderId="50" xfId="0" applyFont="1" applyBorder="1" applyAlignment="1" applyProtection="1">
      <alignment horizontal="center" vertical="center"/>
      <protection locked="0"/>
    </xf>
    <xf numFmtId="0" fontId="39" fillId="0" borderId="50" xfId="0" applyFont="1" applyBorder="1" applyAlignment="1" applyProtection="1">
      <alignment horizontal="center"/>
      <protection locked="0"/>
    </xf>
    <xf numFmtId="0" fontId="39" fillId="0" borderId="51" xfId="0" applyFont="1" applyBorder="1" applyAlignment="1" applyProtection="1">
      <alignment horizontal="center"/>
      <protection locked="0"/>
    </xf>
    <xf numFmtId="0" fontId="39" fillId="10" borderId="52" xfId="50" applyFont="1" applyFill="1" applyBorder="1" applyAlignment="1" applyProtection="1">
      <alignment horizontal="left" vertical="top" wrapText="1"/>
      <protection locked="0"/>
    </xf>
    <xf numFmtId="0" fontId="39" fillId="10" borderId="25" xfId="50" applyFont="1" applyFill="1" applyBorder="1" applyAlignment="1" applyProtection="1">
      <alignment horizontal="left" vertical="top" wrapText="1"/>
      <protection locked="0"/>
    </xf>
    <xf numFmtId="0" fontId="39" fillId="0" borderId="53" xfId="0" applyFont="1" applyBorder="1" applyAlignment="1" applyProtection="1">
      <alignment horizontal="left" vertical="top" wrapText="1"/>
      <protection locked="0"/>
    </xf>
    <xf numFmtId="0" fontId="39" fillId="0" borderId="25" xfId="0" applyFont="1" applyBorder="1" applyAlignment="1" applyProtection="1">
      <alignment horizontal="left" vertical="top" wrapText="1"/>
      <protection locked="0"/>
    </xf>
    <xf numFmtId="0" fontId="39" fillId="0" borderId="54" xfId="0" applyFont="1" applyBorder="1" applyAlignment="1" applyProtection="1">
      <alignment horizontal="left" vertical="top" wrapText="1"/>
      <protection locked="0"/>
    </xf>
    <xf numFmtId="0" fontId="35" fillId="0" borderId="55" xfId="0" applyFont="1" applyBorder="1" applyAlignment="1">
      <alignment horizontal="center" vertical="center"/>
    </xf>
    <xf numFmtId="0" fontId="35" fillId="0" borderId="56" xfId="0" applyFont="1" applyBorder="1" applyAlignment="1">
      <alignment horizontal="center" vertical="center"/>
    </xf>
    <xf numFmtId="0" fontId="35" fillId="0" borderId="57" xfId="0" applyFont="1" applyBorder="1" applyAlignment="1" applyProtection="1">
      <alignment horizontal="left" vertical="center"/>
      <protection locked="0"/>
    </xf>
    <xf numFmtId="0" fontId="35" fillId="0" borderId="58" xfId="0" applyFont="1" applyBorder="1" applyAlignment="1" applyProtection="1">
      <alignment horizontal="left" vertical="center"/>
      <protection locked="0"/>
    </xf>
    <xf numFmtId="0" fontId="35" fillId="0" borderId="59" xfId="0" applyFont="1" applyBorder="1" applyAlignment="1" applyProtection="1">
      <alignment horizontal="left" vertical="center"/>
      <protection locked="0"/>
    </xf>
    <xf numFmtId="0" fontId="35" fillId="0" borderId="57" xfId="0" applyFont="1" applyBorder="1" applyAlignment="1">
      <alignment horizontal="center" vertical="center"/>
    </xf>
    <xf numFmtId="0" fontId="35" fillId="0" borderId="60" xfId="0" applyFont="1" applyBorder="1" applyAlignment="1">
      <alignment horizontal="left" vertical="center"/>
    </xf>
    <xf numFmtId="0" fontId="35" fillId="0" borderId="56" xfId="0" applyFont="1" applyBorder="1" applyAlignment="1">
      <alignment horizontal="left" vertical="center"/>
    </xf>
    <xf numFmtId="0" fontId="35" fillId="0" borderId="56" xfId="0" applyFont="1" applyBorder="1" applyAlignment="1" applyProtection="1">
      <alignment horizontal="right" vertical="center"/>
      <protection locked="0"/>
    </xf>
    <xf numFmtId="0" fontId="35" fillId="0" borderId="57" xfId="0" applyFont="1" applyBorder="1" applyAlignment="1" applyProtection="1">
      <alignment horizontal="center" vertical="center"/>
      <protection locked="0"/>
    </xf>
    <xf numFmtId="0" fontId="35" fillId="0" borderId="58" xfId="0" applyFont="1" applyBorder="1" applyAlignment="1" applyProtection="1">
      <alignment horizontal="center" vertical="center"/>
      <protection locked="0"/>
    </xf>
    <xf numFmtId="0" fontId="35" fillId="0" borderId="59" xfId="0" applyFont="1" applyBorder="1" applyAlignment="1" applyProtection="1">
      <alignment horizontal="center" vertical="center"/>
      <protection locked="0"/>
    </xf>
    <xf numFmtId="0" fontId="39" fillId="0" borderId="61" xfId="0" applyFont="1" applyBorder="1" applyAlignment="1" applyProtection="1">
      <alignment horizontal="center" vertical="center"/>
      <protection locked="0"/>
    </xf>
    <xf numFmtId="0" fontId="39" fillId="0" borderId="56" xfId="0" applyFont="1" applyBorder="1" applyAlignment="1" applyProtection="1">
      <alignment horizontal="center" vertical="center"/>
      <protection locked="0"/>
    </xf>
    <xf numFmtId="0" fontId="39" fillId="0" borderId="56" xfId="0" applyFont="1" applyBorder="1" applyAlignment="1" applyProtection="1">
      <alignment horizontal="center"/>
      <protection locked="0"/>
    </xf>
    <xf numFmtId="0" fontId="39" fillId="0" borderId="62" xfId="0" applyFont="1" applyBorder="1" applyAlignment="1" applyProtection="1">
      <alignment horizontal="center"/>
      <protection locked="0"/>
    </xf>
    <xf numFmtId="0" fontId="39" fillId="10" borderId="63" xfId="50" applyFont="1" applyFill="1" applyBorder="1" applyAlignment="1" applyProtection="1">
      <alignment horizontal="left" vertical="top" wrapText="1"/>
      <protection locked="0"/>
    </xf>
    <xf numFmtId="0" fontId="39" fillId="10" borderId="0" xfId="50" applyFont="1" applyFill="1" applyBorder="1" applyAlignment="1" applyProtection="1">
      <alignment horizontal="left" vertical="top" wrapText="1"/>
      <protection locked="0"/>
    </xf>
    <xf numFmtId="0" fontId="39" fillId="0" borderId="64" xfId="0" applyFont="1" applyBorder="1" applyAlignment="1" applyProtection="1">
      <alignment horizontal="left" vertical="top" wrapText="1"/>
      <protection locked="0"/>
    </xf>
    <xf numFmtId="0" fontId="39" fillId="0" borderId="0" xfId="0" applyFont="1" applyAlignment="1" applyProtection="1">
      <alignment horizontal="left" vertical="top" wrapText="1"/>
      <protection locked="0"/>
    </xf>
    <xf numFmtId="0" fontId="39" fillId="0" borderId="65" xfId="0" applyFont="1" applyBorder="1" applyAlignment="1" applyProtection="1">
      <alignment horizontal="left" vertical="top" wrapText="1"/>
      <protection locked="0"/>
    </xf>
    <xf numFmtId="0" fontId="35" fillId="0" borderId="57" xfId="0" applyFont="1" applyBorder="1" applyAlignment="1" applyProtection="1">
      <alignment horizontal="left" vertical="top"/>
      <protection locked="0"/>
    </xf>
    <xf numFmtId="0" fontId="35" fillId="0" borderId="58" xfId="0" applyFont="1" applyBorder="1" applyAlignment="1" applyProtection="1">
      <alignment horizontal="left" vertical="top"/>
      <protection locked="0"/>
    </xf>
    <xf numFmtId="0" fontId="35" fillId="0" borderId="60" xfId="0" applyFont="1" applyBorder="1" applyAlignment="1" applyProtection="1">
      <alignment horizontal="left" vertical="top"/>
      <protection locked="0"/>
    </xf>
    <xf numFmtId="0" fontId="35" fillId="0" borderId="57" xfId="0" applyFont="1" applyBorder="1" applyAlignment="1" applyProtection="1">
      <alignment horizontal="center" vertical="top"/>
      <protection locked="0"/>
    </xf>
    <xf numFmtId="0" fontId="35" fillId="0" borderId="58" xfId="0" applyFont="1" applyBorder="1" applyAlignment="1" applyProtection="1">
      <alignment horizontal="center" vertical="top"/>
      <protection locked="0"/>
    </xf>
    <xf numFmtId="0" fontId="35" fillId="0" borderId="60" xfId="0" applyFont="1" applyBorder="1" applyAlignment="1" applyProtection="1">
      <alignment horizontal="center" vertical="top"/>
      <protection locked="0"/>
    </xf>
    <xf numFmtId="0" fontId="35" fillId="0" borderId="59" xfId="0" applyFont="1" applyBorder="1" applyAlignment="1" applyProtection="1">
      <alignment horizontal="left" vertical="top"/>
      <protection locked="0"/>
    </xf>
    <xf numFmtId="0" fontId="35" fillId="0" borderId="16" xfId="0" applyFont="1" applyBorder="1" applyAlignment="1">
      <alignment horizontal="center" vertical="center"/>
    </xf>
    <xf numFmtId="0" fontId="35" fillId="0" borderId="56" xfId="0" applyFont="1" applyBorder="1" applyAlignment="1" applyProtection="1">
      <alignment horizontal="left" vertical="top"/>
      <protection locked="0"/>
    </xf>
    <xf numFmtId="0" fontId="35" fillId="0" borderId="66" xfId="0" applyFont="1" applyBorder="1" applyAlignment="1" applyProtection="1">
      <alignment horizontal="left" vertical="top"/>
      <protection locked="0"/>
    </xf>
    <xf numFmtId="0" fontId="35" fillId="0" borderId="67" xfId="0" applyFont="1" applyBorder="1" applyAlignment="1">
      <alignment horizontal="center" vertical="center"/>
    </xf>
    <xf numFmtId="0" fontId="35" fillId="0" borderId="68" xfId="0" applyFont="1" applyBorder="1" applyAlignment="1">
      <alignment horizontal="center" vertical="center"/>
    </xf>
    <xf numFmtId="0" fontId="35" fillId="0" borderId="69" xfId="0" applyFont="1" applyBorder="1" applyAlignment="1" applyProtection="1">
      <alignment horizontal="left" vertical="top"/>
      <protection locked="0"/>
    </xf>
    <xf numFmtId="0" fontId="35" fillId="0" borderId="70" xfId="0" applyFont="1" applyBorder="1" applyAlignment="1" applyProtection="1">
      <alignment horizontal="left" vertical="top"/>
      <protection locked="0"/>
    </xf>
    <xf numFmtId="0" fontId="35" fillId="0" borderId="71" xfId="0" applyFont="1" applyBorder="1" applyAlignment="1" applyProtection="1">
      <alignment horizontal="left" vertical="top"/>
      <protection locked="0"/>
    </xf>
    <xf numFmtId="0" fontId="35" fillId="0" borderId="72" xfId="0" applyFont="1" applyBorder="1"/>
    <xf numFmtId="0" fontId="35" fillId="0" borderId="69" xfId="0" applyFont="1" applyBorder="1" applyAlignment="1">
      <alignment horizontal="center" vertical="center"/>
    </xf>
    <xf numFmtId="0" fontId="35" fillId="0" borderId="73" xfId="0" applyFont="1" applyBorder="1" applyAlignment="1">
      <alignment horizontal="left" vertical="center"/>
    </xf>
    <xf numFmtId="0" fontId="35" fillId="0" borderId="68" xfId="0" applyFont="1" applyBorder="1" applyAlignment="1">
      <alignment horizontal="left" vertical="center"/>
    </xf>
    <xf numFmtId="0" fontId="35" fillId="0" borderId="68" xfId="0" applyFont="1" applyBorder="1" applyAlignment="1" applyProtection="1">
      <alignment horizontal="right" vertical="center"/>
      <protection locked="0"/>
    </xf>
    <xf numFmtId="176" fontId="35" fillId="0" borderId="68" xfId="0" applyNumberFormat="1" applyFont="1" applyBorder="1" applyAlignment="1">
      <alignment horizontal="right" vertical="center"/>
    </xf>
    <xf numFmtId="0" fontId="35" fillId="0" borderId="69" xfId="0" applyFont="1" applyBorder="1" applyAlignment="1" applyProtection="1">
      <alignment horizontal="center" vertical="center"/>
      <protection locked="0"/>
    </xf>
    <xf numFmtId="0" fontId="35" fillId="0" borderId="70" xfId="0" applyFont="1" applyBorder="1" applyAlignment="1" applyProtection="1">
      <alignment horizontal="center" vertical="center"/>
      <protection locked="0"/>
    </xf>
    <xf numFmtId="0" fontId="35" fillId="0" borderId="71" xfId="0" applyFont="1" applyBorder="1" applyAlignment="1" applyProtection="1">
      <alignment horizontal="center" vertical="center"/>
      <protection locked="0"/>
    </xf>
    <xf numFmtId="0" fontId="36" fillId="8" borderId="0" xfId="50" applyFont="1" applyBorder="1" applyAlignment="1">
      <alignment horizontal="center" vertical="center" textRotation="255" wrapText="1"/>
    </xf>
    <xf numFmtId="0" fontId="35" fillId="0" borderId="22" xfId="0" applyFont="1" applyBorder="1" applyAlignment="1">
      <alignment vertical="center"/>
    </xf>
    <xf numFmtId="0" fontId="40" fillId="0" borderId="74" xfId="0" applyFont="1" applyBorder="1" applyAlignment="1">
      <alignment horizontal="right" vertical="center"/>
    </xf>
    <xf numFmtId="0" fontId="40" fillId="0" borderId="33" xfId="0" applyFont="1" applyBorder="1" applyAlignment="1">
      <alignment horizontal="right" vertical="center"/>
    </xf>
    <xf numFmtId="0" fontId="40" fillId="0" borderId="38" xfId="0" applyFont="1" applyBorder="1" applyAlignment="1">
      <alignment horizontal="right" vertical="center"/>
    </xf>
    <xf numFmtId="177" fontId="40" fillId="0" borderId="74" xfId="0" applyNumberFormat="1" applyFont="1" applyBorder="1" applyAlignment="1">
      <alignment horizontal="left" vertical="center"/>
    </xf>
    <xf numFmtId="177" fontId="40" fillId="0" borderId="33" xfId="0" applyNumberFormat="1" applyFont="1" applyBorder="1" applyAlignment="1">
      <alignment horizontal="left" vertical="center"/>
    </xf>
    <xf numFmtId="177" fontId="40" fillId="0" borderId="75" xfId="0" applyNumberFormat="1" applyFont="1" applyBorder="1" applyAlignment="1">
      <alignment horizontal="left" vertical="center"/>
    </xf>
    <xf numFmtId="1" fontId="40" fillId="0" borderId="74" xfId="0" applyNumberFormat="1" applyFont="1" applyBorder="1" applyAlignment="1">
      <alignment horizontal="left" vertical="center"/>
    </xf>
    <xf numFmtId="1" fontId="40" fillId="0" borderId="33" xfId="0" applyNumberFormat="1" applyFont="1" applyBorder="1" applyAlignment="1">
      <alignment horizontal="left" vertical="center"/>
    </xf>
    <xf numFmtId="1" fontId="40" fillId="0" borderId="38" xfId="0" applyNumberFormat="1" applyFont="1" applyBorder="1" applyAlignment="1">
      <alignment horizontal="left" vertical="center"/>
    </xf>
    <xf numFmtId="49" fontId="40" fillId="0" borderId="76" xfId="0" applyNumberFormat="1" applyFont="1" applyBorder="1" applyAlignment="1">
      <alignment horizontal="left" vertical="center"/>
    </xf>
    <xf numFmtId="0" fontId="40" fillId="0" borderId="76" xfId="0" applyFont="1" applyBorder="1" applyAlignment="1">
      <alignment horizontal="right" vertical="center"/>
    </xf>
    <xf numFmtId="178" fontId="40" fillId="0" borderId="76" xfId="0" applyNumberFormat="1" applyFont="1" applyBorder="1" applyAlignment="1">
      <alignment horizontal="center" vertical="center"/>
    </xf>
    <xf numFmtId="0" fontId="35" fillId="0" borderId="77" xfId="0" applyFont="1" applyBorder="1"/>
    <xf numFmtId="0" fontId="35" fillId="11" borderId="52" xfId="0" applyFont="1" applyFill="1" applyBorder="1" applyAlignment="1">
      <alignment horizontal="center"/>
    </xf>
    <xf numFmtId="0" fontId="35" fillId="11" borderId="25" xfId="0" applyFont="1" applyFill="1" applyBorder="1" applyAlignment="1">
      <alignment horizontal="center"/>
    </xf>
    <xf numFmtId="0" fontId="35" fillId="11" borderId="25" xfId="0" applyFont="1" applyFill="1" applyBorder="1" applyAlignment="1" applyProtection="1">
      <alignment horizontal="right" vertical="center"/>
      <protection locked="0"/>
    </xf>
    <xf numFmtId="0" fontId="35" fillId="11" borderId="78" xfId="0" applyFont="1" applyFill="1" applyBorder="1" applyAlignment="1" applyProtection="1">
      <alignment horizontal="right" vertical="center"/>
      <protection locked="0"/>
    </xf>
    <xf numFmtId="179" fontId="35" fillId="11" borderId="79" xfId="0" applyNumberFormat="1" applyFont="1" applyFill="1" applyBorder="1" applyAlignment="1">
      <alignment horizontal="left" vertical="center"/>
    </xf>
    <xf numFmtId="179" fontId="35" fillId="11" borderId="25" xfId="0" applyNumberFormat="1" applyFont="1" applyFill="1" applyBorder="1" applyAlignment="1">
      <alignment horizontal="left" vertical="center"/>
    </xf>
    <xf numFmtId="179" fontId="35" fillId="11" borderId="80" xfId="0" applyNumberFormat="1" applyFont="1" applyFill="1" applyBorder="1" applyAlignment="1">
      <alignment horizontal="left" vertical="center"/>
    </xf>
    <xf numFmtId="0" fontId="35" fillId="12" borderId="81" xfId="0" applyFont="1" applyFill="1" applyBorder="1" applyAlignment="1">
      <alignment horizontal="center"/>
    </xf>
    <xf numFmtId="0" fontId="35" fillId="12" borderId="25" xfId="0" applyFont="1" applyFill="1" applyBorder="1" applyAlignment="1">
      <alignment horizontal="center"/>
    </xf>
    <xf numFmtId="0" fontId="35" fillId="12" borderId="82" xfId="0" applyFont="1" applyFill="1" applyBorder="1" applyAlignment="1">
      <alignment horizontal="center"/>
    </xf>
    <xf numFmtId="0" fontId="35" fillId="12" borderId="83" xfId="0" applyFont="1" applyFill="1" applyBorder="1" applyAlignment="1" applyProtection="1">
      <alignment horizontal="right" vertical="center"/>
      <protection locked="0"/>
    </xf>
    <xf numFmtId="0" fontId="35" fillId="12" borderId="25" xfId="0" applyFont="1" applyFill="1" applyBorder="1" applyAlignment="1" applyProtection="1">
      <alignment horizontal="right" vertical="center"/>
      <protection locked="0"/>
    </xf>
    <xf numFmtId="0" fontId="35" fillId="12" borderId="82" xfId="0" applyFont="1" applyFill="1" applyBorder="1" applyAlignment="1" applyProtection="1">
      <alignment horizontal="right" vertical="center"/>
      <protection locked="0"/>
    </xf>
    <xf numFmtId="179" fontId="35" fillId="12" borderId="83" xfId="0" applyNumberFormat="1" applyFont="1" applyFill="1" applyBorder="1" applyAlignment="1">
      <alignment horizontal="left" vertical="center"/>
    </xf>
    <xf numFmtId="179" fontId="35" fillId="12" borderId="25" xfId="0" applyNumberFormat="1" applyFont="1" applyFill="1" applyBorder="1" applyAlignment="1">
      <alignment horizontal="left" vertical="center"/>
    </xf>
    <xf numFmtId="179" fontId="35" fillId="12" borderId="84" xfId="0" applyNumberFormat="1" applyFont="1" applyFill="1" applyBorder="1" applyAlignment="1">
      <alignment horizontal="left" vertical="center"/>
    </xf>
    <xf numFmtId="0" fontId="35" fillId="11" borderId="85" xfId="0" applyFont="1" applyFill="1" applyBorder="1" applyAlignment="1">
      <alignment horizontal="center"/>
    </xf>
    <xf numFmtId="0" fontId="35" fillId="11" borderId="78" xfId="0" applyFont="1" applyFill="1" applyBorder="1" applyAlignment="1">
      <alignment horizontal="center"/>
    </xf>
    <xf numFmtId="0" fontId="35" fillId="11" borderId="79" xfId="0" applyFont="1" applyFill="1" applyBorder="1" applyAlignment="1" applyProtection="1">
      <alignment horizontal="right" vertical="center"/>
      <protection locked="0"/>
    </xf>
    <xf numFmtId="179" fontId="35" fillId="11" borderId="26" xfId="0" applyNumberFormat="1" applyFont="1" applyFill="1" applyBorder="1" applyAlignment="1">
      <alignment horizontal="left" vertical="center"/>
    </xf>
    <xf numFmtId="0" fontId="35" fillId="13" borderId="81" xfId="0" applyFont="1" applyFill="1" applyBorder="1" applyAlignment="1">
      <alignment horizontal="center"/>
    </xf>
    <xf numFmtId="0" fontId="35" fillId="13" borderId="25" xfId="0" applyFont="1" applyFill="1" applyBorder="1" applyAlignment="1">
      <alignment horizontal="center"/>
    </xf>
    <xf numFmtId="0" fontId="35" fillId="13" borderId="83" xfId="0" applyFont="1" applyFill="1" applyBorder="1" applyAlignment="1" applyProtection="1">
      <alignment horizontal="center" vertical="center"/>
      <protection locked="0"/>
    </xf>
    <xf numFmtId="0" fontId="35" fillId="13" borderId="25" xfId="0" applyFont="1" applyFill="1" applyBorder="1" applyAlignment="1" applyProtection="1">
      <alignment horizontal="center" vertical="center"/>
      <protection locked="0"/>
    </xf>
    <xf numFmtId="0" fontId="35" fillId="13" borderId="86" xfId="0" applyFont="1" applyFill="1" applyBorder="1" applyAlignment="1" applyProtection="1">
      <alignment horizontal="center" vertical="center"/>
      <protection locked="0"/>
    </xf>
    <xf numFmtId="0" fontId="35" fillId="13" borderId="87" xfId="0" applyFont="1" applyFill="1" applyBorder="1" applyAlignment="1">
      <alignment horizontal="center" vertical="center"/>
    </xf>
    <xf numFmtId="0" fontId="35" fillId="13" borderId="88" xfId="0" applyFont="1" applyFill="1" applyBorder="1" applyAlignment="1">
      <alignment horizontal="center" vertical="center"/>
    </xf>
    <xf numFmtId="0" fontId="35" fillId="13" borderId="88" xfId="0" applyFont="1" applyFill="1" applyBorder="1" applyAlignment="1" applyProtection="1">
      <alignment horizontal="center" vertical="center"/>
      <protection locked="0"/>
    </xf>
    <xf numFmtId="0" fontId="35" fillId="13" borderId="89" xfId="0" applyFont="1" applyFill="1" applyBorder="1" applyAlignment="1" applyProtection="1">
      <alignment horizontal="center" vertical="center"/>
      <protection locked="0"/>
    </xf>
    <xf numFmtId="0" fontId="35" fillId="0" borderId="19" xfId="0" applyFont="1" applyBorder="1"/>
    <xf numFmtId="0" fontId="41" fillId="11" borderId="90" xfId="0" applyFont="1" applyFill="1" applyBorder="1" applyAlignment="1">
      <alignment horizontal="center" vertical="top"/>
    </xf>
    <xf numFmtId="0" fontId="41" fillId="11" borderId="91" xfId="0" applyFont="1" applyFill="1" applyBorder="1" applyAlignment="1">
      <alignment horizontal="center" vertical="top"/>
    </xf>
    <xf numFmtId="0" fontId="35" fillId="11" borderId="91" xfId="0" applyFont="1" applyFill="1" applyBorder="1" applyAlignment="1" applyProtection="1">
      <alignment horizontal="right" vertical="center"/>
      <protection locked="0"/>
    </xf>
    <xf numFmtId="0" fontId="35" fillId="11" borderId="92" xfId="0" applyFont="1" applyFill="1" applyBorder="1" applyAlignment="1" applyProtection="1">
      <alignment horizontal="right" vertical="center"/>
      <protection locked="0"/>
    </xf>
    <xf numFmtId="179" fontId="35" fillId="11" borderId="93" xfId="0" applyNumberFormat="1" applyFont="1" applyFill="1" applyBorder="1" applyAlignment="1">
      <alignment horizontal="left" vertical="center"/>
    </xf>
    <xf numFmtId="179" fontId="35" fillId="11" borderId="91" xfId="0" applyNumberFormat="1" applyFont="1" applyFill="1" applyBorder="1" applyAlignment="1">
      <alignment horizontal="left" vertical="center"/>
    </xf>
    <xf numFmtId="179" fontId="35" fillId="11" borderId="94" xfId="0" applyNumberFormat="1" applyFont="1" applyFill="1" applyBorder="1" applyAlignment="1">
      <alignment horizontal="left" vertical="center"/>
    </xf>
    <xf numFmtId="0" fontId="41" fillId="12" borderId="95" xfId="0" applyFont="1" applyFill="1" applyBorder="1" applyAlignment="1">
      <alignment horizontal="center" vertical="top"/>
    </xf>
    <xf numFmtId="0" fontId="41" fillId="12" borderId="91" xfId="0" applyFont="1" applyFill="1" applyBorder="1" applyAlignment="1">
      <alignment horizontal="center" vertical="top"/>
    </xf>
    <xf numFmtId="0" fontId="41" fillId="12" borderId="96" xfId="0" applyFont="1" applyFill="1" applyBorder="1" applyAlignment="1">
      <alignment horizontal="center" vertical="top"/>
    </xf>
    <xf numFmtId="0" fontId="35" fillId="12" borderId="97" xfId="0" applyFont="1" applyFill="1" applyBorder="1" applyAlignment="1" applyProtection="1">
      <alignment horizontal="right" vertical="center"/>
      <protection locked="0"/>
    </xf>
    <xf numFmtId="0" fontId="35" fillId="12" borderId="91" xfId="0" applyFont="1" applyFill="1" applyBorder="1" applyAlignment="1" applyProtection="1">
      <alignment horizontal="right" vertical="center"/>
      <protection locked="0"/>
    </xf>
    <xf numFmtId="0" fontId="35" fillId="12" borderId="96" xfId="0" applyFont="1" applyFill="1" applyBorder="1" applyAlignment="1" applyProtection="1">
      <alignment horizontal="right" vertical="center"/>
      <protection locked="0"/>
    </xf>
    <xf numFmtId="179" fontId="35" fillId="12" borderId="97" xfId="0" applyNumberFormat="1" applyFont="1" applyFill="1" applyBorder="1" applyAlignment="1">
      <alignment horizontal="left" vertical="center"/>
    </xf>
    <xf numFmtId="179" fontId="35" fillId="12" borderId="91" xfId="0" applyNumberFormat="1" applyFont="1" applyFill="1" applyBorder="1" applyAlignment="1">
      <alignment horizontal="left" vertical="center"/>
    </xf>
    <xf numFmtId="179" fontId="35" fillId="12" borderId="98" xfId="0" applyNumberFormat="1" applyFont="1" applyFill="1" applyBorder="1" applyAlignment="1">
      <alignment horizontal="left" vertical="center"/>
    </xf>
    <xf numFmtId="0" fontId="41" fillId="11" borderId="99" xfId="0" applyFont="1" applyFill="1" applyBorder="1" applyAlignment="1">
      <alignment horizontal="center" vertical="top"/>
    </xf>
    <xf numFmtId="0" fontId="41" fillId="11" borderId="92" xfId="0" applyFont="1" applyFill="1" applyBorder="1" applyAlignment="1">
      <alignment horizontal="center" vertical="top"/>
    </xf>
    <xf numFmtId="0" fontId="35" fillId="11" borderId="93" xfId="0" applyFont="1" applyFill="1" applyBorder="1" applyAlignment="1" applyProtection="1">
      <alignment horizontal="right" vertical="center"/>
      <protection locked="0"/>
    </xf>
    <xf numFmtId="179" fontId="35" fillId="11" borderId="75" xfId="0" applyNumberFormat="1" applyFont="1" applyFill="1" applyBorder="1" applyAlignment="1">
      <alignment horizontal="left" vertical="center"/>
    </xf>
    <xf numFmtId="0" fontId="41" fillId="13" borderId="95" xfId="0" applyFont="1" applyFill="1" applyBorder="1" applyAlignment="1">
      <alignment horizontal="center" vertical="top"/>
    </xf>
    <xf numFmtId="0" fontId="41" fillId="13" borderId="91" xfId="0" applyFont="1" applyFill="1" applyBorder="1" applyAlignment="1">
      <alignment horizontal="center" vertical="top"/>
    </xf>
    <xf numFmtId="0" fontId="35" fillId="13" borderId="97" xfId="0" applyFont="1" applyFill="1" applyBorder="1" applyAlignment="1" applyProtection="1">
      <alignment horizontal="center" vertical="center"/>
      <protection locked="0"/>
    </xf>
    <xf numFmtId="0" fontId="35" fillId="13" borderId="91" xfId="0" applyFont="1" applyFill="1" applyBorder="1" applyAlignment="1" applyProtection="1">
      <alignment horizontal="center" vertical="center"/>
      <protection locked="0"/>
    </xf>
    <xf numFmtId="0" fontId="35" fillId="13" borderId="100" xfId="0" applyFont="1" applyFill="1" applyBorder="1" applyAlignment="1" applyProtection="1">
      <alignment horizontal="center" vertical="center"/>
      <protection locked="0"/>
    </xf>
    <xf numFmtId="0" fontId="35" fillId="13" borderId="101" xfId="0" applyFont="1" applyFill="1" applyBorder="1" applyAlignment="1">
      <alignment horizontal="center" vertical="center"/>
    </xf>
    <xf numFmtId="0" fontId="35" fillId="13" borderId="102" xfId="0" applyFont="1" applyFill="1" applyBorder="1" applyAlignment="1">
      <alignment horizontal="center" vertical="center"/>
    </xf>
    <xf numFmtId="0" fontId="35" fillId="13" borderId="102" xfId="0" applyFont="1" applyFill="1" applyBorder="1" applyAlignment="1" applyProtection="1">
      <alignment horizontal="center" vertical="center"/>
      <protection locked="0"/>
    </xf>
    <xf numFmtId="0" fontId="35" fillId="13" borderId="103" xfId="0" applyFont="1" applyFill="1" applyBorder="1" applyAlignment="1" applyProtection="1">
      <alignment horizontal="center" vertical="center"/>
      <protection locked="0"/>
    </xf>
    <xf numFmtId="0" fontId="38" fillId="0" borderId="104" xfId="0" applyFont="1" applyBorder="1" applyAlignment="1">
      <alignment horizontal="center" vertical="center"/>
    </xf>
    <xf numFmtId="0" fontId="38" fillId="0" borderId="105" xfId="0" applyFont="1" applyBorder="1" applyAlignment="1">
      <alignment horizontal="center" vertical="center"/>
    </xf>
    <xf numFmtId="0" fontId="38" fillId="0" borderId="106" xfId="0" applyFont="1" applyBorder="1" applyAlignment="1">
      <alignment horizontal="center" vertical="center"/>
    </xf>
    <xf numFmtId="0" fontId="39" fillId="0" borderId="107" xfId="0" applyFont="1" applyBorder="1" applyAlignment="1" applyProtection="1">
      <alignment horizontal="center" vertical="center"/>
      <protection locked="0"/>
    </xf>
    <xf numFmtId="0" fontId="39" fillId="0" borderId="108" xfId="0" applyFont="1" applyBorder="1" applyAlignment="1" applyProtection="1">
      <alignment horizontal="center" vertical="center"/>
      <protection locked="0"/>
    </xf>
    <xf numFmtId="0" fontId="39" fillId="0" borderId="108" xfId="0" applyFont="1" applyBorder="1" applyAlignment="1" applyProtection="1">
      <alignment horizontal="center"/>
      <protection locked="0"/>
    </xf>
    <xf numFmtId="0" fontId="39" fillId="0" borderId="109" xfId="0" applyFont="1" applyBorder="1" applyAlignment="1" applyProtection="1">
      <alignment horizontal="center"/>
      <protection locked="0"/>
    </xf>
    <xf numFmtId="0" fontId="39" fillId="10" borderId="90" xfId="50" applyFont="1" applyFill="1" applyBorder="1" applyAlignment="1" applyProtection="1">
      <alignment horizontal="left" vertical="top" wrapText="1"/>
      <protection locked="0"/>
    </xf>
    <xf numFmtId="0" fontId="39" fillId="10" borderId="91" xfId="50" applyFont="1" applyFill="1" applyBorder="1" applyAlignment="1" applyProtection="1">
      <alignment horizontal="left" vertical="top" wrapText="1"/>
      <protection locked="0"/>
    </xf>
    <xf numFmtId="0" fontId="39" fillId="0" borderId="110" xfId="0" applyFont="1" applyBorder="1" applyAlignment="1" applyProtection="1">
      <alignment horizontal="left" vertical="top" wrapText="1"/>
      <protection locked="0"/>
    </xf>
    <xf numFmtId="0" fontId="39" fillId="0" borderId="91" xfId="0" applyFont="1" applyBorder="1" applyAlignment="1" applyProtection="1">
      <alignment horizontal="left" vertical="top" wrapText="1"/>
      <protection locked="0"/>
    </xf>
    <xf numFmtId="0" fontId="39" fillId="0" borderId="111" xfId="0" applyFont="1" applyBorder="1" applyAlignment="1" applyProtection="1">
      <alignment horizontal="left" vertical="top" wrapText="1"/>
      <protection locked="0"/>
    </xf>
    <xf numFmtId="0" fontId="36" fillId="8" borderId="91" xfId="50" applyFont="1" applyBorder="1" applyAlignment="1">
      <alignment horizontal="center" vertical="center" textRotation="255" wrapText="1"/>
    </xf>
    <xf numFmtId="0" fontId="35" fillId="0" borderId="22" xfId="0" applyFont="1" applyBorder="1" applyAlignment="1">
      <alignment vertical="top" wrapText="1"/>
    </xf>
    <xf numFmtId="0" fontId="36" fillId="8" borderId="112" xfId="50" applyFont="1" applyBorder="1" applyAlignment="1">
      <alignment horizontal="left" vertical="center"/>
    </xf>
    <xf numFmtId="0" fontId="37" fillId="8" borderId="112" xfId="51" applyFont="1" applyBorder="1" applyAlignment="1">
      <alignment horizontal="center" vertical="center"/>
    </xf>
    <xf numFmtId="0" fontId="36" fillId="0" borderId="72" xfId="50" applyFont="1" applyFill="1" applyBorder="1" applyAlignment="1"/>
    <xf numFmtId="0" fontId="36" fillId="8" borderId="32" xfId="50" applyFont="1" applyBorder="1" applyAlignment="1"/>
    <xf numFmtId="0" fontId="36" fillId="8" borderId="33" xfId="50" applyFont="1" applyBorder="1" applyAlignment="1"/>
    <xf numFmtId="0" fontId="36" fillId="8" borderId="52" xfId="50" applyFont="1" applyBorder="1" applyAlignment="1">
      <alignment horizontal="left"/>
    </xf>
    <xf numFmtId="0" fontId="36" fillId="8" borderId="25" xfId="50" applyFont="1" applyBorder="1" applyAlignment="1">
      <alignment horizontal="left"/>
    </xf>
    <xf numFmtId="0" fontId="36" fillId="8" borderId="54" xfId="50" applyFont="1" applyBorder="1" applyAlignment="1">
      <alignment horizontal="left"/>
    </xf>
    <xf numFmtId="0" fontId="37" fillId="8" borderId="52" xfId="50" applyFont="1" applyBorder="1">
      <alignment horizontal="center"/>
    </xf>
    <xf numFmtId="0" fontId="37" fillId="8" borderId="25" xfId="50" applyFont="1" applyBorder="1">
      <alignment horizontal="center"/>
    </xf>
    <xf numFmtId="0" fontId="37" fillId="8" borderId="54" xfId="50" applyFont="1" applyBorder="1">
      <alignment horizontal="center"/>
    </xf>
    <xf numFmtId="0" fontId="37" fillId="8" borderId="113" xfId="50" applyFont="1" applyBorder="1">
      <alignment horizontal="center"/>
    </xf>
    <xf numFmtId="0" fontId="42" fillId="0" borderId="31" xfId="0" applyFont="1" applyBorder="1"/>
    <xf numFmtId="0" fontId="36" fillId="8" borderId="52" xfId="0" applyFont="1" applyFill="1" applyBorder="1" applyAlignment="1">
      <alignment horizontal="center"/>
    </xf>
    <xf numFmtId="0" fontId="36" fillId="8" borderId="25" xfId="0" applyFont="1" applyFill="1" applyBorder="1" applyAlignment="1">
      <alignment horizontal="center"/>
    </xf>
    <xf numFmtId="0" fontId="35" fillId="10" borderId="25" xfId="0" applyFont="1" applyFill="1" applyBorder="1" applyAlignment="1">
      <alignment horizontal="center" vertical="center"/>
    </xf>
    <xf numFmtId="0" fontId="35" fillId="10" borderId="54" xfId="0" applyFont="1" applyFill="1" applyBorder="1" applyAlignment="1">
      <alignment horizontal="center" vertical="center"/>
    </xf>
    <xf numFmtId="49" fontId="9" fillId="0" borderId="114" xfId="0" applyNumberFormat="1" applyFont="1" applyBorder="1" applyAlignment="1" applyProtection="1">
      <alignment horizontal="center" vertical="center"/>
      <protection locked="0"/>
    </xf>
    <xf numFmtId="49" fontId="9" fillId="0" borderId="50" xfId="0" applyNumberFormat="1" applyFont="1" applyBorder="1" applyAlignment="1" applyProtection="1">
      <alignment horizontal="center" vertical="center"/>
      <protection locked="0"/>
    </xf>
    <xf numFmtId="0" fontId="35" fillId="0" borderId="50" xfId="49" applyFont="1" applyBorder="1" applyAlignment="1">
      <alignment horizontal="center" vertical="center"/>
    </xf>
    <xf numFmtId="176" fontId="35" fillId="0" borderId="50" xfId="0" applyNumberFormat="1" applyFont="1" applyBorder="1" applyAlignment="1">
      <alignment horizontal="right" vertical="center"/>
    </xf>
    <xf numFmtId="0" fontId="35" fillId="0" borderId="50" xfId="0" applyFont="1" applyBorder="1" applyAlignment="1">
      <alignment horizontal="right" vertical="center"/>
    </xf>
    <xf numFmtId="0" fontId="35" fillId="0" borderId="50" xfId="0" applyFont="1" applyBorder="1" applyAlignment="1" applyProtection="1">
      <alignment horizontal="right" vertical="center"/>
      <protection locked="0"/>
    </xf>
    <xf numFmtId="0" fontId="35" fillId="0" borderId="115" xfId="0" applyFont="1" applyBorder="1" applyAlignment="1" applyProtection="1">
      <alignment horizontal="right" vertical="center"/>
      <protection locked="0"/>
    </xf>
    <xf numFmtId="49" fontId="9" fillId="0" borderId="116" xfId="0" applyNumberFormat="1" applyFont="1" applyBorder="1" applyAlignment="1" applyProtection="1">
      <alignment horizontal="center" vertical="center"/>
      <protection locked="0"/>
    </xf>
    <xf numFmtId="0" fontId="35" fillId="0" borderId="117" xfId="0" applyFont="1" applyBorder="1" applyAlignment="1" applyProtection="1">
      <alignment horizontal="right" vertical="center"/>
      <protection locked="0"/>
    </xf>
    <xf numFmtId="0" fontId="35" fillId="0" borderId="114" xfId="0" applyFont="1" applyBorder="1" applyAlignment="1">
      <alignment horizontal="center" vertical="center"/>
    </xf>
    <xf numFmtId="0" fontId="35" fillId="0" borderId="50" xfId="0" applyFont="1" applyBorder="1" applyAlignment="1">
      <alignment horizontal="center" vertical="center"/>
    </xf>
    <xf numFmtId="0" fontId="35" fillId="0" borderId="50" xfId="0" applyFont="1" applyBorder="1" applyAlignment="1" applyProtection="1">
      <alignment horizontal="left" vertical="top" wrapText="1"/>
      <protection locked="0"/>
    </xf>
    <xf numFmtId="0" fontId="35" fillId="0" borderId="118" xfId="0" applyFont="1" applyBorder="1" applyAlignment="1" applyProtection="1">
      <alignment horizontal="left" vertical="top" wrapText="1"/>
      <protection locked="0"/>
    </xf>
    <xf numFmtId="0" fontId="35" fillId="0" borderId="119" xfId="0" applyFont="1" applyBorder="1" applyAlignment="1" applyProtection="1">
      <alignment horizontal="center" vertical="center"/>
      <protection locked="0"/>
    </xf>
    <xf numFmtId="0" fontId="35" fillId="0" borderId="120" xfId="0" applyFont="1" applyBorder="1" applyAlignment="1" applyProtection="1">
      <alignment horizontal="center" vertical="center"/>
      <protection locked="0"/>
    </xf>
    <xf numFmtId="0" fontId="35" fillId="0" borderId="121" xfId="0" applyFont="1" applyBorder="1" applyAlignment="1" applyProtection="1">
      <alignment horizontal="center" vertical="center"/>
      <protection locked="0"/>
    </xf>
    <xf numFmtId="0" fontId="43" fillId="8" borderId="90" xfId="0" applyFont="1" applyFill="1" applyBorder="1" applyAlignment="1">
      <alignment horizontal="center" vertical="top"/>
    </xf>
    <xf numFmtId="0" fontId="43" fillId="8" borderId="91" xfId="0" applyFont="1" applyFill="1" applyBorder="1" applyAlignment="1">
      <alignment horizontal="center" vertical="top"/>
    </xf>
    <xf numFmtId="0" fontId="35" fillId="10" borderId="91" xfId="0" applyFont="1" applyFill="1" applyBorder="1" applyAlignment="1">
      <alignment horizontal="center" vertical="center"/>
    </xf>
    <xf numFmtId="0" fontId="35" fillId="10" borderId="111" xfId="0" applyFont="1" applyFill="1" applyBorder="1" applyAlignment="1">
      <alignment horizontal="center" vertical="center"/>
    </xf>
    <xf numFmtId="49" fontId="9" fillId="0" borderId="55" xfId="0" applyNumberFormat="1" applyFont="1" applyBorder="1" applyAlignment="1" applyProtection="1">
      <alignment horizontal="center" vertical="center"/>
      <protection locked="0"/>
    </xf>
    <xf numFmtId="49" fontId="9" fillId="0" borderId="56" xfId="0" applyNumberFormat="1" applyFont="1" applyBorder="1" applyAlignment="1" applyProtection="1">
      <alignment horizontal="center" vertical="center"/>
      <protection locked="0"/>
    </xf>
    <xf numFmtId="0" fontId="35" fillId="0" borderId="56" xfId="49" applyFont="1" applyBorder="1" applyAlignment="1">
      <alignment horizontal="center" vertical="center"/>
    </xf>
    <xf numFmtId="176" fontId="35" fillId="0" borderId="56" xfId="0" applyNumberFormat="1" applyFont="1" applyBorder="1" applyAlignment="1">
      <alignment horizontal="right" vertical="center"/>
    </xf>
    <xf numFmtId="0" fontId="35" fillId="0" borderId="56" xfId="0" applyFont="1" applyBorder="1" applyAlignment="1">
      <alignment horizontal="right" vertical="center"/>
    </xf>
    <xf numFmtId="0" fontId="35" fillId="0" borderId="122" xfId="0" applyFont="1" applyBorder="1" applyAlignment="1" applyProtection="1">
      <alignment horizontal="right" vertical="center"/>
      <protection locked="0"/>
    </xf>
    <xf numFmtId="49" fontId="9" fillId="0" borderId="123" xfId="0" applyNumberFormat="1" applyFont="1" applyBorder="1" applyAlignment="1" applyProtection="1">
      <alignment horizontal="center" vertical="center"/>
      <protection locked="0"/>
    </xf>
    <xf numFmtId="0" fontId="35" fillId="0" borderId="124" xfId="0" applyFont="1" applyBorder="1" applyAlignment="1" applyProtection="1">
      <alignment horizontal="right" vertical="center"/>
      <protection locked="0"/>
    </xf>
    <xf numFmtId="0" fontId="35" fillId="0" borderId="56" xfId="0" applyFont="1" applyBorder="1" applyAlignment="1" applyProtection="1">
      <alignment horizontal="left" vertical="top" wrapText="1"/>
      <protection locked="0"/>
    </xf>
    <xf numFmtId="0" fontId="35" fillId="0" borderId="66" xfId="0" applyFont="1" applyBorder="1" applyAlignment="1" applyProtection="1">
      <alignment horizontal="left" vertical="top" wrapText="1"/>
      <protection locked="0"/>
    </xf>
    <xf numFmtId="0" fontId="35" fillId="0" borderId="125" xfId="0" applyFont="1" applyBorder="1" applyAlignment="1" applyProtection="1">
      <alignment horizontal="center" vertical="center"/>
      <protection locked="0"/>
    </xf>
    <xf numFmtId="0" fontId="35" fillId="0" borderId="56" xfId="0" applyFont="1" applyBorder="1" applyAlignment="1" applyProtection="1">
      <alignment horizontal="center" vertical="center"/>
      <protection locked="0"/>
    </xf>
    <xf numFmtId="0" fontId="35" fillId="0" borderId="124" xfId="0" applyFont="1" applyBorder="1" applyAlignment="1" applyProtection="1">
      <alignment horizontal="center" vertical="center"/>
      <protection locked="0"/>
    </xf>
    <xf numFmtId="0" fontId="42" fillId="0" borderId="126" xfId="0" applyFont="1" applyBorder="1"/>
    <xf numFmtId="0" fontId="35" fillId="0" borderId="24" xfId="0" applyFont="1" applyBorder="1" applyAlignment="1">
      <alignment horizontal="center" vertical="top" wrapText="1"/>
    </xf>
    <xf numFmtId="0" fontId="35" fillId="0" borderId="25" xfId="0" applyFont="1" applyBorder="1" applyAlignment="1">
      <alignment horizontal="center" vertical="top" wrapText="1"/>
    </xf>
    <xf numFmtId="0" fontId="35" fillId="0" borderId="26" xfId="0" applyFont="1" applyBorder="1" applyAlignment="1">
      <alignment horizontal="center" vertical="top" wrapText="1"/>
    </xf>
    <xf numFmtId="0" fontId="36" fillId="8" borderId="63" xfId="50" applyFont="1" applyBorder="1" applyAlignment="1">
      <alignment horizontal="left" wrapText="1"/>
    </xf>
    <xf numFmtId="0" fontId="36" fillId="8" borderId="0" xfId="50" applyFont="1" applyBorder="1" applyAlignment="1">
      <alignment horizontal="left" wrapText="1"/>
    </xf>
    <xf numFmtId="0" fontId="36" fillId="8" borderId="65" xfId="50" applyFont="1" applyBorder="1" applyAlignment="1">
      <alignment horizontal="left" wrapText="1"/>
    </xf>
    <xf numFmtId="0" fontId="35" fillId="0" borderId="16" xfId="49" applyFont="1" applyBorder="1" applyAlignment="1">
      <alignment horizontal="right" vertical="center"/>
    </xf>
    <xf numFmtId="0" fontId="35" fillId="0" borderId="17" xfId="49" applyFont="1" applyBorder="1" applyAlignment="1">
      <alignment horizontal="right" vertical="center"/>
    </xf>
    <xf numFmtId="0" fontId="35" fillId="0" borderId="17" xfId="49" applyFont="1" applyBorder="1" applyAlignment="1" applyProtection="1">
      <alignment horizontal="left" vertical="center"/>
      <protection locked="0"/>
    </xf>
    <xf numFmtId="0" fontId="35" fillId="0" borderId="127" xfId="49" applyFont="1" applyBorder="1" applyAlignment="1" applyProtection="1">
      <alignment horizontal="left" vertical="center"/>
      <protection locked="0"/>
    </xf>
    <xf numFmtId="0" fontId="35" fillId="11" borderId="55" xfId="0" applyFont="1" applyFill="1" applyBorder="1" applyAlignment="1">
      <alignment horizontal="center" vertical="center" wrapText="1"/>
    </xf>
    <xf numFmtId="0" fontId="35" fillId="11" borderId="56" xfId="0" applyFont="1" applyFill="1" applyBorder="1" applyAlignment="1">
      <alignment horizontal="center" vertical="center" wrapText="1"/>
    </xf>
    <xf numFmtId="0" fontId="35" fillId="11" borderId="56" xfId="0" applyFont="1" applyFill="1" applyBorder="1" applyAlignment="1" applyProtection="1">
      <alignment horizontal="left" vertical="top" wrapText="1"/>
      <protection locked="0"/>
    </xf>
    <xf numFmtId="0" fontId="35" fillId="11" borderId="66" xfId="0" applyFont="1" applyFill="1" applyBorder="1" applyAlignment="1" applyProtection="1">
      <alignment horizontal="left" vertical="top" wrapText="1"/>
      <protection locked="0"/>
    </xf>
    <xf numFmtId="0" fontId="39" fillId="0" borderId="63" xfId="0" applyFont="1" applyBorder="1" applyAlignment="1" applyProtection="1">
      <alignment horizontal="left" vertical="top" wrapText="1"/>
      <protection locked="0"/>
    </xf>
    <xf numFmtId="0" fontId="35" fillId="0" borderId="128" xfId="49" applyFont="1" applyBorder="1" applyAlignment="1">
      <alignment horizontal="right" vertical="center"/>
    </xf>
    <xf numFmtId="0" fontId="35" fillId="0" borderId="129" xfId="49" applyFont="1" applyBorder="1" applyAlignment="1">
      <alignment horizontal="right" vertical="center"/>
    </xf>
    <xf numFmtId="0" fontId="35" fillId="0" borderId="129" xfId="49" applyFont="1" applyBorder="1" applyAlignment="1" applyProtection="1">
      <alignment horizontal="left" vertical="center"/>
      <protection locked="0"/>
    </xf>
    <xf numFmtId="0" fontId="35" fillId="0" borderId="130" xfId="49" applyFont="1" applyBorder="1" applyAlignment="1" applyProtection="1">
      <alignment horizontal="left" vertical="center"/>
      <protection locked="0"/>
    </xf>
    <xf numFmtId="0" fontId="35" fillId="0" borderId="131" xfId="0" applyFont="1" applyBorder="1" applyAlignment="1" applyProtection="1">
      <alignment horizontal="center" vertical="center"/>
      <protection locked="0"/>
    </xf>
    <xf numFmtId="0" fontId="35" fillId="0" borderId="132" xfId="0" applyFont="1" applyBorder="1" applyAlignment="1" applyProtection="1">
      <alignment horizontal="center" vertical="center"/>
      <protection locked="0"/>
    </xf>
    <xf numFmtId="0" fontId="35" fillId="0" borderId="133" xfId="0" applyFont="1" applyBorder="1" applyAlignment="1" applyProtection="1">
      <alignment horizontal="center" vertical="center"/>
      <protection locked="0"/>
    </xf>
    <xf numFmtId="0" fontId="39" fillId="0" borderId="90" xfId="0" applyFont="1" applyBorder="1" applyAlignment="1" applyProtection="1">
      <alignment horizontal="left" vertical="top" wrapText="1"/>
      <protection locked="0"/>
    </xf>
    <xf numFmtId="0" fontId="42" fillId="0" borderId="13" xfId="0" applyFont="1" applyBorder="1"/>
    <xf numFmtId="0" fontId="35" fillId="8" borderId="33" xfId="0" applyFont="1" applyFill="1" applyBorder="1"/>
    <xf numFmtId="0" fontId="37" fillId="8" borderId="33" xfId="51" applyFont="1" applyBorder="1" applyAlignment="1">
      <alignment horizontal="left"/>
    </xf>
    <xf numFmtId="0" fontId="37" fillId="8" borderId="33" xfId="51" applyFont="1" applyBorder="1" applyAlignment="1">
      <alignment horizontal="right"/>
    </xf>
    <xf numFmtId="0" fontId="43" fillId="8" borderId="33" xfId="50" applyFont="1" applyBorder="1" applyAlignment="1">
      <alignment horizontal="left"/>
    </xf>
    <xf numFmtId="0" fontId="41" fillId="8" borderId="33" xfId="0" applyFont="1" applyFill="1" applyBorder="1"/>
    <xf numFmtId="0" fontId="37" fillId="8" borderId="33" xfId="0" applyFont="1" applyFill="1" applyBorder="1" applyAlignment="1">
      <alignment horizontal="left"/>
    </xf>
    <xf numFmtId="0" fontId="37" fillId="8" borderId="33" xfId="0" applyFont="1" applyFill="1" applyBorder="1" applyAlignment="1">
      <alignment horizontal="right"/>
    </xf>
    <xf numFmtId="0" fontId="35" fillId="0" borderId="134" xfId="0" applyFont="1" applyBorder="1" applyAlignment="1" applyProtection="1">
      <alignment horizontal="left" vertical="top" wrapText="1"/>
      <protection locked="0"/>
    </xf>
    <xf numFmtId="0" fontId="35" fillId="0" borderId="118" xfId="0" applyFont="1" applyBorder="1" applyAlignment="1">
      <alignment horizontal="center" vertical="center"/>
    </xf>
    <xf numFmtId="0" fontId="39" fillId="0" borderId="32" xfId="0" applyFont="1" applyBorder="1" applyAlignment="1" applyProtection="1">
      <alignment horizontal="left" vertical="top" wrapText="1"/>
      <protection locked="0"/>
    </xf>
    <xf numFmtId="0" fontId="39" fillId="0" borderId="33" xfId="0" applyFont="1" applyBorder="1" applyAlignment="1" applyProtection="1">
      <alignment horizontal="left" vertical="top" wrapText="1"/>
      <protection locked="0"/>
    </xf>
    <xf numFmtId="0" fontId="39" fillId="0" borderId="34" xfId="0" applyFont="1" applyBorder="1" applyAlignment="1" applyProtection="1">
      <alignment horizontal="left" vertical="top" wrapText="1"/>
      <protection locked="0"/>
    </xf>
    <xf numFmtId="0" fontId="35" fillId="0" borderId="125" xfId="0" applyFont="1" applyBorder="1" applyAlignment="1" applyProtection="1">
      <alignment horizontal="left" vertical="top" wrapText="1"/>
      <protection locked="0"/>
    </xf>
    <xf numFmtId="0" fontId="35" fillId="0" borderId="135" xfId="0" applyFont="1" applyBorder="1" applyAlignment="1" applyProtection="1">
      <alignment horizontal="right" vertical="center"/>
      <protection locked="0"/>
    </xf>
    <xf numFmtId="0" fontId="35" fillId="0" borderId="136" xfId="0" applyFont="1" applyBorder="1" applyAlignment="1" applyProtection="1">
      <alignment horizontal="right" vertical="center"/>
      <protection locked="0"/>
    </xf>
    <xf numFmtId="0" fontId="35" fillId="0" borderId="66" xfId="0" applyFont="1" applyBorder="1" applyAlignment="1" applyProtection="1">
      <alignment horizontal="center" vertical="center"/>
      <protection locked="0"/>
    </xf>
    <xf numFmtId="0" fontId="35" fillId="0" borderId="137" xfId="0" applyFont="1" applyBorder="1" applyAlignment="1" applyProtection="1">
      <alignment horizontal="right" vertical="center"/>
      <protection locked="0"/>
    </xf>
    <xf numFmtId="0" fontId="35" fillId="0" borderId="43" xfId="0" applyFont="1" applyBorder="1" applyAlignment="1" applyProtection="1">
      <alignment horizontal="right" vertical="center"/>
      <protection locked="0"/>
    </xf>
    <xf numFmtId="0" fontId="35" fillId="0" borderId="66" xfId="0" applyFont="1" applyBorder="1" applyAlignment="1">
      <alignment horizontal="center" vertical="center"/>
    </xf>
    <xf numFmtId="0" fontId="35" fillId="0" borderId="55" xfId="0" applyFont="1" applyBorder="1" applyAlignment="1" applyProtection="1">
      <alignment horizontal="left" vertical="top" wrapText="1"/>
      <protection locked="0"/>
    </xf>
    <xf numFmtId="0" fontId="35" fillId="0" borderId="31" xfId="0" applyFont="1" applyBorder="1" applyAlignment="1">
      <alignment vertical="top" wrapText="1"/>
    </xf>
    <xf numFmtId="49" fontId="9" fillId="0" borderId="123" xfId="0" applyNumberFormat="1" applyFont="1" applyBorder="1" applyAlignment="1">
      <alignment horizontal="center" vertical="center"/>
    </xf>
    <xf numFmtId="49" fontId="9" fillId="0" borderId="56" xfId="0" applyNumberFormat="1" applyFont="1" applyBorder="1" applyAlignment="1">
      <alignment horizontal="center" vertical="center"/>
    </xf>
    <xf numFmtId="0" fontId="35" fillId="0" borderId="56" xfId="49" applyFont="1" applyBorder="1" applyAlignment="1" applyProtection="1">
      <alignment horizontal="center" vertical="center"/>
      <protection locked="0"/>
    </xf>
    <xf numFmtId="176" fontId="35" fillId="0" borderId="56" xfId="0" applyNumberFormat="1" applyFont="1" applyBorder="1" applyAlignment="1" applyProtection="1">
      <alignment horizontal="right" vertical="center"/>
      <protection locked="0"/>
    </xf>
    <xf numFmtId="49" fontId="9" fillId="0" borderId="138" xfId="0" applyNumberFormat="1" applyFont="1" applyBorder="1" applyAlignment="1" applyProtection="1">
      <alignment horizontal="center" vertical="center"/>
      <protection locked="0"/>
    </xf>
    <xf numFmtId="49" fontId="9" fillId="0" borderId="132" xfId="0" applyNumberFormat="1" applyFont="1" applyBorder="1" applyAlignment="1" applyProtection="1">
      <alignment horizontal="center" vertical="center"/>
      <protection locked="0"/>
    </xf>
    <xf numFmtId="0" fontId="35" fillId="0" borderId="132" xfId="49" applyFont="1" applyBorder="1" applyAlignment="1">
      <alignment horizontal="center" vertical="center"/>
    </xf>
    <xf numFmtId="176" fontId="35" fillId="0" borderId="132" xfId="0" applyNumberFormat="1" applyFont="1" applyBorder="1" applyAlignment="1">
      <alignment horizontal="right" vertical="center"/>
    </xf>
    <xf numFmtId="0" fontId="35" fillId="0" borderId="132" xfId="0" applyFont="1" applyBorder="1" applyAlignment="1">
      <alignment horizontal="right" vertical="center"/>
    </xf>
    <xf numFmtId="0" fontId="35" fillId="0" borderId="132" xfId="0" applyFont="1" applyBorder="1" applyAlignment="1" applyProtection="1">
      <alignment horizontal="right" vertical="center"/>
      <protection locked="0"/>
    </xf>
    <xf numFmtId="0" fontId="35" fillId="0" borderId="139" xfId="0" applyFont="1" applyBorder="1" applyAlignment="1" applyProtection="1">
      <alignment horizontal="right" vertical="center"/>
      <protection locked="0"/>
    </xf>
    <xf numFmtId="49" fontId="9" fillId="0" borderId="140" xfId="0" applyNumberFormat="1" applyFont="1" applyBorder="1" applyAlignment="1" applyProtection="1">
      <alignment horizontal="center" vertical="center"/>
      <protection locked="0"/>
    </xf>
    <xf numFmtId="0" fontId="35" fillId="0" borderId="132" xfId="49" applyFont="1" applyBorder="1" applyAlignment="1" applyProtection="1">
      <alignment horizontal="center" vertical="center"/>
      <protection locked="0"/>
    </xf>
    <xf numFmtId="176" fontId="35" fillId="0" borderId="132" xfId="0" applyNumberFormat="1" applyFont="1" applyBorder="1" applyAlignment="1" applyProtection="1">
      <alignment horizontal="right" vertical="center"/>
      <protection locked="0"/>
    </xf>
    <xf numFmtId="0" fontId="35" fillId="0" borderId="133" xfId="0" applyFont="1" applyBorder="1" applyAlignment="1" applyProtection="1">
      <alignment horizontal="right" vertical="center"/>
      <protection locked="0"/>
    </xf>
    <xf numFmtId="0" fontId="35" fillId="0" borderId="67" xfId="0" applyFont="1" applyBorder="1" applyAlignment="1" applyProtection="1">
      <alignment horizontal="left" vertical="top" wrapText="1"/>
      <protection locked="0"/>
    </xf>
    <xf numFmtId="0" fontId="35" fillId="0" borderId="68" xfId="0" applyFont="1" applyBorder="1" applyAlignment="1" applyProtection="1">
      <alignment horizontal="left" vertical="top" wrapText="1"/>
      <protection locked="0"/>
    </xf>
    <xf numFmtId="0" fontId="35" fillId="0" borderId="141" xfId="0" applyFont="1" applyBorder="1" applyAlignment="1" applyProtection="1">
      <alignment horizontal="left" vertical="top" wrapText="1"/>
      <protection locked="0"/>
    </xf>
    <xf numFmtId="0" fontId="35" fillId="0" borderId="142" xfId="0" applyFont="1" applyBorder="1" applyAlignment="1" applyProtection="1">
      <alignment horizontal="left" vertical="top" wrapText="1"/>
      <protection locked="0"/>
    </xf>
    <xf numFmtId="0" fontId="35" fillId="0" borderId="143" xfId="0" applyFont="1" applyBorder="1" applyAlignment="1" applyProtection="1">
      <alignment horizontal="right" vertical="center"/>
      <protection locked="0"/>
    </xf>
    <xf numFmtId="0" fontId="35" fillId="0" borderId="144" xfId="0" applyFont="1" applyBorder="1" applyAlignment="1" applyProtection="1">
      <alignment horizontal="right" vertical="center"/>
      <protection locked="0"/>
    </xf>
    <xf numFmtId="0" fontId="35" fillId="0" borderId="68" xfId="0" applyFont="1" applyBorder="1" applyAlignment="1" applyProtection="1">
      <alignment horizontal="center" vertical="center"/>
      <protection locked="0"/>
    </xf>
    <xf numFmtId="0" fontId="35" fillId="0" borderId="141" xfId="0" applyFont="1" applyBorder="1" applyAlignment="1" applyProtection="1">
      <alignment horizontal="center" vertical="center"/>
      <protection locked="0"/>
    </xf>
    <xf numFmtId="0" fontId="42" fillId="0" borderId="12" xfId="0" applyFont="1" applyBorder="1"/>
    <xf numFmtId="0" fontId="35" fillId="0" borderId="145" xfId="0" applyFont="1" applyBorder="1"/>
    <xf numFmtId="0" fontId="42" fillId="0" borderId="145" xfId="0" applyFont="1" applyBorder="1"/>
    <xf numFmtId="0" fontId="44" fillId="14" borderId="32" xfId="0" applyFont="1" applyFill="1" applyBorder="1" applyAlignment="1">
      <alignment horizontal="left"/>
    </xf>
    <xf numFmtId="0" fontId="44" fillId="14" borderId="33" xfId="0" applyFont="1" applyFill="1" applyBorder="1" applyAlignment="1">
      <alignment horizontal="left"/>
    </xf>
    <xf numFmtId="0" fontId="44" fillId="14" borderId="146" xfId="0" applyFont="1" applyFill="1" applyBorder="1" applyAlignment="1">
      <alignment horizontal="left"/>
    </xf>
    <xf numFmtId="0" fontId="35" fillId="0" borderId="147" xfId="0" applyFont="1" applyBorder="1" applyAlignment="1" applyProtection="1">
      <alignment horizontal="left"/>
      <protection locked="0"/>
    </xf>
    <xf numFmtId="0" fontId="35" fillId="0" borderId="148" xfId="0" applyFont="1" applyBorder="1" applyAlignment="1" applyProtection="1">
      <alignment horizontal="left"/>
      <protection locked="0"/>
    </xf>
    <xf numFmtId="0" fontId="35" fillId="0" borderId="149" xfId="0" applyFont="1" applyBorder="1" applyAlignment="1" applyProtection="1">
      <alignment horizontal="left"/>
      <protection locked="0"/>
    </xf>
    <xf numFmtId="0" fontId="35" fillId="0" borderId="150" xfId="0" applyFont="1" applyBorder="1"/>
    <xf numFmtId="0" fontId="35" fillId="0" borderId="151" xfId="0" applyFont="1" applyBorder="1"/>
    <xf numFmtId="0" fontId="35" fillId="0" borderId="152" xfId="0" applyFont="1" applyBorder="1"/>
    <xf numFmtId="0" fontId="44" fillId="14" borderId="153" xfId="0" applyFont="1" applyFill="1" applyBorder="1" applyAlignment="1">
      <alignment horizontal="left"/>
    </xf>
    <xf numFmtId="0" fontId="44" fillId="14" borderId="154" xfId="0" applyFont="1" applyFill="1" applyBorder="1" applyAlignment="1">
      <alignment horizontal="left"/>
    </xf>
    <xf numFmtId="0" fontId="44" fillId="14" borderId="155" xfId="0" applyFont="1" applyFill="1" applyBorder="1" applyAlignment="1">
      <alignment horizontal="left"/>
    </xf>
    <xf numFmtId="0" fontId="35" fillId="0" borderId="156" xfId="0" applyFont="1" applyBorder="1" applyAlignment="1" applyProtection="1">
      <alignment horizontal="left"/>
      <protection locked="0"/>
    </xf>
    <xf numFmtId="0" fontId="35" fillId="0" borderId="157" xfId="0" applyFont="1" applyBorder="1" applyAlignment="1" applyProtection="1">
      <alignment horizontal="left"/>
      <protection locked="0"/>
    </xf>
    <xf numFmtId="0" fontId="35" fillId="0" borderId="32" xfId="0" applyFont="1" applyBorder="1" applyAlignment="1" applyProtection="1">
      <alignment horizontal="left"/>
      <protection locked="0"/>
    </xf>
    <xf numFmtId="0" fontId="35" fillId="0" borderId="33" xfId="0" applyFont="1" applyBorder="1" applyAlignment="1" applyProtection="1">
      <alignment horizontal="left"/>
      <protection locked="0"/>
    </xf>
    <xf numFmtId="0" fontId="35" fillId="0" borderId="34" xfId="0" applyFont="1" applyBorder="1" applyAlignment="1" applyProtection="1">
      <alignment horizontal="left"/>
      <protection locked="0"/>
    </xf>
    <xf numFmtId="0" fontId="45" fillId="15" borderId="32" xfId="0" applyFont="1" applyFill="1" applyBorder="1" applyAlignment="1">
      <alignment horizontal="left"/>
    </xf>
    <xf numFmtId="0" fontId="45" fillId="15" borderId="33" xfId="0" applyFont="1" applyFill="1" applyBorder="1" applyAlignment="1">
      <alignment horizontal="left"/>
    </xf>
    <xf numFmtId="0" fontId="45" fillId="15" borderId="158" xfId="0" applyFont="1" applyFill="1" applyBorder="1" applyAlignment="1">
      <alignment horizontal="left"/>
    </xf>
    <xf numFmtId="0" fontId="35" fillId="0" borderId="143" xfId="0" applyFont="1" applyBorder="1" applyAlignment="1" applyProtection="1">
      <alignment horizontal="left"/>
      <protection locked="0"/>
    </xf>
    <xf numFmtId="0" fontId="35" fillId="0" borderId="91" xfId="0" applyFont="1" applyBorder="1" applyAlignment="1" applyProtection="1">
      <alignment horizontal="left"/>
      <protection locked="0"/>
    </xf>
    <xf numFmtId="0" fontId="35" fillId="0" borderId="111" xfId="0" applyFont="1" applyBorder="1" applyAlignment="1" applyProtection="1">
      <alignment horizontal="left"/>
      <protection locked="0"/>
    </xf>
    <xf numFmtId="0" fontId="35" fillId="0" borderId="159" xfId="0" applyFont="1" applyBorder="1" applyAlignment="1">
      <alignment horizontal="left"/>
    </xf>
    <xf numFmtId="0" fontId="35" fillId="0" borderId="12" xfId="0" applyFont="1" applyBorder="1" applyAlignment="1">
      <alignment wrapText="1"/>
    </xf>
    <xf numFmtId="0" fontId="35" fillId="0" borderId="160" xfId="0" applyFont="1" applyBorder="1" applyAlignment="1">
      <alignment wrapText="1"/>
    </xf>
    <xf numFmtId="0" fontId="35" fillId="0" borderId="20" xfId="0" applyFont="1" applyBorder="1" applyAlignment="1">
      <alignment wrapText="1"/>
    </xf>
    <xf numFmtId="0" fontId="35" fillId="0" borderId="13" xfId="0" applyFont="1" applyBorder="1" applyAlignment="1">
      <alignment wrapText="1"/>
    </xf>
    <xf numFmtId="0" fontId="46" fillId="0" borderId="0" xfId="0" applyFont="1" applyAlignment="1">
      <alignment vertical="center" shrinkToFit="1"/>
    </xf>
    <xf numFmtId="0" fontId="47" fillId="0" borderId="161" xfId="0" applyFont="1" applyBorder="1" applyAlignment="1">
      <alignment horizontal="center"/>
    </xf>
    <xf numFmtId="0" fontId="47" fillId="0" borderId="162" xfId="0" applyFont="1" applyBorder="1" applyAlignment="1">
      <alignment horizontal="center"/>
    </xf>
    <xf numFmtId="0" fontId="35" fillId="0" borderId="163" xfId="0" applyFont="1" applyBorder="1"/>
    <xf numFmtId="0" fontId="35" fillId="0" borderId="164" xfId="0" applyFont="1" applyBorder="1"/>
    <xf numFmtId="0" fontId="35" fillId="0" borderId="165" xfId="0" applyFont="1" applyBorder="1"/>
    <xf numFmtId="0" fontId="35" fillId="0" borderId="166" xfId="0" applyFont="1" applyBorder="1" applyAlignment="1">
      <alignment horizontal="left" vertical="top" wrapText="1"/>
    </xf>
    <xf numFmtId="0" fontId="35" fillId="0" borderId="12" xfId="0" applyFont="1" applyBorder="1" applyAlignment="1">
      <alignment horizontal="left" vertical="top" wrapText="1"/>
    </xf>
    <xf numFmtId="0" fontId="45" fillId="0" borderId="12" xfId="0" applyFont="1" applyBorder="1" applyAlignment="1">
      <alignment horizontal="left" vertical="top" wrapText="1"/>
    </xf>
    <xf numFmtId="0" fontId="35" fillId="0" borderId="18" xfId="0" applyFont="1" applyBorder="1" applyAlignment="1">
      <alignment vertical="top" wrapText="1"/>
    </xf>
    <xf numFmtId="0" fontId="45" fillId="0" borderId="77" xfId="0" applyFont="1" applyBorder="1" applyAlignment="1">
      <alignment horizontal="left" vertical="top" wrapText="1"/>
    </xf>
    <xf numFmtId="0" fontId="45" fillId="0" borderId="159" xfId="0" applyFont="1" applyBorder="1" applyAlignment="1">
      <alignment horizontal="left" vertical="top" wrapText="1"/>
    </xf>
    <xf numFmtId="0" fontId="35" fillId="0" borderId="77" xfId="0" applyFont="1" applyBorder="1" applyAlignment="1">
      <alignment horizontal="left" vertical="top" wrapText="1"/>
    </xf>
    <xf numFmtId="0" fontId="35" fillId="0" borderId="159" xfId="0" applyFont="1" applyBorder="1" applyAlignment="1">
      <alignment horizontal="left" vertical="top" wrapText="1"/>
    </xf>
    <xf numFmtId="0" fontId="45" fillId="0" borderId="13" xfId="0" applyFont="1" applyBorder="1" applyAlignment="1">
      <alignment horizontal="left"/>
    </xf>
    <xf numFmtId="0" fontId="45" fillId="0" borderId="167" xfId="0" applyFont="1" applyBorder="1" applyAlignment="1">
      <alignment horizontal="left"/>
    </xf>
    <xf numFmtId="0" fontId="48" fillId="0" borderId="0" xfId="0" applyFont="1" applyAlignment="1">
      <alignment vertical="center" shrinkToFit="1"/>
    </xf>
    <xf numFmtId="0" fontId="35" fillId="0" borderId="167" xfId="0" applyFont="1" applyBorder="1"/>
    <xf numFmtId="0" fontId="35" fillId="0" borderId="168" xfId="0" applyFont="1" applyBorder="1"/>
    <xf numFmtId="0" fontId="35" fillId="0" borderId="169" xfId="0" applyFont="1" applyBorder="1"/>
    <xf numFmtId="0" fontId="35" fillId="0" borderId="20" xfId="0" applyFont="1" applyBorder="1" applyAlignment="1">
      <alignment horizontal="left" vertical="top" wrapText="1"/>
    </xf>
    <xf numFmtId="0" fontId="45" fillId="0" borderId="13" xfId="0" applyFont="1" applyBorder="1" applyAlignment="1">
      <alignment horizontal="left" vertical="top" wrapText="1"/>
    </xf>
    <xf numFmtId="0" fontId="35" fillId="0" borderId="13" xfId="0" applyFont="1" applyBorder="1" applyAlignment="1">
      <alignment vertical="top" wrapText="1"/>
    </xf>
    <xf numFmtId="0" fontId="35" fillId="0" borderId="19" xfId="0" applyFont="1" applyBorder="1" applyAlignment="1">
      <alignment vertical="top" wrapText="1"/>
    </xf>
    <xf numFmtId="0" fontId="35" fillId="0" borderId="13" xfId="0" applyFont="1" applyBorder="1" applyAlignment="1" applyProtection="1">
      <alignment horizontal="left" vertical="top" wrapText="1"/>
      <protection locked="0"/>
    </xf>
    <xf numFmtId="0" fontId="35" fillId="0" borderId="167" xfId="0" applyFont="1" applyBorder="1" applyAlignment="1" applyProtection="1">
      <alignment horizontal="left" vertical="top" wrapText="1"/>
      <protection locked="0"/>
    </xf>
    <xf numFmtId="0" fontId="35" fillId="0" borderId="13" xfId="0" applyFont="1" applyBorder="1" applyAlignment="1">
      <alignment horizontal="left"/>
    </xf>
    <xf numFmtId="0" fontId="49" fillId="16" borderId="0" xfId="0" applyFont="1" applyFill="1" applyAlignment="1">
      <alignment vertical="center" shrinkToFit="1"/>
    </xf>
    <xf numFmtId="0" fontId="35" fillId="0" borderId="19" xfId="0" applyFont="1" applyBorder="1" applyAlignment="1">
      <alignment horizontal="left" vertical="top" wrapText="1"/>
    </xf>
    <xf numFmtId="0" fontId="35" fillId="0" borderId="31" xfId="0" applyFont="1" applyBorder="1" applyAlignment="1">
      <alignment horizontal="left" vertical="top" wrapText="1"/>
    </xf>
    <xf numFmtId="0" fontId="45" fillId="0" borderId="19" xfId="0" applyFont="1" applyBorder="1" applyAlignment="1">
      <alignment horizontal="left" vertical="top" wrapText="1"/>
    </xf>
    <xf numFmtId="0" fontId="45" fillId="0" borderId="31" xfId="0" applyFont="1" applyBorder="1" applyAlignment="1">
      <alignment horizontal="left" vertical="top" wrapText="1"/>
    </xf>
    <xf numFmtId="0" fontId="35" fillId="0" borderId="170" xfId="0" applyFont="1" applyBorder="1"/>
    <xf numFmtId="0" fontId="35" fillId="0" borderId="171" xfId="0" applyFont="1" applyBorder="1"/>
    <xf numFmtId="0" fontId="35" fillId="0" borderId="172" xfId="0" applyFont="1" applyBorder="1"/>
    <xf numFmtId="0" fontId="35" fillId="0" borderId="173" xfId="0" applyFont="1" applyBorder="1" applyAlignment="1">
      <alignment horizontal="left"/>
    </xf>
    <xf numFmtId="0" fontId="35" fillId="0" borderId="173" xfId="0" applyFont="1" applyBorder="1"/>
    <xf numFmtId="0" fontId="35" fillId="0" borderId="174" xfId="0" applyFont="1" applyBorder="1"/>
    <xf numFmtId="0" fontId="50" fillId="0" borderId="175" xfId="0" applyFont="1" applyBorder="1" applyAlignment="1">
      <alignment horizontal="left" wrapText="1"/>
    </xf>
    <xf numFmtId="0" fontId="50" fillId="0" borderId="176" xfId="0" applyFont="1" applyBorder="1" applyAlignment="1">
      <alignment horizontal="left" wrapText="1"/>
    </xf>
    <xf numFmtId="0" fontId="50" fillId="0" borderId="177" xfId="0" applyFont="1" applyBorder="1" applyAlignment="1">
      <alignment horizontal="left" wrapText="1"/>
    </xf>
    <xf numFmtId="0" fontId="50" fillId="0" borderId="178" xfId="0" applyFont="1" applyBorder="1" applyAlignment="1">
      <alignment horizontal="left" wrapText="1"/>
    </xf>
    <xf numFmtId="0" fontId="50" fillId="0" borderId="0" xfId="0" applyFont="1" applyAlignment="1">
      <alignment horizontal="left" wrapText="1"/>
    </xf>
    <xf numFmtId="0" fontId="50" fillId="0" borderId="27" xfId="0" applyFont="1" applyBorder="1" applyAlignment="1">
      <alignment horizontal="left" wrapText="1"/>
    </xf>
    <xf numFmtId="0" fontId="35" fillId="0" borderId="170" xfId="0" applyFont="1" applyBorder="1" applyAlignment="1">
      <alignment horizontal="left" vertical="top" wrapText="1"/>
    </xf>
    <xf numFmtId="0" fontId="35" fillId="0" borderId="171" xfId="0" applyFont="1" applyBorder="1" applyAlignment="1">
      <alignment horizontal="left" vertical="top" wrapText="1"/>
    </xf>
    <xf numFmtId="0" fontId="50" fillId="0" borderId="179" xfId="0" applyFont="1" applyBorder="1" applyAlignment="1">
      <alignment horizontal="left" wrapText="1"/>
    </xf>
    <xf numFmtId="0" fontId="50" fillId="0" borderId="91" xfId="0" applyFont="1" applyBorder="1" applyAlignment="1">
      <alignment horizontal="left" wrapText="1"/>
    </xf>
    <xf numFmtId="0" fontId="50" fillId="0" borderId="75" xfId="0" applyFont="1" applyBorder="1" applyAlignment="1">
      <alignment horizontal="left" wrapText="1"/>
    </xf>
    <xf numFmtId="0" fontId="35" fillId="0" borderId="173" xfId="0" applyFont="1" applyBorder="1" applyAlignment="1" applyProtection="1">
      <alignment horizontal="left" vertical="top" wrapText="1"/>
      <protection locked="0"/>
    </xf>
    <xf numFmtId="0" fontId="35" fillId="0" borderId="174" xfId="0" applyFont="1" applyBorder="1" applyAlignment="1" applyProtection="1">
      <alignment horizontal="left" vertical="top" wrapText="1"/>
      <protection locked="0"/>
    </xf>
    <xf numFmtId="0" fontId="45" fillId="0" borderId="19" xfId="0" applyFont="1" applyBorder="1" applyAlignment="1">
      <alignment vertical="top" wrapText="1"/>
    </xf>
    <xf numFmtId="0" fontId="35" fillId="0" borderId="175" xfId="0" applyFont="1" applyBorder="1" applyAlignment="1">
      <alignment vertical="top" wrapText="1"/>
    </xf>
    <x:xf xmlns:x="http://schemas.openxmlformats.org/spreadsheetml/2006/main" numFmtId="0" fontId="74" fillId="47" borderId="189" xfId="53"/>
    <x:xf xmlns:x="http://schemas.openxmlformats.org/spreadsheetml/2006/main" numFmtId="0" fontId="75" fillId="47" borderId="189" xfId="53" applyNumberFormat="1" applyFont="1" applyFill="1" applyBorder="1"/>
    <x:xf xmlns:x="http://schemas.openxmlformats.org/spreadsheetml/2006/main" numFmtId="0" fontId="76" fillId="47" borderId="189" xfId="53" applyNumberFormat="1" applyFont="1" applyFill="1" applyBorder="1"/>
    <x:xf xmlns:x="http://schemas.openxmlformats.org/spreadsheetml/2006/main" numFmtId="0" fontId="76" fillId="47" borderId="189" xfId="53" applyNumberFormat="1" applyFont="1" applyFill="1" applyBorder="1" applyAlignment="1">
      <x:alignment wrapText="1"/>
    </x:xf>
    <x:xf xmlns:x="http://schemas.openxmlformats.org/spreadsheetml/2006/main" numFmtId="0" fontId="76" fillId="47" borderId="189" xfId="53" applyNumberFormat="1" applyFont="1" applyFill="1" applyBorder="1" applyAlignment="1">
      <x:alignment vertical="center" wrapText="1"/>
    </x:xf>
    <x:xf xmlns:x="http://schemas.openxmlformats.org/spreadsheetml/2006/main" numFmtId="0" fontId="75" fillId="47" borderId="189" xfId="53" applyNumberFormat="1" applyFont="1" applyFill="1" applyBorder="1" applyAlignment="1">
      <x:alignment wrapText="1"/>
    </x:xf>
    <x:xf xmlns:x="http://schemas.openxmlformats.org/spreadsheetml/2006/main" numFmtId="0" fontId="75" fillId="47" borderId="189" xfId="53" applyNumberFormat="1" applyFont="1" applyFill="1" applyBorder="1" applyAlignment="1">
      <x:alignment vertical="center" wrapText="1"/>
    </x:xf>
    <x:xf xmlns:x="http://schemas.openxmlformats.org/spreadsheetml/2006/main" numFmtId="0" fontId="77" fillId="47" borderId="189" xfId="53" applyNumberFormat="1" applyFont="1" applyFill="1" applyBorder="1"/>
    <x:xf xmlns:x="http://schemas.openxmlformats.org/spreadsheetml/2006/main" numFmtId="0" fontId="75" fillId="49" borderId="189" xfId="53" applyNumberFormat="1" applyFont="1" applyFill="1" applyBorder="1"/>
    <x:xf xmlns:x="http://schemas.openxmlformats.org/spreadsheetml/2006/main" numFmtId="0" fontId="78" fillId="49" borderId="189" xfId="53" applyNumberFormat="1" applyFont="1" applyFill="1" applyBorder="1"/>
    <x:xf xmlns:x="http://schemas.openxmlformats.org/spreadsheetml/2006/main" numFmtId="0" fontId="78" fillId="49" borderId="189" xfId="53" applyNumberFormat="1" applyFont="1" applyFill="1" applyBorder="1" applyAlignment="1">
      <x:alignment horizontal="center"/>
    </x:xf>
    <x:xf xmlns:x="http://schemas.openxmlformats.org/spreadsheetml/2006/main" numFmtId="0" fontId="78" fillId="49" borderId="189" xfId="53" applyNumberFormat="1" applyFont="1" applyFill="1" applyBorder="1" applyAlignment="1">
      <x:alignment horizontal="center" vertical="center"/>
    </x:xf>
    <x:xf xmlns:x="http://schemas.openxmlformats.org/spreadsheetml/2006/main" numFmtId="0" fontId="74" fillId="50" borderId="189" xfId="53" applyNumberFormat="1" applyFont="1" applyFill="1" applyBorder="1"/>
    <x:xf xmlns:x="http://schemas.openxmlformats.org/spreadsheetml/2006/main" numFmtId="0" fontId="79" fillId="50" borderId="189" xfId="53" applyNumberFormat="1" applyFont="1" applyFill="1" applyBorder="1"/>
    <x:xf xmlns:x="http://schemas.openxmlformats.org/spreadsheetml/2006/main" numFmtId="0" fontId="79" fillId="50" borderId="189" xfId="53" applyNumberFormat="1" applyFont="1" applyFill="1" applyBorder="1" applyAlignment="1">
      <x:alignment wrapText="1"/>
    </x:xf>
    <x:xf xmlns:x="http://schemas.openxmlformats.org/spreadsheetml/2006/main" numFmtId="0" fontId="79" fillId="50" borderId="189" xfId="53" applyNumberFormat="1" applyFont="1" applyFill="1" applyBorder="1" applyAlignment="1">
      <x:alignment vertical="center" wrapText="1"/>
    </x:xf>
    <x:xf xmlns:x="http://schemas.openxmlformats.org/spreadsheetml/2006/main" numFmtId="0" fontId="75" fillId="47" borderId="190" xfId="53" applyNumberFormat="1" applyFont="1" applyFill="1" applyBorder="1"/>
    <x:xf xmlns:x="http://schemas.openxmlformats.org/spreadsheetml/2006/main" numFmtId="0" fontId="75" fillId="47" borderId="190" xfId="53" applyNumberFormat="1" applyFont="1" applyFill="1" applyBorder="1" applyAlignment="1">
      <x:alignment wrapText="1"/>
    </x:xf>
    <x:xf xmlns:x="http://schemas.openxmlformats.org/spreadsheetml/2006/main" numFmtId="0" fontId="75" fillId="47" borderId="190" xfId="53" applyNumberFormat="1" applyFont="1" applyFill="1" applyBorder="1" applyAlignment="1">
      <x:alignment vertical="top" wrapText="1"/>
    </x:xf>
    <x:xf xmlns:x="http://schemas.openxmlformats.org/spreadsheetml/2006/main" numFmtId="0" fontId="80" fillId="47" borderId="190" xfId="53" applyNumberFormat="1" applyFont="1" applyFill="1" applyBorder="1" applyAlignment="1">
      <x:alignment vertical="top" wrapText="1"/>
    </x:xf>
    <x:xf xmlns:x="http://schemas.openxmlformats.org/spreadsheetml/2006/main" numFmtId="0" fontId="75" fillId="47" borderId="190" xfId="53" applyNumberFormat="1" applyFont="1" applyFill="1" applyBorder="1" applyAlignment="1">
      <x:alignment horizontal="center" vertical="top" wrapText="1"/>
    </x:xf>
    <x:xf xmlns:x="http://schemas.openxmlformats.org/spreadsheetml/2006/main" numFmtId="0" fontId="75" fillId="51" borderId="190" xfId="53" applyNumberFormat="1" applyFont="1" applyFill="1" applyBorder="1" applyAlignment="1">
      <x:alignment vertical="top" wrapText="1"/>
    </x:xf>
    <x:xf xmlns:x="http://schemas.openxmlformats.org/spreadsheetml/2006/main" numFmtId="0" fontId="80" fillId="51" borderId="190" xfId="53" applyNumberFormat="1" applyFont="1" applyFill="1" applyBorder="1" applyAlignment="1">
      <x:alignment vertical="top" wrapText="1"/>
    </x:xf>
    <x:xf xmlns:x="http://schemas.openxmlformats.org/spreadsheetml/2006/main" numFmtId="0" fontId="75" fillId="51" borderId="190" xfId="53" applyNumberFormat="1" applyFont="1" applyFill="1" applyBorder="1" applyAlignment="1">
      <x:alignment horizontal="center" vertical="top" wrapText="1"/>
    </x:xf>
    <xf numFmtId="0" fontId="81" fillId="0" borderId="191" xfId="0" applyFont="1" applyBorder="1" applyAlignment="1">
      <alignment horizontal="center" vertical="center" wrapText="1" shrinkToFit="1"/>
    </xf>
    <xf numFmtId="0" fontId="82" fillId="0" borderId="192" xfId="0" applyFont="1" applyBorder="1" applyAlignment="1">
      <alignment horizontal="left" vertical="center" wrapText="1" shrinkToFit="1"/>
    </xf>
    <xf numFmtId="0" fontId="83" fillId="0" borderId="193" xfId="0" applyFont="1" applyBorder="1" applyAlignment="1">
      <alignment horizontal="center" vertical="center" wrapText="1" shrinkToFit="1"/>
    </xf>
    <xf numFmtId="0" fontId="84" fillId="0" borderId="194" xfId="0" applyFont="1" applyBorder="1" applyAlignment="1">
      <alignment horizontal="left" vertical="center" wrapText="1" shrinkToFit="1"/>
    </xf>
    <xf numFmtId="0" fontId="85" fillId="0" borderId="195" xfId="0" applyFont="1" applyBorder="1" applyAlignment="1">
      <alignment horizontal="center" vertical="center" wrapText="1" shrinkToFit="1"/>
    </xf>
    <xf numFmtId="0" fontId="86" fillId="0" borderId="196" xfId="0" applyFont="1" applyBorder="1" applyAlignment="1">
      <alignment horizontal="left" vertical="center" wrapText="1" shrinkToFit="1"/>
    </xf>
    <xf numFmtId="0" fontId="87" fillId="0" borderId="197" xfId="0" applyFont="1" applyBorder="1" applyAlignment="1">
      <alignment horizontal="center" vertical="center" wrapText="1" shrinkToFit="1"/>
    </xf>
    <xf numFmtId="0" fontId="88" fillId="0" borderId="198" xfId="0" applyFont="1" applyBorder="1" applyAlignment="1">
      <alignment horizontal="left" vertical="center" wrapText="1" shrinkToFit="1"/>
    </xf>
    <xf numFmtId="0" fontId="89" fillId="0" borderId="199" xfId="0" applyFont="1" applyBorder="1" applyAlignment="1">
      <alignment horizontal="center" vertical="center" wrapText="1" shrinkToFit="1"/>
    </xf>
    <xf numFmtId="0" fontId="90" fillId="0" borderId="200" xfId="0" applyFont="1" applyBorder="1" applyAlignment="1">
      <alignment horizontal="left" vertical="center" wrapText="1" shrinkToFit="1"/>
    </xf>
    <xf numFmtId="0" fontId="91" fillId="0" borderId="201" xfId="0" applyFont="1" applyBorder="1" applyAlignment="1">
      <alignment horizontal="center" vertical="center" wrapText="1" shrinkToFit="1"/>
    </xf>
    <xf numFmtId="0" fontId="92" fillId="0" borderId="202" xfId="0" applyFont="1" applyBorder="1" applyAlignment="1">
      <alignment horizontal="left" vertical="center" wrapText="1" shrinkToFit="1"/>
    </xf>
    <xf numFmtId="0" fontId="93" fillId="0" borderId="203" xfId="0" applyFont="1" applyBorder="1" applyAlignment="1">
      <alignment horizontal="center" vertical="center" wrapText="1" shrinkToFit="1"/>
    </xf>
    <xf numFmtId="0" fontId="94" fillId="0" borderId="204" xfId="0" applyFont="1" applyBorder="1" applyAlignment="1">
      <alignment horizontal="left" vertical="center" wrapText="1" shrinkToFit="1"/>
    </xf>
    <xf numFmtId="0" fontId="95" fillId="0" borderId="205" xfId="0" applyFont="1" applyBorder="1" applyAlignment="1">
      <alignment horizontal="center" vertical="center" wrapText="1" shrinkToFit="1"/>
    </xf>
    <xf numFmtId="0" fontId="96" fillId="0" borderId="206" xfId="0" applyFont="1" applyBorder="1" applyAlignment="1">
      <alignment horizontal="left" vertical="center" wrapText="1" shrinkToFit="1"/>
    </xf>
    <xf numFmtId="0" fontId="97" fillId="0" borderId="207" xfId="0" applyFont="1" applyBorder="1" applyAlignment="1">
      <alignment horizontal="center" vertical="center" wrapText="1" shrinkToFit="1"/>
    </xf>
    <xf numFmtId="0" fontId="98" fillId="0" borderId="208" xfId="0" applyFont="1" applyBorder="1" applyAlignment="1">
      <alignment horizontal="left" vertical="center" wrapText="1" shrinkToFit="1"/>
    </xf>
    <xf numFmtId="0" fontId="99" fillId="0" borderId="209" xfId="0" applyFont="1" applyBorder="1" applyAlignment="1">
      <alignment horizontal="center" vertical="center" wrapText="1" shrinkToFit="1"/>
    </xf>
    <xf numFmtId="0" fontId="100" fillId="0" borderId="210" xfId="0" applyFont="1" applyBorder="1" applyAlignment="1">
      <alignment horizontal="left" vertical="center" wrapText="1" shrinkToFit="1"/>
    </xf>
    <xf numFmtId="0" fontId="101" fillId="0" borderId="211" xfId="0" applyFont="1" applyBorder="1" applyAlignment="1">
      <alignment horizontal="center" vertical="center" wrapText="1" shrinkToFit="1"/>
    </xf>
    <xf numFmtId="0" fontId="102" fillId="0" borderId="212" xfId="0" applyFont="1" applyBorder="1" applyAlignment="1">
      <alignment horizontal="left" vertical="center" wrapText="1" shrinkToFit="1"/>
    </xf>
    <x:xf xmlns:x="http://schemas.openxmlformats.org/spreadsheetml/2006/main" numFmtId="0" fontId="103" fillId="52" borderId="213" xfId="54"/>
    <x:xf xmlns:x="http://schemas.openxmlformats.org/spreadsheetml/2006/main" numFmtId="0" fontId="104" fillId="52" borderId="213" xfId="54" applyNumberFormat="1" applyFont="1" applyFill="1" applyBorder="1"/>
    <x:xf xmlns:x="http://schemas.openxmlformats.org/spreadsheetml/2006/main" numFmtId="0" fontId="104" fillId="52" borderId="213" xfId="54" applyNumberFormat="1" applyFont="1" applyFill="1" applyBorder="1" applyAlignment="1">
      <x:alignment wrapText="1"/>
    </x:xf>
    <x:xf xmlns:x="http://schemas.openxmlformats.org/spreadsheetml/2006/main" numFmtId="0" fontId="104" fillId="52" borderId="213" xfId="54" applyNumberFormat="1" applyFont="1" applyFill="1" applyBorder="1" applyAlignment="1">
      <x:alignment vertical="top" wrapText="1"/>
    </x:xf>
    <x:xf xmlns:x="http://schemas.openxmlformats.org/spreadsheetml/2006/main" numFmtId="0" fontId="105" fillId="52" borderId="213" xfId="54" applyNumberFormat="1" applyFont="1" applyFill="1" applyBorder="1" applyAlignment="1">
      <x:alignment vertical="top" wrapText="1"/>
    </x:xf>
    <x:xf xmlns:x="http://schemas.openxmlformats.org/spreadsheetml/2006/main" numFmtId="0" fontId="106" fillId="52" borderId="213" xfId="54" applyNumberFormat="1" applyFont="1" applyFill="1" applyBorder="1" applyAlignment="1">
      <x:alignment vertical="top" wrapText="1"/>
    </x:xf>
    <x:xf xmlns:x="http://schemas.openxmlformats.org/spreadsheetml/2006/main" numFmtId="0" fontId="107" fillId="52" borderId="213" xfId="54" applyNumberFormat="1" applyFont="1" applyFill="1" applyBorder="1" applyAlignment="1">
      <x:alignment vertical="top" wrapText="1"/>
    </x:xf>
    <x:xf xmlns:x="http://schemas.openxmlformats.org/spreadsheetml/2006/main" numFmtId="0" fontId="104" fillId="54" borderId="213" xfId="54" applyNumberFormat="1" applyFont="1" applyFill="1" applyBorder="1" applyAlignment="1">
      <x:alignment vertical="top" wrapText="1"/>
    </x:xf>
    <x:xf xmlns:x="http://schemas.openxmlformats.org/spreadsheetml/2006/main" numFmtId="0" fontId="108" fillId="54" borderId="213" xfId="54" applyNumberFormat="1" applyFont="1" applyFill="1" applyBorder="1" applyAlignment="1">
      <x:alignment vertical="top" wrapText="1"/>
    </x:xf>
    <x:xf xmlns:x="http://schemas.openxmlformats.org/spreadsheetml/2006/main" numFmtId="0" fontId="108" fillId="54" borderId="213" xfId="54" applyNumberFormat="1" applyFont="1" applyFill="1" applyBorder="1" applyAlignment="1">
      <x:alignment horizontal="center" vertical="top" wrapText="1"/>
    </x:xf>
    <x:xf xmlns:x="http://schemas.openxmlformats.org/spreadsheetml/2006/main" numFmtId="0" fontId="108" fillId="54" borderId="213" xfId="54" applyNumberFormat="1" applyFont="1" applyFill="1" applyBorder="1" applyAlignment="1">
      <x:alignment horizontal="center" vertical="center" wrapText="1"/>
    </x:xf>
    <x:xf xmlns:x="http://schemas.openxmlformats.org/spreadsheetml/2006/main" numFmtId="180" fontId="104" fillId="52" borderId="213" xfId="54" applyNumberFormat="1" applyFont="1" applyFill="1" applyBorder="1" applyAlignment="1">
      <x:alignment vertical="top" wrapText="1"/>
    </x:xf>
    <x:xf xmlns:x="http://schemas.openxmlformats.org/spreadsheetml/2006/main" numFmtId="0" fontId="104" fillId="52" borderId="214" xfId="54" applyNumberFormat="1" applyFont="1" applyFill="1" applyBorder="1" applyAlignment="1">
      <x:alignment vertical="top" wrapText="1"/>
    </x:xf>
    <x:xf xmlns:x="http://schemas.openxmlformats.org/spreadsheetml/2006/main" numFmtId="180" fontId="104" fillId="52" borderId="214" xfId="54" applyNumberFormat="1" applyFont="1" applyFill="1" applyBorder="1" applyAlignment="1">
      <x:alignment vertical="top" wrapText="1"/>
    </x:xf>
    <x:xf xmlns:x="http://schemas.openxmlformats.org/spreadsheetml/2006/main" numFmtId="0" fontId="104" fillId="55" borderId="214" xfId="54" applyNumberFormat="1" applyFont="1" applyFill="1" applyBorder="1" applyAlignment="1">
      <x:alignment vertical="top" wrapText="1"/>
    </x:xf>
    <x:xf xmlns:x="http://schemas.openxmlformats.org/spreadsheetml/2006/main" numFmtId="180" fontId="104" fillId="55" borderId="214" xfId="54" applyNumberFormat="1" applyFont="1" applyFill="1" applyBorder="1" applyAlignment="1">
      <x:alignment vertical="top" wrapText="1"/>
    </x:xf>
    <xf numFmtId="0" fontId="109" fillId="0" borderId="0" xfId="50" applyFont="1" applyBorder="1" applyAlignment="1">
      <alignment horizontal="left" vertical="center" shrinkToFit="1"/>
    </xf>
    <xf numFmtId="0" fontId="110" fillId="6" borderId="11" xfId="0" applyFont="1" applyFill="1" applyBorder="1" applyAlignment="1">
      <alignment vertical="top" wrapText="1"/>
    </xf>
    <x:xf xmlns:x="http://schemas.openxmlformats.org/spreadsheetml/2006/main" numFmtId="0" fontId="111" fillId="56" borderId="215" xfId="55"/>
    <x:xf xmlns:x="http://schemas.openxmlformats.org/spreadsheetml/2006/main" numFmtId="0" fontId="112" fillId="56" borderId="215" xfId="55" applyNumberFormat="1" applyFont="1" applyFill="1" applyBorder="1"/>
    <x:xf xmlns:x="http://schemas.openxmlformats.org/spreadsheetml/2006/main" numFmtId="0" fontId="112" fillId="56" borderId="215" xfId="55" applyNumberFormat="1" applyFont="1" applyFill="1" applyBorder="1" applyAlignment="1">
      <x:alignment wrapText="1"/>
    </x:xf>
    <x:xf xmlns:x="http://schemas.openxmlformats.org/spreadsheetml/2006/main" numFmtId="0" fontId="112" fillId="56" borderId="215" xfId="55" applyNumberFormat="1" applyFont="1" applyFill="1" applyBorder="1" applyAlignment="1">
      <x:alignment vertical="top" wrapText="1"/>
    </x:xf>
    <x:xf xmlns:x="http://schemas.openxmlformats.org/spreadsheetml/2006/main" numFmtId="0" fontId="112" fillId="58" borderId="215" xfId="55" applyNumberFormat="1" applyFont="1" applyFill="1" applyBorder="1" applyAlignment="1">
      <x:alignment vertical="top" wrapText="1"/>
    </x:xf>
    <x:xf xmlns:x="http://schemas.openxmlformats.org/spreadsheetml/2006/main" numFmtId="0" fontId="113" fillId="58" borderId="215" xfId="55" applyNumberFormat="1" applyFont="1" applyFill="1" applyBorder="1" applyAlignment="1">
      <x:alignment vertical="top" wrapText="1"/>
    </x:xf>
    <x:xf xmlns:x="http://schemas.openxmlformats.org/spreadsheetml/2006/main" numFmtId="0" fontId="113" fillId="58" borderId="215" xfId="55" applyNumberFormat="1" applyFont="1" applyFill="1" applyBorder="1" applyAlignment="1">
      <x:alignment vertical="center" wrapText="1"/>
    </x:xf>
    <x:xf xmlns:x="http://schemas.openxmlformats.org/spreadsheetml/2006/main" numFmtId="0" fontId="112" fillId="59" borderId="215" xfId="55" applyNumberFormat="1" applyFont="1" applyFill="1" applyBorder="1" applyAlignment="1">
      <x:alignment vertical="top" wrapText="1"/>
    </x:xf>
    <x:xf xmlns:x="http://schemas.openxmlformats.org/spreadsheetml/2006/main" numFmtId="0" fontId="114" fillId="59" borderId="215" xfId="55" applyNumberFormat="1" applyFont="1" applyFill="1" applyBorder="1" applyAlignment="1">
      <x:alignment vertical="top" wrapText="1"/>
    </x:xf>
    <x:xf xmlns:x="http://schemas.openxmlformats.org/spreadsheetml/2006/main" numFmtId="0" fontId="115" fillId="56" borderId="215" xfId="55" applyNumberFormat="1" applyFont="1" applyFill="1" applyBorder="1" applyAlignment="1">
      <x:alignment vertical="top" wrapText="1"/>
    </x:xf>
    <x:xf xmlns:x="http://schemas.openxmlformats.org/spreadsheetml/2006/main" numFmtId="0" fontId="112" fillId="60" borderId="215" xfId="55" applyNumberFormat="1" applyFont="1" applyFill="1" applyBorder="1" applyAlignment="1">
      <x:alignment vertical="top" wrapText="1"/>
    </x:xf>
    <x:xf xmlns:x="http://schemas.openxmlformats.org/spreadsheetml/2006/main" numFmtId="0" fontId="116" fillId="60" borderId="215" xfId="55" applyNumberFormat="1" applyFont="1" applyFill="1" applyBorder="1" applyAlignment="1">
      <x:alignment vertical="top" wrapText="1"/>
    </x:xf>
    <x:xf xmlns:x="http://schemas.openxmlformats.org/spreadsheetml/2006/main" numFmtId="0" fontId="116" fillId="60" borderId="215" xfId="55" applyNumberFormat="1" applyFont="1" applyFill="1" applyBorder="1" applyAlignment="1">
      <x:alignment vertical="center" wrapText="1"/>
    </x:xf>
    <x:xf xmlns:x="http://schemas.openxmlformats.org/spreadsheetml/2006/main" numFmtId="0" fontId="112" fillId="56" borderId="216" xfId="55" applyNumberFormat="1" applyFont="1" applyFill="1" applyBorder="1" applyAlignment="1">
      <x:alignment vertical="top" wrapText="1"/>
    </x:xf>
    <x:xf xmlns:x="http://schemas.openxmlformats.org/spreadsheetml/2006/main" numFmtId="0" fontId="112" fillId="56" borderId="217" xfId="55" applyNumberFormat="1" applyFont="1" applyFill="1" applyBorder="1" applyAlignment="1">
      <x:alignment vertical="top" wrapText="1"/>
    </x:xf>
    <x:xf xmlns:x="http://schemas.openxmlformats.org/spreadsheetml/2006/main" numFmtId="0" fontId="112" fillId="59" borderId="217" xfId="55" applyNumberFormat="1" applyFont="1" applyFill="1" applyBorder="1" applyAlignment="1">
      <x:alignment vertical="top" wrapText="1"/>
    </x:xf>
    <x:xf xmlns:x="http://schemas.openxmlformats.org/spreadsheetml/2006/main" numFmtId="0" fontId="117" fillId="59" borderId="217" xfId="55" applyNumberFormat="1" applyFont="1" applyFill="1" applyBorder="1" applyAlignment="1">
      <x:alignment vertical="top" wrapText="1"/>
    </x:xf>
    <x:xf xmlns:x="http://schemas.openxmlformats.org/spreadsheetml/2006/main" numFmtId="0" fontId="112" fillId="59" borderId="216" xfId="55" applyNumberFormat="1" applyFont="1" applyFill="1" applyBorder="1" applyAlignment="1">
      <x:alignment vertical="top" wrapText="1"/>
    </x:xf>
    <x:xf xmlns:x="http://schemas.openxmlformats.org/spreadsheetml/2006/main" numFmtId="0" fontId="117" fillId="59" borderId="216" xfId="55" applyNumberFormat="1" applyFont="1" applyFill="1" applyBorder="1" applyAlignment="1">
      <x:alignment vertical="top" wrapText="1"/>
    </x:xf>
    <x:xf xmlns:x="http://schemas.openxmlformats.org/spreadsheetml/2006/main" numFmtId="0" fontId="117" fillId="59" borderId="216" xfId="55" applyNumberFormat="1" applyFont="1" applyFill="1" applyBorder="1" applyAlignment="1">
      <x:alignment horizontal="center" vertical="top" wrapText="1"/>
    </x:xf>
    <xf numFmtId="0" fontId="118" fillId="0" borderId="0" xfId="50" applyFont="1" applyBorder="1" applyAlignment="1">
      <alignment horizontal="left" vertical="center" shrinkToFit="1"/>
    </xf>
    <xf numFmtId="0" fontId="119" fillId="0" borderId="0" xfId="0" applyFont="1" applyProtection="1">
      <protection locked="0"/>
    </xf>
    <xf numFmtId="0" fontId="120" fillId="0" borderId="0" xfId="0" applyFont="1" applyAlignment="1" applyProtection="1">
      <alignment vertical="top" wrapText="1"/>
      <protection locked="0"/>
    </xf>
    <xf numFmtId="0" fontId="121" fillId="0" borderId="0" xfId="0" applyAlignment="1" applyProtection="1" applyFont="1">
      <alignment vertical="top" wrapText="1"/>
      <protection locked="0"/>
    </xf>
    <xf numFmtId="0" fontId="121" fillId="0" borderId="0" xfId="0" applyProtection="1" applyFont="1">
      <protection locked="0"/>
    </xf>
    <xf numFmtId="0" fontId="122" fillId="61" borderId="218" xfId="0" applyFont="1" applyFill="1" applyAlignment="1" applyBorder="1">
      <alignment horizontal="left"/>
    </xf>
    <xf numFmtId="0" fontId="121" fillId="0" borderId="218" xfId="0" applyFont="1" applyBorder="1"/>
    <xf numFmtId="49" fontId="121" fillId="16" borderId="218" xfId="0" applyNumberFormat="1" applyFill="1" applyProtection="1" applyFont="1" applyBorder="1">
      <protection locked="0"/>
    </xf>
    <xf numFmtId="0" fontId="121" fillId="16" borderId="0" xfId="0" applyFill="1" applyProtection="1" applyFont="1">
      <protection locked="0"/>
    </xf>
    <xf numFmtId="0" fontId="121" fillId="16" borderId="218" xfId="0" applyFill="1" applyFont="1" applyBorder="1"/>
    <xf numFmtId="0" fontId="121" fillId="0" borderId="218" xfId="0" applyAlignment="1" applyFont="1" applyBorder="1">
      <alignment wrapText="1"/>
    </xf>
    <xf numFmtId="0" fontId="123" fillId="0" borderId="218" xfId="0" applyFont="1" applyBorder="1"/>
    <xf numFmtId="0" fontId="121" fillId="16" borderId="0" xfId="0" applyFill="1" applyFont="1"/>
    <xf numFmtId="0" fontId="124" fillId="8" borderId="0" xfId="0" applyFont="1" applyFill="1" applyAlignment="1">
      <alignment horizontal="left"/>
    </xf>
    <xf numFmtId="0" fontId="121" fillId="0" borderId="218" xfId="0" applyAlignment="1" applyFont="1" applyBorder="1">
      <alignment horizontal="center"/>
    </xf>
    <xf numFmtId="0" fontId="122" fillId="61" borderId="218" xfId="0" applyFont="1" applyFill="1" applyBorder="1"/>
    <xf numFmtId="0" fontId="125" fillId="61" borderId="218" xfId="0" applyFont="1" applyFill="1" applyBorder="1"/>
    <xf numFmtId="0" fontId="28" fillId="0" borderId="218" xfId="0" applyFont="1" applyBorder="1"/>
    <xf numFmtId="0" fontId="121" fillId="0" borderId="0" xfId="0" applyFont="1"/>
    <xf numFmtId="0" fontId="126" fillId="0" borderId="218" xfId="0" applyFont="1" applyBorder="1"/>
    <xf numFmtId="0" fontId="119" fillId="0" borderId="218" xfId="0" applyFont="1" applyBorder="1"/>
    <xf numFmtId="49" fontId="121" fillId="0" borderId="0" xfId="0" applyNumberFormat="1" applyFont="1"/>
    <xf numFmtId="0" fontId="127" fillId="58" borderId="215" xfId="55" applyNumberFormat="1" applyFont="1" applyFill="1" applyBorder="1" applyAlignment="1">
      <alignment vertical="center" wrapText="1"/>
    </xf>
    <xf numFmtId="0" fontId="128" fillId="56" borderId="215" xfId="55" applyNumberFormat="1" applyFont="1" applyFill="1" applyBorder="1" applyAlignment="1">
      <alignment vertical="top" wrapText="1"/>
    </xf>
    <xf numFmtId="0" fontId="129" fillId="59" borderId="215" xfId="55" applyNumberFormat="1" applyFont="1" applyFill="1" applyBorder="1" applyAlignment="1">
      <alignment vertical="top" wrapText="1"/>
    </xf>
    <xf numFmtId="0" fontId="130" fillId="56" borderId="215" xfId="55" applyNumberFormat="1" applyFont="1" applyFill="1" applyBorder="1" applyAlignment="1">
      <alignment vertical="top" wrapText="1"/>
    </xf>
    <xf numFmtId="0" fontId="131" fillId="60" borderId="215" xfId="55" applyNumberFormat="1" applyFont="1" applyFill="1" applyBorder="1" applyAlignment="1">
      <alignment vertical="center" wrapText="1"/>
    </xf>
    <xf numFmtId="0" fontId="132" fillId="59" borderId="216" xfId="55" applyNumberFormat="1" applyFont="1" applyFill="1" applyBorder="1" applyAlignment="1">
      <alignment horizontal="center" vertical="top" wrapText="1"/>
    </xf>
    <xf numFmtId="0" fontId="132" fillId="59" borderId="217" xfId="55" applyNumberFormat="1" applyFont="1" applyFill="1" applyBorder="1" applyAlignment="1">
      <alignment vertical="top" wrapText="1"/>
    </xf>
    <xf numFmtId="0" fontId="128" fillId="56" borderId="217" xfId="55" applyNumberFormat="1" applyFont="1" applyFill="1" applyBorder="1" applyAlignment="1">
      <alignment vertical="top" wrapText="1"/>
    </xf>
    <xf numFmtId="0" fontId="16" fillId="61" borderId="0" xfId="0" applyFont="1" applyFill="1" applyAlignment="1">
      <alignment vertical="center" indent="1"/>
    </xf>
    <xf numFmtId="0" fontId="133" fillId="0" borderId="0" xfId="50" applyFont="1" applyBorder="1" applyAlignment="1">
      <alignment horizontal="left" vertical="center" shrinkToFit="1"/>
    </xf>
    <xf numFmtId="0" fontId="20" fillId="61" borderId="218" xfId="0" applyFont="1" applyFill="1" applyAlignment="1" applyBorder="1">
      <alignment vertical="center"/>
    </xf>
    <xf numFmtId="0" fontId="134" fillId="11" borderId="218" xfId="0" applyFont="1" applyFill="1" applyBorder="1" applyAlignment="1">
      <alignment vertical="top" wrapText="1"/>
    </xf>
    <xf numFmtId="0" fontId="135" fillId="11" borderId="218" xfId="0" applyFont="1" applyFill="1" applyBorder="1" applyAlignment="1">
      <alignment vertical="top" wrapText="1"/>
    </xf>
    <xf numFmtId="0" fontId="134" fillId="6" borderId="218" xfId="0" applyFont="1" applyFill="1" applyBorder="1" applyAlignment="1">
      <alignment vertical="top" wrapText="1"/>
    </xf>
    <xf numFmtId="0" fontId="135" fillId="6" borderId="218" xfId="0" applyFont="1" applyFill="1" applyBorder="1" applyAlignment="1">
      <alignment vertical="top" wrapText="1"/>
    </xf>
    <xf numFmtId="0" fontId="134" fillId="62" borderId="218" xfId="0" applyFont="1" applyFill="1" applyBorder="1" applyAlignment="1">
      <alignment vertical="top" wrapText="1"/>
    </xf>
    <xf numFmtId="0" fontId="135" fillId="62" borderId="218" xfId="0" applyFont="1" applyFill="1" applyBorder="1" applyAlignment="1">
      <alignment vertical="top" wrapText="1"/>
    </xf>
    <xf numFmtId="0" fontId="136" fillId="6" borderId="218" xfId="0" applyFont="1" applyFill="1" applyBorder="1" applyAlignment="1">
      <alignment vertical="top" wrapText="1"/>
    </xf>
    <xf numFmtId="0" fontId="137" fillId="47" borderId="189" xfId="53" applyNumberFormat="1" applyFont="1" applyFill="1" applyBorder="1"/>
    <xf numFmtId="0" fontId="138" fillId="47" borderId="189" xfId="53" applyNumberFormat="1" applyFont="1" applyFill="1" applyBorder="1" applyAlignment="1">
      <alignment vertical="center" wrapText="1"/>
    </xf>
    <xf numFmtId="0" fontId="137" fillId="47" borderId="189" xfId="53" applyNumberFormat="1" applyFont="1" applyFill="1" applyBorder="1" applyAlignment="1">
      <alignment vertical="center" wrapText="1"/>
    </xf>
    <xf numFmtId="0" fontId="139" fillId="47" borderId="189" xfId="53" applyNumberFormat="1" applyFont="1" applyFill="1" applyBorder="1"/>
    <xf numFmtId="0" fontId="78" fillId="61" borderId="219" xfId="53" applyNumberFormat="1" applyFont="1" applyFill="1" applyBorder="1" applyAlignment="1">
      <alignment horizontal="center" vertical="center"/>
    </xf>
    <xf numFmtId="0" fontId="140" fillId="11" borderId="219" xfId="53" applyNumberFormat="1" applyFont="1" applyFill="1" applyBorder="1" applyAlignment="1">
      <alignment vertical="center" wrapText="1"/>
    </xf>
    <xf numFmtId="0" fontId="137" fillId="47" borderId="219" xfId="53" applyNumberFormat="1" applyFont="1" applyFill="1" applyBorder="1" applyAlignment="1">
      <alignment vertical="top" wrapText="1"/>
    </xf>
    <xf numFmtId="0" fontId="140" fillId="47" borderId="219" xfId="53" applyNumberFormat="1" applyFont="1" applyFill="1" applyBorder="1" applyAlignment="1">
      <alignment vertical="top" wrapText="1"/>
    </xf>
    <xf numFmtId="0" fontId="137" fillId="62" borderId="219" xfId="53" applyNumberFormat="1" applyFont="1" applyFill="1" applyBorder="1" applyAlignment="1">
      <alignment vertical="top" wrapText="1"/>
    </xf>
    <xf numFmtId="0" fontId="140" fillId="62" borderId="219" xfId="53" applyNumberFormat="1" applyFont="1" applyFill="1" applyBorder="1" applyAlignment="1">
      <alignment vertical="top" wrapText="1"/>
    </xf>
    <xf numFmtId="0" fontId="141" fillId="61" borderId="213" xfId="54" applyNumberFormat="1" applyFont="1" applyFill="1" applyBorder="1" applyAlignment="1">
      <alignment vertical="top" wrapText="1"/>
    </xf>
    <xf numFmtId="0" fontId="137" fillId="52" borderId="213" xfId="54" applyNumberFormat="1" applyFont="1" applyFill="1" applyBorder="1" applyAlignment="1">
      <alignment vertical="top" wrapText="1"/>
    </xf>
    <xf numFmtId="0" fontId="108" fillId="61" borderId="219" xfId="54" applyNumberFormat="1" applyFont="1" applyFill="1" applyBorder="1" applyAlignment="1">
      <alignment horizontal="center" vertical="center" wrapText="1"/>
    </xf>
    <xf numFmtId="0" fontId="137" fillId="62" borderId="219" xfId="54" applyNumberFormat="1" applyFont="1" applyFill="1" applyBorder="1" applyAlignment="1">
      <alignment vertical="top" wrapText="1"/>
    </xf>
    <xf numFmtId="180" fontId="137" fillId="62" borderId="219" xfId="54" applyNumberFormat="1" applyFont="1" applyFill="1" applyBorder="1" applyAlignment="1">
      <alignment vertical="top" wrapText="1"/>
    </xf>
    <xf numFmtId="0" fontId="137" fillId="52" borderId="219" xfId="54" applyNumberFormat="1" applyFont="1" applyFill="1" applyBorder="1" applyAlignment="1">
      <alignment vertical="top" wrapText="1"/>
    </xf>
    <xf numFmtId="180" fontId="137" fillId="52" borderId="219" xfId="54" applyNumberFormat="1" applyFont="1" applyFill="1" applyBorder="1" applyAlignment="1">
      <alignment vertical="top" wrapText="1"/>
    </xf>
    <x:xf xmlns:x="http://schemas.openxmlformats.org/spreadsheetml/2006/main" numFmtId="0" fontId="142" fillId="63" borderId="220" xfId="56"/>
    <x:xf xmlns:x="http://schemas.openxmlformats.org/spreadsheetml/2006/main" numFmtId="0" fontId="143" fillId="63" borderId="220" xfId="56" applyNumberFormat="1" applyFont="1" applyFill="1" applyBorder="1"/>
    <x:xf xmlns:x="http://schemas.openxmlformats.org/spreadsheetml/2006/main" numFmtId="0" fontId="143" fillId="63" borderId="220" xfId="56" applyNumberFormat="1" applyFont="1" applyFill="1" applyBorder="1" applyAlignment="1">
      <x:alignment wrapText="1"/>
    </x:xf>
    <x:xf xmlns:x="http://schemas.openxmlformats.org/spreadsheetml/2006/main" numFmtId="0" fontId="143" fillId="63" borderId="220" xfId="56" applyNumberFormat="1" applyFont="1" applyFill="1" applyBorder="1" applyAlignment="1">
      <x:alignment vertical="top" wrapText="1"/>
    </x:xf>
    <x:xf xmlns:x="http://schemas.openxmlformats.org/spreadsheetml/2006/main" numFmtId="0" fontId="143" fillId="65" borderId="220" xfId="56" applyNumberFormat="1" applyFont="1" applyFill="1" applyBorder="1" applyAlignment="1">
      <x:alignment vertical="top" wrapText="1"/>
    </x:xf>
    <x:xf xmlns:x="http://schemas.openxmlformats.org/spreadsheetml/2006/main" numFmtId="0" fontId="144" fillId="65" borderId="220" xfId="56" applyNumberFormat="1" applyFont="1" applyFill="1" applyBorder="1" applyAlignment="1">
      <x:alignment vertical="top" wrapText="1"/>
    </x:xf>
    <x:xf xmlns:x="http://schemas.openxmlformats.org/spreadsheetml/2006/main" numFmtId="0" fontId="144" fillId="65" borderId="220" xfId="56" applyNumberFormat="1" applyFont="1" applyFill="1" applyBorder="1" applyAlignment="1">
      <x:alignment vertical="center" wrapText="1"/>
    </x:xf>
    <x:xf xmlns:x="http://schemas.openxmlformats.org/spreadsheetml/2006/main" numFmtId="0" fontId="143" fillId="66" borderId="220" xfId="56" applyNumberFormat="1" applyFont="1" applyFill="1" applyBorder="1" applyAlignment="1">
      <x:alignment vertical="top" wrapText="1"/>
    </x:xf>
    <x:xf xmlns:x="http://schemas.openxmlformats.org/spreadsheetml/2006/main" numFmtId="0" fontId="145" fillId="66" borderId="220" xfId="56" applyNumberFormat="1" applyFont="1" applyFill="1" applyBorder="1" applyAlignment="1">
      <x:alignment vertical="top" wrapText="1"/>
    </x:xf>
    <x:xf xmlns:x="http://schemas.openxmlformats.org/spreadsheetml/2006/main" numFmtId="0" fontId="146" fillId="63" borderId="220" xfId="56" applyNumberFormat="1" applyFont="1" applyFill="1" applyBorder="1" applyAlignment="1">
      <x:alignment vertical="top" wrapText="1"/>
    </x:xf>
    <x:xf xmlns:x="http://schemas.openxmlformats.org/spreadsheetml/2006/main" numFmtId="0" fontId="143" fillId="67" borderId="220" xfId="56" applyNumberFormat="1" applyFont="1" applyFill="1" applyBorder="1" applyAlignment="1">
      <x:alignment vertical="top" wrapText="1"/>
    </x:xf>
    <x:xf xmlns:x="http://schemas.openxmlformats.org/spreadsheetml/2006/main" numFmtId="0" fontId="147" fillId="67" borderId="220" xfId="56" applyNumberFormat="1" applyFont="1" applyFill="1" applyBorder="1" applyAlignment="1">
      <x:alignment vertical="top" wrapText="1"/>
    </x:xf>
    <x:xf xmlns:x="http://schemas.openxmlformats.org/spreadsheetml/2006/main" numFmtId="0" fontId="147" fillId="67" borderId="220" xfId="56" applyNumberFormat="1" applyFont="1" applyFill="1" applyBorder="1" applyAlignment="1">
      <x:alignment vertical="center" wrapText="1"/>
    </x:xf>
    <x:xf xmlns:x="http://schemas.openxmlformats.org/spreadsheetml/2006/main" numFmtId="0" fontId="143" fillId="63" borderId="221" xfId="56" applyNumberFormat="1" applyFont="1" applyFill="1" applyBorder="1" applyAlignment="1">
      <x:alignment vertical="top" wrapText="1"/>
    </x:xf>
    <x:xf xmlns:x="http://schemas.openxmlformats.org/spreadsheetml/2006/main" numFmtId="0" fontId="143" fillId="63" borderId="222" xfId="56" applyNumberFormat="1" applyFont="1" applyFill="1" applyBorder="1" applyAlignment="1">
      <x:alignment vertical="top" wrapText="1"/>
    </x:xf>
    <x:xf xmlns:x="http://schemas.openxmlformats.org/spreadsheetml/2006/main" numFmtId="0" fontId="143" fillId="66" borderId="222" xfId="56" applyNumberFormat="1" applyFont="1" applyFill="1" applyBorder="1" applyAlignment="1">
      <x:alignment vertical="top" wrapText="1"/>
    </x:xf>
    <x:xf xmlns:x="http://schemas.openxmlformats.org/spreadsheetml/2006/main" numFmtId="0" fontId="148" fillId="66" borderId="222" xfId="56" applyNumberFormat="1" applyFont="1" applyFill="1" applyBorder="1" applyAlignment="1">
      <x:alignment vertical="top" wrapText="1"/>
    </x:xf>
    <x:xf xmlns:x="http://schemas.openxmlformats.org/spreadsheetml/2006/main" numFmtId="0" fontId="143" fillId="66" borderId="221" xfId="56" applyNumberFormat="1" applyFont="1" applyFill="1" applyBorder="1" applyAlignment="1">
      <x:alignment vertical="top" wrapText="1"/>
    </x:xf>
    <x:xf xmlns:x="http://schemas.openxmlformats.org/spreadsheetml/2006/main" numFmtId="0" fontId="148" fillId="66" borderId="221" xfId="56" applyNumberFormat="1" applyFont="1" applyFill="1" applyBorder="1" applyAlignment="1">
      <x:alignment vertical="top" wrapText="1"/>
    </x:xf>
    <x:xf xmlns:x="http://schemas.openxmlformats.org/spreadsheetml/2006/main" numFmtId="0" fontId="148" fillId="66" borderId="221" xfId="56" applyNumberFormat="1" applyFont="1" applyFill="1" applyBorder="1" applyAlignment="1">
      <x:alignment horizontal="center" vertical="top" wrapText="1"/>
    </x:xf>
    <xf numFmtId="0" fontId="127" fillId="65" borderId="220" xfId="56" applyNumberFormat="1" applyFont="1" applyFill="1" applyBorder="1" applyAlignment="1">
      <alignment vertical="center" wrapText="1"/>
    </xf>
    <xf numFmtId="0" fontId="128" fillId="63" borderId="220" xfId="56" applyNumberFormat="1" applyFont="1" applyFill="1" applyBorder="1" applyAlignment="1">
      <alignment vertical="top" wrapText="1"/>
    </xf>
    <xf numFmtId="0" fontId="129" fillId="66" borderId="220" xfId="56" applyNumberFormat="1" applyFont="1" applyFill="1" applyBorder="1" applyAlignment="1">
      <alignment vertical="top" wrapText="1"/>
    </xf>
    <xf numFmtId="0" fontId="130" fillId="63" borderId="220" xfId="56" applyNumberFormat="1" applyFont="1" applyFill="1" applyBorder="1" applyAlignment="1">
      <alignment vertical="top" wrapText="1"/>
    </xf>
    <xf numFmtId="0" fontId="131" fillId="67" borderId="220" xfId="56" applyNumberFormat="1" applyFont="1" applyFill="1" applyBorder="1" applyAlignment="1">
      <alignment vertical="center" wrapText="1"/>
    </xf>
    <xf numFmtId="0" fontId="132" fillId="66" borderId="221" xfId="56" applyNumberFormat="1" applyFont="1" applyFill="1" applyBorder="1" applyAlignment="1">
      <alignment horizontal="center" vertical="top" wrapText="1"/>
    </xf>
    <xf numFmtId="0" fontId="132" fillId="66" borderId="222" xfId="56" applyNumberFormat="1" applyFont="1" applyFill="1" applyBorder="1" applyAlignment="1">
      <alignment vertical="top" wrapText="1"/>
    </xf>
    <xf numFmtId="0" fontId="128" fillId="63" borderId="222" xfId="56" applyNumberFormat="1" applyFont="1" applyFill="1" applyBorder="1" applyAlignment="1">
      <alignment vertical="top" wrapText="1"/>
    </xf>
    <x:xf xmlns:x="http://schemas.openxmlformats.org/spreadsheetml/2006/main" numFmtId="0" fontId="149" fillId="68" borderId="223" xfId="57"/>
    <x:xf xmlns:x="http://schemas.openxmlformats.org/spreadsheetml/2006/main" numFmtId="0" fontId="150" fillId="68" borderId="223" xfId="57" applyNumberFormat="1" applyFont="1" applyFill="1" applyBorder="1"/>
    <x:xf xmlns:x="http://schemas.openxmlformats.org/spreadsheetml/2006/main" numFmtId="0" fontId="150" fillId="68" borderId="223" xfId="57" applyNumberFormat="1" applyFont="1" applyFill="1" applyBorder="1" applyAlignment="1">
      <x:alignment wrapText="1"/>
    </x:xf>
    <x:xf xmlns:x="http://schemas.openxmlformats.org/spreadsheetml/2006/main" numFmtId="0" fontId="150" fillId="68" borderId="223" xfId="57" applyNumberFormat="1" applyFont="1" applyFill="1" applyBorder="1" applyAlignment="1">
      <x:alignment vertical="top" wrapText="1"/>
    </x:xf>
    <x:xf xmlns:x="http://schemas.openxmlformats.org/spreadsheetml/2006/main" numFmtId="0" fontId="150" fillId="70" borderId="223" xfId="57" applyNumberFormat="1" applyFont="1" applyFill="1" applyBorder="1" applyAlignment="1">
      <x:alignment vertical="top" wrapText="1"/>
    </x:xf>
    <x:xf xmlns:x="http://schemas.openxmlformats.org/spreadsheetml/2006/main" numFmtId="0" fontId="151" fillId="70" borderId="223" xfId="57" applyNumberFormat="1" applyFont="1" applyFill="1" applyBorder="1" applyAlignment="1">
      <x:alignment vertical="top" wrapText="1"/>
    </x:xf>
    <x:xf xmlns:x="http://schemas.openxmlformats.org/spreadsheetml/2006/main" numFmtId="0" fontId="151" fillId="70" borderId="223" xfId="57" applyNumberFormat="1" applyFont="1" applyFill="1" applyBorder="1" applyAlignment="1">
      <x:alignment vertical="center" wrapText="1"/>
    </x:xf>
    <x:xf xmlns:x="http://schemas.openxmlformats.org/spreadsheetml/2006/main" numFmtId="0" fontId="150" fillId="71" borderId="223" xfId="57" applyNumberFormat="1" applyFont="1" applyFill="1" applyBorder="1" applyAlignment="1">
      <x:alignment vertical="top" wrapText="1"/>
    </x:xf>
    <x:xf xmlns:x="http://schemas.openxmlformats.org/spreadsheetml/2006/main" numFmtId="0" fontId="152" fillId="71" borderId="223" xfId="57" applyNumberFormat="1" applyFont="1" applyFill="1" applyBorder="1" applyAlignment="1">
      <x:alignment vertical="top" wrapText="1"/>
    </x:xf>
    <x:xf xmlns:x="http://schemas.openxmlformats.org/spreadsheetml/2006/main" numFmtId="0" fontId="153" fillId="68" borderId="223" xfId="57" applyNumberFormat="1" applyFont="1" applyFill="1" applyBorder="1" applyAlignment="1">
      <x:alignment vertical="top" wrapText="1"/>
    </x:xf>
    <x:xf xmlns:x="http://schemas.openxmlformats.org/spreadsheetml/2006/main" numFmtId="0" fontId="150" fillId="72" borderId="223" xfId="57" applyNumberFormat="1" applyFont="1" applyFill="1" applyBorder="1" applyAlignment="1">
      <x:alignment vertical="top" wrapText="1"/>
    </x:xf>
    <x:xf xmlns:x="http://schemas.openxmlformats.org/spreadsheetml/2006/main" numFmtId="0" fontId="154" fillId="72" borderId="223" xfId="57" applyNumberFormat="1" applyFont="1" applyFill="1" applyBorder="1" applyAlignment="1">
      <x:alignment vertical="top" wrapText="1"/>
    </x:xf>
    <x:xf xmlns:x="http://schemas.openxmlformats.org/spreadsheetml/2006/main" numFmtId="0" fontId="154" fillId="72" borderId="223" xfId="57" applyNumberFormat="1" applyFont="1" applyFill="1" applyBorder="1" applyAlignment="1">
      <x:alignment vertical="center" wrapText="1"/>
    </x:xf>
    <x:xf xmlns:x="http://schemas.openxmlformats.org/spreadsheetml/2006/main" numFmtId="0" fontId="150" fillId="68" borderId="224" xfId="57" applyNumberFormat="1" applyFont="1" applyFill="1" applyBorder="1" applyAlignment="1">
      <x:alignment vertical="top" wrapText="1"/>
    </x:xf>
    <x:xf xmlns:x="http://schemas.openxmlformats.org/spreadsheetml/2006/main" numFmtId="0" fontId="150" fillId="68" borderId="225" xfId="57" applyNumberFormat="1" applyFont="1" applyFill="1" applyBorder="1" applyAlignment="1">
      <x:alignment vertical="top" wrapText="1"/>
    </x:xf>
    <x:xf xmlns:x="http://schemas.openxmlformats.org/spreadsheetml/2006/main" numFmtId="0" fontId="150" fillId="71" borderId="225" xfId="57" applyNumberFormat="1" applyFont="1" applyFill="1" applyBorder="1" applyAlignment="1">
      <x:alignment vertical="top" wrapText="1"/>
    </x:xf>
    <x:xf xmlns:x="http://schemas.openxmlformats.org/spreadsheetml/2006/main" numFmtId="0" fontId="155" fillId="71" borderId="225" xfId="57" applyNumberFormat="1" applyFont="1" applyFill="1" applyBorder="1" applyAlignment="1">
      <x:alignment vertical="top" wrapText="1"/>
    </x:xf>
    <x:xf xmlns:x="http://schemas.openxmlformats.org/spreadsheetml/2006/main" numFmtId="0" fontId="150" fillId="71" borderId="224" xfId="57" applyNumberFormat="1" applyFont="1" applyFill="1" applyBorder="1" applyAlignment="1">
      <x:alignment vertical="top" wrapText="1"/>
    </x:xf>
    <x:xf xmlns:x="http://schemas.openxmlformats.org/spreadsheetml/2006/main" numFmtId="0" fontId="155" fillId="71" borderId="224" xfId="57" applyNumberFormat="1" applyFont="1" applyFill="1" applyBorder="1" applyAlignment="1">
      <x:alignment vertical="top" wrapText="1"/>
    </x:xf>
    <x:xf xmlns:x="http://schemas.openxmlformats.org/spreadsheetml/2006/main" numFmtId="0" fontId="155" fillId="71" borderId="224" xfId="57" applyNumberFormat="1" applyFont="1" applyFill="1" applyBorder="1" applyAlignment="1">
      <x:alignment horizontal="center" vertical="top" wrapText="1"/>
    </x:xf>
    <xf numFmtId="0" fontId="127" fillId="70" borderId="223" xfId="57" applyNumberFormat="1" applyFont="1" applyFill="1" applyBorder="1" applyAlignment="1">
      <alignment vertical="center" wrapText="1"/>
    </xf>
    <xf numFmtId="0" fontId="128" fillId="68" borderId="223" xfId="57" applyNumberFormat="1" applyFont="1" applyFill="1" applyBorder="1" applyAlignment="1">
      <alignment vertical="top" wrapText="1"/>
    </xf>
    <xf numFmtId="0" fontId="129" fillId="71" borderId="223" xfId="57" applyNumberFormat="1" applyFont="1" applyFill="1" applyBorder="1" applyAlignment="1">
      <alignment vertical="top" wrapText="1"/>
    </xf>
    <xf numFmtId="0" fontId="130" fillId="68" borderId="223" xfId="57" applyNumberFormat="1" applyFont="1" applyFill="1" applyBorder="1" applyAlignment="1">
      <alignment vertical="top" wrapText="1"/>
    </xf>
    <xf numFmtId="0" fontId="131" fillId="72" borderId="223" xfId="57" applyNumberFormat="1" applyFont="1" applyFill="1" applyBorder="1" applyAlignment="1">
      <alignment vertical="center" wrapText="1"/>
    </xf>
    <xf numFmtId="0" fontId="132" fillId="71" borderId="224" xfId="57" applyNumberFormat="1" applyFont="1" applyFill="1" applyBorder="1" applyAlignment="1">
      <alignment horizontal="center" vertical="top" wrapText="1"/>
    </xf>
    <xf numFmtId="0" fontId="132" fillId="71" borderId="225" xfId="57" applyNumberFormat="1" applyFont="1" applyFill="1" applyBorder="1" applyAlignment="1">
      <alignment vertical="top" wrapText="1"/>
    </xf>
    <xf numFmtId="0" fontId="128" fillId="68" borderId="225" xfId="57" applyNumberFormat="1" applyFont="1" applyFill="1" applyBorder="1" applyAlignment="1">
      <alignment vertical="top" wrapText="1"/>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块标题" xfId="50"/>
    <cellStyle name="块副标题" xfId="51"/>
    <cellStyle name="外边框" xfId="52"/>
  </cellStyles>
  <dxfs count="21">
    <dxf>
      <font>
        <color theme="0"/>
      </font>
      <fill>
        <patternFill patternType="solid">
          <bgColor theme="0"/>
        </patternFill>
      </fill>
      <border>
        <right style="thin">
          <color theme="0"/>
        </right>
        <bottom style="thin">
          <color theme="0"/>
        </bottom>
      </border>
    </dxf>
    <dxf>
      <font>
        <color rgb="FFFF0000"/>
      </font>
      <fill>
        <patternFill patternType="solid">
          <bgColor rgb="FFFF0000"/>
        </patternFill>
      </fill>
    </dxf>
    <dxf>
      <font>
        <color theme="0"/>
      </font>
      <fill>
        <patternFill patternType="solid">
          <bgColor theme="0"/>
        </patternFill>
      </fill>
      <border>
        <left style="thin">
          <color theme="0"/>
        </left>
        <right style="thin">
          <color theme="0"/>
        </right>
        <bottom style="thin">
          <color theme="0"/>
        </bottom>
      </border>
    </dxf>
    <dxf>
      <font>
        <b val="0"/>
        <i val="1"/>
        <color rgb="FFFF0000"/>
      </font>
    </dxf>
    <dxf>
      <fill>
        <patternFill patternType="solid">
          <bgColor rgb="FFE8EDF8"/>
        </patternFill>
      </fill>
    </dxf>
    <dxf>
      <font>
        <b val="0"/>
        <i val="1"/>
      </font>
      <fill>
        <patternFill patternType="solid">
          <bgColor rgb="FFFFB9B9"/>
        </patternFill>
      </fill>
    </dxf>
    <dxf>
      <font>
        <b val="0"/>
        <i val="1"/>
      </font>
      <fill>
        <patternFill patternType="solid">
          <bgColor rgb="FFFFFFBD"/>
        </patternFill>
      </fill>
    </dxf>
    <dxf>
      <font>
        <color theme="0" tint="-0.249946592608417"/>
      </font>
      <fill>
        <patternFill patternType="solid">
          <bgColor theme="0"/>
        </patternFill>
      </fill>
    </dxf>
    <dxf>
      <fill>
        <patternFill patternType="solid">
          <bgColor rgb="FFFF7D7D"/>
        </patternFill>
      </fill>
    </dxf>
    <dxf>
      <font>
        <color theme="0" tint="-0.499984740745262"/>
      </font>
    </dxf>
    <dxf>
      <font>
        <sz val="11"/>
        <color rgb="FF9C0006"/>
      </font>
      <fill>
        <patternFill patternType="solid">
          <bgColor rgb="FFFFC7CE"/>
        </patternFill>
      </fill>
    </dxf>
    <dxf>
      <font>
        <color theme="0" tint="-0.249946592608417"/>
      </font>
    </dxf>
    <dxf>
      <font>
        <color theme="0" tint="-0.249977111117893"/>
      </font>
    </dxf>
    <dxf>
      <font>
        <color theme="0" tint="-0.249946592608417"/>
      </font>
    </dxf>
    <dxf>
      <font>
        <color theme="0"/>
      </font>
      <fill>
        <patternFill patternType="solid">
          <bgColor theme="0"/>
        </patternFill>
      </fill>
      <border>
        <left style="thin">
          <color theme="0"/>
        </left>
        <right style="thin">
          <color theme="0"/>
        </right>
        <bottom style="thin">
          <color theme="0"/>
        </bottom>
      </border>
    </dxf>
    <dxf>
      <font>
        <color theme="0"/>
      </font>
      <fill>
        <patternFill patternType="solid">
          <bgColor theme="0"/>
        </patternFill>
      </fill>
      <border>
        <left style="thin">
          <color theme="0"/>
        </left>
        <right style="thin">
          <color theme="0"/>
        </right>
        <bottom style="thin">
          <color theme="0"/>
        </bottom>
      </border>
    </dxf>
    <dxf>
      <font>
        <color theme="0"/>
      </font>
      <fill>
        <patternFill patternType="solid">
          <bgColor theme="0"/>
        </patternFill>
      </fill>
      <border>
        <left style="thin">
          <color theme="0"/>
        </left>
        <right style="thin">
          <color theme="0"/>
        </right>
        <bottom style="thin">
          <color theme="0"/>
        </bottom>
      </border>
    </dxf>
    <dxf>
      <font>
        <color theme="0"/>
      </font>
      <fill>
        <patternFill patternType="solid">
          <bgColor theme="0"/>
        </patternFill>
      </fill>
      <border>
        <left style="thin">
          <color theme="0"/>
        </left>
        <right style="thin">
          <color theme="0"/>
        </right>
        <bottom style="thin">
          <color theme="0"/>
        </bottom>
      </border>
    </dxf>
    <dxf>
      <font>
        <color theme="0"/>
      </font>
      <fill>
        <patternFill patternType="solid">
          <bgColor theme="0"/>
        </patternFill>
      </fill>
      <border>
        <left style="thin">
          <color theme="0"/>
        </left>
        <right style="thin">
          <color theme="0"/>
        </right>
        <bottom style="thin">
          <color theme="0"/>
        </bottom>
      </border>
    </dxf>
    <dxf>
      <font>
        <color theme="4" tint="0.799890133365886"/>
      </font>
    </dxf>
    <dxf>
      <font>
        <color rgb="FFFFFFFF"/>
      </font>
      <numFmt numFmtId="5000" formatCode=";;;"/>
      <fill>
        <patternFill patternType="solid">
          <fgColor rgb="FFFFFFFF"/>
          <bgColor rgb="FFFFFFFF"/>
        </patternFill>
      </fill>
    </dxf>
  </dxfs>
  <tableStyles count="1" defaultTableStyle="TableStyleMedium2" defaultPivotStyle="PivotStyleLight16">
    <tableStyle name="基本相间" pivot="0" count="1" xr9:uid="{262D9AF2-75F3-4A26-8B68-41AE5760129F}">
      <tableStyleElement type="secondRowStripe" dxfId="19"/>
    </tableStyle>
  </tableStyles>
  <colors>
    <mruColors>
      <color rgb="00B4C6E7"/>
      <color rgb="00E8EDF8"/>
      <color rgb="00FF7D7D"/>
      <color rgb="00FFB9B9"/>
      <color rgb="00FFFFBD"/>
      <color rgb="00FFFF7D"/>
      <color rgb="00FF8B8B"/>
      <color rgb="00F6F8FC"/>
      <color rgb="00F0F3FA"/>
    </mruColors>
  </colors>
  <extLst>
    <ext xmlns:x14="http://schemas.microsoft.com/office/spreadsheetml/2009/9/main" uri="{EB79DEF2-80B8-43e5-95BD-54CBDDF9020C}">
      <x14:slicerStyles defaultSlicerStyle="SlicerStyleLight1"/>
    </ext>
  </extLst>
</styleSheet>
</file>

<file path=xl/_rels/workbook.xml.rels><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 Id="rIdV15Ref0" Type="http://schemas.openxmlformats.org/officeDocument/2006/relationships/worksheet" Target="worksheets/sheet13.xml"/><Relationship Id="rIdV15Ref1" Type="http://schemas.openxmlformats.org/officeDocument/2006/relationships/worksheet" Target="worksheets/sheet14.xml"/><Relationship Id="rIdV16Memo" Type="http://schemas.openxmlformats.org/officeDocument/2006/relationships/worksheet" Target="worksheets/sheet15.xml"/></Relationships>
</file>

<file path=xl/tables/table1.xml><?xml version="1.0" encoding="utf-8"?>
<table xmlns="http://schemas.openxmlformats.org/spreadsheetml/2006/main" id="11" name="表11" displayName="表11" ref="A1:A11" totalsRowShown="0">
  <tableColumns count="1">
    <tableColumn id="1" name="艺术" dataDxfId="14"/>
  </tableColumns>
  <tableStyleInfo name="TableStyleMedium2" showFirstColumn="0" showLastColumn="0" showRowStripes="1" showColumnStripes="0"/>
</table>
</file>

<file path=xl/tables/table2.xml><?xml version="1.0" encoding="utf-8"?>
<table xmlns="http://schemas.openxmlformats.org/spreadsheetml/2006/main" id="12" name="表12" displayName="表12" ref="C1:C13" totalsRowShown="0">
  <tableColumns count="1">
    <tableColumn id="1" name="工艺" dataDxfId="15"/>
  </tableColumns>
  <tableStyleInfo name="TableStyleMedium3" showFirstColumn="0" showLastColumn="0" showRowStripes="1" showColumnStripes="0"/>
</table>
</file>

<file path=xl/tables/table3.xml><?xml version="1.0" encoding="utf-8"?>
<table xmlns="http://schemas.openxmlformats.org/spreadsheetml/2006/main" id="13" name="表13" displayName="表13" ref="E1:E4" totalsRowShown="0">
  <tableColumns count="1">
    <tableColumn id="1" name="军事科学" dataDxfId="16"/>
  </tableColumns>
  <tableStyleInfo name="TableStyleMedium2" showFirstColumn="0" showLastColumn="0" showRowStripes="1" showColumnStripes="0"/>
</table>
</file>

<file path=xl/tables/table4.xml><?xml version="1.0" encoding="utf-8"?>
<table xmlns="http://schemas.openxmlformats.org/spreadsheetml/2006/main" id="14" name="表14" displayName="表14" ref="G1:G9" totalsRowShown="0">
  <tableColumns count="1">
    <tableColumn id="1" name="特种载具" dataDxfId="17"/>
  </tableColumns>
  <tableStyleInfo name="TableStyleMedium3" showFirstColumn="0" showLastColumn="0" showRowStripes="1" showColumnStripes="0"/>
</table>
</file>

<file path=xl/tables/table5.xml><?xml version="1.0" encoding="utf-8"?>
<table xmlns="http://schemas.openxmlformats.org/spreadsheetml/2006/main" id="15" name="表15" displayName="表15" ref="I1:I27" totalsRowShown="0">
  <tableColumns count="1">
    <tableColumn id="1" name="科学" dataDxfId="18"/>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Id="rId3" Type="http://schemas.openxmlformats.org/officeDocument/2006/relationships/vmlDrawing" Target="../drawings/vmlDrawing1.vml"/><Relationship Id="rId1" Type="http://schemas.openxmlformats.org/officeDocument/2006/relationships/comments" Target="../comments1.xml"/><Relationship Id="rIdV16Link4" Type="http://schemas.openxmlformats.org/officeDocument/2006/relationships/hyperlink" Target="https://greenbox.thebackstop.app/" TargetMode="External"/></Relationships>
</file>

<file path=xl/worksheets/_rels/sheet5.xml.rels><?xml version="1.0" encoding="UTF-8" standalone="yes"?>
<Relationships xmlns="http://schemas.openxmlformats.org/package/2006/relationships"><Relationship Id="rId5" Type="http://schemas.openxmlformats.org/officeDocument/2006/relationships/table" Target="../tables/table5.xml"/><Relationship Id="rId4" Type="http://schemas.openxmlformats.org/officeDocument/2006/relationships/table" Target="../tables/table4.xml"/><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History1" Type="http://schemas.openxmlformats.org/officeDocument/2006/relationships/hyperlink" Target="mailto:dkwings@gmail.com" TargetMode="External"/><Relationship Id="rIdHistory2" Type="http://schemas.openxmlformats.org/officeDocument/2006/relationships/hyperlink" Target="https://github.com/Shylosia/DeltaGreen" TargetMode="External"/><Relationship Id="rIdHistory4" Type="http://schemas.openxmlformats.org/officeDocument/2006/relationships/hyperlink" Target="https://greenbox.thebackstop.app/" TargetMode="External"/></Relationships>
</file>

<file path=xl/worksheets/_rels/sheet11.xml.rels><Relationships xmlns="http://schemas.openxmlformats.org/package/2006/relationships"><Relationship Id="rIdV16Link15" Type="http://schemas.openxmlformats.org/officeDocument/2006/relationships/hyperlink" Target="https://greenbox.thebackstop.app/" TargetMode="External"/></Relationships>
</file>

<file path=xl/worksheets/_rels/sheet15.xml.rels><Relationships xmlns="http://schemas.openxmlformats.org/package/2006/relationships"><Relationship Id="rIdV16Link3" Type="http://schemas.openxmlformats.org/officeDocument/2006/relationships/hyperlink" Target="https://greenbox.thebackstop.app/"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B4C6E7"/>
  </sheetPr>
  <dimension ref="A1:EZ72"/>
  <sheetViews>
    <sheetView tabSelected="1" topLeftCell="R1" workbookViewId="0">
      <selection activeCell="BN17" sqref="BN17:CX26"/>
    </sheetView>
  </sheetViews>
  <sheetFormatPr defaultColWidth="1.6" defaultRowHeight="14.1" customHeight="1"/>
  <cols>
    <col min="1" max="1" width="1.06666666666667" style="77" customWidth="1"/>
    <col min="2" max="59" width="1.6" style="78"/>
    <col min="60" max="60" width="1.06666666666667" style="78" customWidth="1"/>
    <col min="61" max="102" width="1.6" style="78"/>
    <col min="103" max="103" width="1.2" style="78" customWidth="1"/>
    <col min="104" max="104" width="2" style="78" customWidth="1"/>
    <col min="105" max="137" width="1.6" style="78"/>
    <col min="138" max="138" width="1.2" style="78" customWidth="1"/>
    <col min="139" max="160" width="1.6" style="78"/>
    <col min="161" max="16384" width="4.21666666666667" style="78"/>
  </cols>
  <sheetData>
    <row r="1" s="76" customFormat="1" ht="4.9" customHeight="1" spans="1:156">
      <c r="A1" s="79"/>
      <c r="B1" s="80"/>
      <c r="C1" s="80"/>
      <c r="D1" s="80"/>
      <c r="E1" s="80"/>
      <c r="F1" s="80"/>
      <c r="G1" s="80"/>
      <c r="H1" s="80"/>
      <c r="I1" s="80"/>
      <c r="J1" s="80"/>
      <c r="K1" s="80"/>
      <c r="L1" s="80"/>
      <c r="M1" s="80"/>
      <c r="N1" s="80"/>
      <c r="O1" s="80"/>
      <c r="P1" s="80"/>
      <c r="Q1" s="80"/>
      <c r="R1" s="80"/>
      <c r="S1" s="80"/>
      <c r="T1" s="80"/>
      <c r="U1" s="80"/>
      <c r="V1" s="80"/>
      <c r="W1" s="80"/>
      <c r="X1" s="80"/>
      <c r="Y1" s="80"/>
      <c r="Z1" s="80"/>
      <c r="AB1" s="81"/>
      <c r="AC1" s="81"/>
      <c r="AD1" s="81"/>
      <c r="AE1" s="81"/>
      <c r="AF1" s="81"/>
      <c r="AG1" s="81"/>
      <c r="AH1" s="81"/>
      <c r="AI1" s="81"/>
      <c r="AJ1" s="81"/>
      <c r="AK1" s="81"/>
      <c r="AL1" s="81"/>
      <c r="AM1" s="81"/>
      <c r="AN1" s="81"/>
      <c r="AO1" s="81"/>
      <c r="AP1" s="81"/>
      <c r="AQ1" s="82"/>
      <c r="AR1" s="83"/>
      <c r="AS1" s="83"/>
      <c r="AT1" s="83"/>
      <c r="AU1" s="83"/>
      <c r="AV1" s="83"/>
      <c r="AW1" s="83"/>
      <c r="AX1" s="83"/>
      <c r="AY1" s="83"/>
      <c r="AZ1" s="83"/>
      <c r="BA1" s="83"/>
      <c r="BB1" s="83"/>
      <c r="BC1" s="83"/>
      <c r="BD1" s="83"/>
      <c r="BE1" s="83"/>
      <c r="BF1" s="83"/>
      <c r="BG1" s="84"/>
      <c r="BH1" s="78"/>
      <c r="BI1" s="85"/>
      <c r="BJ1" s="80"/>
      <c r="BK1" s="80"/>
      <c r="BL1" s="80"/>
      <c r="BM1" s="80"/>
      <c r="BN1" s="80"/>
      <c r="BO1" s="80"/>
      <c r="BP1" s="80"/>
      <c r="BQ1" s="80"/>
      <c r="BR1" s="80"/>
      <c r="BS1" s="80"/>
      <c r="BT1" s="80"/>
      <c r="BU1" s="80"/>
      <c r="BV1" s="80"/>
      <c r="BW1" s="80"/>
      <c r="BX1" s="80"/>
      <c r="BY1" s="80"/>
      <c r="BZ1" s="80"/>
      <c r="CA1" s="80"/>
      <c r="CB1" s="80"/>
      <c r="CC1" s="80"/>
      <c r="CD1" s="80"/>
      <c r="CE1" s="80"/>
      <c r="CF1" s="80"/>
      <c r="CG1" s="80"/>
      <c r="CH1" s="80"/>
      <c r="CI1" s="80"/>
      <c r="CJ1" s="80"/>
      <c r="CK1" s="80"/>
      <c r="CL1" s="80"/>
      <c r="CM1" s="80"/>
      <c r="CN1" s="80"/>
      <c r="CO1" s="80"/>
      <c r="CP1" s="80"/>
      <c r="CQ1" s="80"/>
      <c r="CR1" s="80"/>
      <c r="CS1" s="80"/>
      <c r="CT1" s="80"/>
      <c r="CU1" s="80"/>
      <c r="CV1" s="80"/>
      <c r="CW1" s="80"/>
      <c r="CX1" s="80"/>
      <c r="CZ1" s="86" t="s">
        <v>0</v>
      </c>
      <c r="DA1" s="87"/>
      <c r="DB1" s="88"/>
      <c r="DC1" s="89"/>
      <c r="DD1" s="90"/>
      <c r="DE1" s="90"/>
      <c r="DF1" s="90"/>
      <c r="DG1" s="90"/>
      <c r="DH1" s="90"/>
      <c r="DI1" s="90"/>
      <c r="DJ1" s="90"/>
      <c r="DK1" s="90"/>
      <c r="DL1" s="90"/>
      <c r="DM1" s="90"/>
      <c r="DN1" s="90"/>
      <c r="DO1" s="90"/>
      <c r="DP1" s="90"/>
      <c r="DQ1" s="90"/>
      <c r="DR1" s="90"/>
      <c r="DS1" s="90"/>
      <c r="DT1" s="90"/>
      <c r="DU1" s="90"/>
      <c r="DV1" s="90"/>
      <c r="DW1" s="90"/>
      <c r="DX1" s="90"/>
      <c r="DY1" s="90"/>
      <c r="DZ1" s="90"/>
      <c r="EA1" s="90"/>
      <c r="EB1" s="90"/>
      <c r="EC1" s="90"/>
      <c r="ED1" s="90"/>
      <c r="EE1" s="90"/>
      <c r="EF1" s="90"/>
      <c r="EG1" s="91"/>
      <c r="EH1" s="80"/>
      <c r="EI1" s="80"/>
      <c r="EJ1" s="80"/>
      <c r="EK1" s="80"/>
      <c r="EL1" s="80"/>
      <c r="EM1" s="80"/>
      <c r="EN1" s="80"/>
      <c r="EO1" s="80"/>
      <c r="EP1" s="80"/>
      <c r="EQ1" s="80"/>
      <c r="ER1" s="80"/>
      <c r="ES1" s="80"/>
      <c r="ET1" s="80"/>
      <c r="EU1" s="80"/>
      <c r="EV1" s="80"/>
      <c r="EW1" s="80"/>
      <c r="EX1" s="80"/>
      <c r="EY1" s="80"/>
    </row>
    <row r="2" customHeight="1" spans="1:156">
      <c r="A2" s="92"/>
      <c r="B2" s="93" t="inlineStr">
        <is>
          <t>※ 特工信息　v1.8</t>
        </is>
      </c>
      <c r="C2" s="94"/>
      <c r="D2" s="94"/>
      <c r="E2" s="94"/>
      <c r="F2" s="94"/>
      <c r="G2" s="94"/>
      <c r="H2" s="94"/>
      <c r="I2" s="94"/>
      <c r="J2" s="94"/>
      <c r="K2" s="94"/>
      <c r="L2" s="94"/>
      <c r="M2" s="94"/>
      <c r="N2" s="94"/>
      <c r="O2" s="94"/>
      <c r="P2" s="94"/>
      <c r="Q2" s="94"/>
      <c r="R2" s="94"/>
      <c r="S2" s="94"/>
      <c r="T2" s="94"/>
      <c r="U2" s="94"/>
      <c r="V2" s="94"/>
      <c r="W2" s="94"/>
      <c r="X2" s="94"/>
      <c r="Y2" s="94"/>
      <c r="Z2" s="95"/>
      <c r="AA2" s="92"/>
      <c r="AB2" s="93" t="s">
        <v>1</v>
      </c>
      <c r="AC2" s="94"/>
      <c r="AD2" s="94"/>
      <c r="AE2" s="94"/>
      <c r="AF2" s="94"/>
      <c r="AG2" s="94"/>
      <c r="AH2" s="96" t="s">
        <v>2</v>
      </c>
      <c r="AI2" s="96"/>
      <c r="AJ2" s="96"/>
      <c r="AK2" s="96" t="s">
        <v>3</v>
      </c>
      <c r="AL2" s="96"/>
      <c r="AM2" s="96"/>
      <c r="AN2" s="96" t="s">
        <v>4</v>
      </c>
      <c r="AO2" s="96"/>
      <c r="AP2" s="96"/>
      <c r="AQ2" s="96" t="s">
        <v>5</v>
      </c>
      <c r="AR2" s="96"/>
      <c r="AS2" s="96"/>
      <c r="AT2" s="96"/>
      <c r="AU2" s="96"/>
      <c r="AV2" s="96"/>
      <c r="AW2" s="96"/>
      <c r="AX2" s="96"/>
      <c r="AY2" s="96"/>
      <c r="AZ2" s="96"/>
      <c r="BA2" s="96"/>
      <c r="BB2" s="96"/>
      <c r="BC2" s="96"/>
      <c r="BD2" s="96"/>
      <c r="BE2" s="96"/>
      <c r="BF2" s="96"/>
      <c r="BG2" s="97"/>
      <c r="BH2" s="98"/>
      <c r="BI2" s="99" t="s">
        <v>6</v>
      </c>
      <c r="BJ2" s="100"/>
      <c r="BK2" s="100"/>
      <c r="BL2" s="100"/>
      <c r="BM2" s="100"/>
      <c r="BN2" s="100"/>
      <c r="BO2" s="100"/>
      <c r="BP2" s="100"/>
      <c r="BQ2" s="100"/>
      <c r="BR2" s="100"/>
      <c r="BS2" s="100"/>
      <c r="BT2" s="100"/>
      <c r="BU2" s="100"/>
      <c r="BV2" s="101"/>
      <c r="BW2" s="98"/>
      <c r="BX2" s="94" t="s">
        <v>7</v>
      </c>
      <c r="BY2" s="94"/>
      <c r="BZ2" s="94"/>
      <c r="CA2" s="94"/>
      <c r="CB2" s="94"/>
      <c r="CC2" s="94"/>
      <c r="CD2" s="94"/>
      <c r="CE2" s="94"/>
      <c r="CF2" s="94"/>
      <c r="CG2" s="94"/>
      <c r="CH2" s="94"/>
      <c r="CI2" s="94"/>
      <c r="CJ2" s="94"/>
      <c r="CK2" s="94"/>
      <c r="CL2" s="94"/>
      <c r="CM2" s="94"/>
      <c r="CN2" s="94"/>
      <c r="CO2" s="95"/>
      <c r="CP2" s="102" t="s">
        <v>8</v>
      </c>
      <c r="CQ2" s="102"/>
      <c r="CR2" s="102"/>
      <c r="CS2" s="102"/>
      <c r="CT2" s="102"/>
      <c r="CU2" s="102"/>
      <c r="CV2" s="102"/>
      <c r="CW2" s="102"/>
      <c r="CX2" s="103"/>
      <c r="CY2" s="92"/>
      <c r="CZ2" s="104" t="s">
        <v>9</v>
      </c>
      <c r="DA2" s="105"/>
      <c r="DB2" s="105"/>
      <c r="DC2" s="105"/>
      <c r="DD2" s="105"/>
      <c r="DE2" s="105"/>
      <c r="DF2" s="105"/>
      <c r="DG2" s="105"/>
      <c r="DH2" s="105"/>
      <c r="DI2" s="105"/>
      <c r="DJ2" s="105"/>
      <c r="DK2" s="105"/>
      <c r="DL2" s="105"/>
      <c r="DM2" s="105"/>
      <c r="DN2" s="105"/>
      <c r="DO2" s="105"/>
      <c r="DP2" s="105"/>
      <c r="DQ2" s="105"/>
      <c r="DR2" s="105"/>
      <c r="DS2" s="105"/>
      <c r="DT2" s="105"/>
      <c r="DU2" s="105"/>
      <c r="DV2" s="105"/>
      <c r="DW2" s="105"/>
      <c r="DX2" s="105"/>
      <c r="DY2" s="105"/>
      <c r="DZ2" s="105"/>
      <c r="EA2" s="105"/>
      <c r="EB2" s="105"/>
      <c r="EC2" s="105"/>
      <c r="ED2" s="105"/>
      <c r="EE2" s="105"/>
      <c r="EF2" s="105"/>
      <c r="EG2" s="105"/>
      <c r="EH2" s="105"/>
      <c r="EI2" s="105"/>
      <c r="EJ2" s="105"/>
      <c r="EK2" s="105"/>
      <c r="EL2" s="105"/>
      <c r="EM2" s="105"/>
      <c r="EN2" s="105"/>
      <c r="EO2" s="105"/>
      <c r="EP2" s="105"/>
      <c r="EQ2" s="105"/>
      <c r="ER2" s="105"/>
      <c r="ES2" s="105"/>
      <c r="ET2" s="105"/>
      <c r="EU2" s="105"/>
      <c r="EV2" s="105"/>
      <c r="EW2" s="105"/>
      <c r="EX2" s="105"/>
      <c r="EY2" s="106"/>
    </row>
    <row r="3" customHeight="1" spans="1:156">
      <c r="A3" s="92"/>
      <c r="B3" s="107" t="s">
        <v>10</v>
      </c>
      <c r="C3" s="108"/>
      <c r="D3" s="108"/>
      <c r="E3" s="109"/>
      <c r="F3" s="109"/>
      <c r="G3" s="109"/>
      <c r="H3" s="109"/>
      <c r="I3" s="109"/>
      <c r="J3" s="109"/>
      <c r="K3" s="109"/>
      <c r="L3" s="109"/>
      <c r="M3" s="109"/>
      <c r="N3" s="109"/>
      <c r="O3" s="109"/>
      <c r="P3" s="109"/>
      <c r="Q3" s="109"/>
      <c r="R3" s="109"/>
      <c r="S3" s="109"/>
      <c r="T3" s="109"/>
      <c r="U3" s="109"/>
      <c r="V3" s="109"/>
      <c r="W3" s="109"/>
      <c r="X3" s="109"/>
      <c r="Y3" s="109"/>
      <c r="Z3" s="110"/>
      <c r="AA3" s="92"/>
      <c r="AB3" s="107" t="s">
        <v>11</v>
      </c>
      <c r="AC3" s="108"/>
      <c r="AD3" s="111"/>
      <c r="AE3" s="112" t="s">
        <v>12</v>
      </c>
      <c r="AF3" s="113"/>
      <c r="AG3" s="113"/>
      <c r="AH3" s="114"/>
      <c r="AI3" s="114"/>
      <c r="AJ3" s="114"/>
      <c r="AK3" s="115">
        <f>附表!B2*5</f>
        <v>0</v>
      </c>
      <c r="AL3" s="115"/>
      <c r="AM3" s="115"/>
      <c r="AN3" s="114"/>
      <c r="AO3" s="114"/>
      <c r="AP3" s="114"/>
      <c r="AQ3" s="116"/>
      <c r="AR3" s="117"/>
      <c r="AS3" s="117"/>
      <c r="AT3" s="117"/>
      <c r="AU3" s="117"/>
      <c r="AV3" s="117"/>
      <c r="AW3" s="117"/>
      <c r="AX3" s="117"/>
      <c r="AY3" s="117"/>
      <c r="AZ3" s="117"/>
      <c r="BA3" s="117"/>
      <c r="BB3" s="117"/>
      <c r="BC3" s="117"/>
      <c r="BD3" s="117"/>
      <c r="BE3" s="117"/>
      <c r="BF3" s="117"/>
      <c r="BG3" s="118"/>
      <c r="BH3" s="98"/>
      <c r="BI3" s="119"/>
      <c r="BJ3" s="120"/>
      <c r="BK3" s="120"/>
      <c r="BL3" s="120"/>
      <c r="BM3" s="120"/>
      <c r="BN3" s="120"/>
      <c r="BO3" s="120"/>
      <c r="BP3" s="120"/>
      <c r="BQ3" s="120"/>
      <c r="BR3" s="120"/>
      <c r="BS3" s="120"/>
      <c r="BT3" s="120"/>
      <c r="BU3" s="120"/>
      <c r="BV3" s="121"/>
      <c r="BW3" s="98"/>
      <c r="BX3" s="122"/>
      <c r="BY3" s="123"/>
      <c r="BZ3" s="123"/>
      <c r="CA3" s="123"/>
      <c r="CB3" s="123"/>
      <c r="CC3" s="123"/>
      <c r="CD3" s="123"/>
      <c r="CE3" s="123"/>
      <c r="CF3" s="123"/>
      <c r="CG3" s="123"/>
      <c r="CH3" s="123"/>
      <c r="CI3" s="123"/>
      <c r="CJ3" s="123"/>
      <c r="CK3" s="123"/>
      <c r="CL3" s="123"/>
      <c r="CM3" s="123"/>
      <c r="CN3" s="123"/>
      <c r="CO3" s="123"/>
      <c r="CP3" s="124"/>
      <c r="CQ3" s="124"/>
      <c r="CR3" s="124"/>
      <c r="CS3" s="124"/>
      <c r="CT3" s="124"/>
      <c r="CU3" s="124"/>
      <c r="CV3" s="124"/>
      <c r="CW3" s="124"/>
      <c r="CX3" s="125"/>
      <c r="CY3" s="92"/>
      <c r="CZ3" s="126"/>
      <c r="DA3" s="127"/>
      <c r="DB3" s="127"/>
      <c r="DC3" s="127"/>
      <c r="DD3" s="127"/>
      <c r="DE3" s="127"/>
      <c r="DF3" s="127"/>
      <c r="DG3" s="127"/>
      <c r="DH3" s="127"/>
      <c r="DI3" s="127"/>
      <c r="DJ3" s="127"/>
      <c r="DK3" s="127"/>
      <c r="DL3" s="127"/>
      <c r="DM3" s="127"/>
      <c r="DN3" s="127"/>
      <c r="DO3" s="127"/>
      <c r="DP3" s="127"/>
      <c r="DQ3" s="127"/>
      <c r="DR3" s="128"/>
      <c r="DS3" s="129"/>
      <c r="DT3" s="129"/>
      <c r="DU3" s="129"/>
      <c r="DV3" s="129"/>
      <c r="DW3" s="129"/>
      <c r="DX3" s="129"/>
      <c r="DY3" s="129"/>
      <c r="DZ3" s="129"/>
      <c r="EA3" s="129"/>
      <c r="EB3" s="129"/>
      <c r="EC3" s="129"/>
      <c r="ED3" s="129"/>
      <c r="EE3" s="129"/>
      <c r="EF3" s="129"/>
      <c r="EG3" s="129"/>
      <c r="EH3" s="129"/>
      <c r="EI3" s="128"/>
      <c r="EJ3" s="129"/>
      <c r="EK3" s="129"/>
      <c r="EL3" s="129"/>
      <c r="EM3" s="129"/>
      <c r="EN3" s="129"/>
      <c r="EO3" s="129"/>
      <c r="EP3" s="129"/>
      <c r="EQ3" s="129"/>
      <c r="ER3" s="129"/>
      <c r="ES3" s="129"/>
      <c r="ET3" s="129"/>
      <c r="EU3" s="129"/>
      <c r="EV3" s="129"/>
      <c r="EW3" s="129"/>
      <c r="EX3" s="129"/>
      <c r="EY3" s="130"/>
      <c r="EZ3" s="77"/>
    </row>
    <row r="4" customHeight="1" spans="1:156">
      <c r="A4" s="92"/>
      <c r="B4" s="131" t="s">
        <v>13</v>
      </c>
      <c r="C4" s="132"/>
      <c r="D4" s="132"/>
      <c r="E4" s="133"/>
      <c r="F4" s="134"/>
      <c r="G4" s="134"/>
      <c r="H4" s="134"/>
      <c r="I4" s="134"/>
      <c r="J4" s="134"/>
      <c r="K4" s="134"/>
      <c r="L4" s="134"/>
      <c r="M4" s="134"/>
      <c r="N4" s="134"/>
      <c r="O4" s="134"/>
      <c r="P4" s="134"/>
      <c r="Q4" s="134"/>
      <c r="R4" s="134"/>
      <c r="S4" s="134"/>
      <c r="T4" s="134"/>
      <c r="U4" s="134"/>
      <c r="V4" s="134"/>
      <c r="W4" s="134"/>
      <c r="X4" s="134"/>
      <c r="Y4" s="134"/>
      <c r="Z4" s="135"/>
      <c r="AA4" s="92"/>
      <c r="AB4" s="131" t="s">
        <v>14</v>
      </c>
      <c r="AC4" s="132"/>
      <c r="AD4" s="136"/>
      <c r="AE4" s="137" t="s">
        <v>15</v>
      </c>
      <c r="AF4" s="138"/>
      <c r="AG4" s="138"/>
      <c r="AH4" s="139"/>
      <c r="AI4" s="139"/>
      <c r="AJ4" s="139"/>
      <c r="AK4" s="115">
        <f>附表!B3*5</f>
        <v>0</v>
      </c>
      <c r="AL4" s="115"/>
      <c r="AM4" s="115"/>
      <c r="AN4" s="139"/>
      <c r="AO4" s="139"/>
      <c r="AP4" s="139"/>
      <c r="AQ4" s="140"/>
      <c r="AR4" s="141"/>
      <c r="AS4" s="141"/>
      <c r="AT4" s="141"/>
      <c r="AU4" s="141"/>
      <c r="AV4" s="141"/>
      <c r="AW4" s="141"/>
      <c r="AX4" s="141"/>
      <c r="AY4" s="141"/>
      <c r="AZ4" s="141"/>
      <c r="BA4" s="141"/>
      <c r="BB4" s="141"/>
      <c r="BC4" s="141"/>
      <c r="BD4" s="141"/>
      <c r="BE4" s="141"/>
      <c r="BF4" s="141"/>
      <c r="BG4" s="142"/>
      <c r="BH4" s="98"/>
      <c r="BI4" s="119"/>
      <c r="BJ4" s="120"/>
      <c r="BK4" s="120"/>
      <c r="BL4" s="120"/>
      <c r="BM4" s="120"/>
      <c r="BN4" s="120"/>
      <c r="BO4" s="120"/>
      <c r="BP4" s="120"/>
      <c r="BQ4" s="120"/>
      <c r="BR4" s="120"/>
      <c r="BS4" s="120"/>
      <c r="BT4" s="120"/>
      <c r="BU4" s="120"/>
      <c r="BV4" s="121"/>
      <c r="BW4" s="98"/>
      <c r="BX4" s="143"/>
      <c r="BY4" s="144"/>
      <c r="BZ4" s="144"/>
      <c r="CA4" s="144"/>
      <c r="CB4" s="144"/>
      <c r="CC4" s="144"/>
      <c r="CD4" s="144"/>
      <c r="CE4" s="144"/>
      <c r="CF4" s="144"/>
      <c r="CG4" s="144"/>
      <c r="CH4" s="144"/>
      <c r="CI4" s="144"/>
      <c r="CJ4" s="144"/>
      <c r="CK4" s="144"/>
      <c r="CL4" s="144"/>
      <c r="CM4" s="144"/>
      <c r="CN4" s="144"/>
      <c r="CO4" s="144"/>
      <c r="CP4" s="145"/>
      <c r="CQ4" s="145"/>
      <c r="CR4" s="145"/>
      <c r="CS4" s="145"/>
      <c r="CT4" s="145"/>
      <c r="CU4" s="145"/>
      <c r="CV4" s="145"/>
      <c r="CW4" s="145"/>
      <c r="CX4" s="146"/>
      <c r="CY4" s="92"/>
      <c r="CZ4" s="147"/>
      <c r="DA4" s="148"/>
      <c r="DB4" s="148"/>
      <c r="DC4" s="148"/>
      <c r="DD4" s="148"/>
      <c r="DE4" s="148"/>
      <c r="DF4" s="148"/>
      <c r="DG4" s="148"/>
      <c r="DH4" s="148"/>
      <c r="DI4" s="148"/>
      <c r="DJ4" s="148"/>
      <c r="DK4" s="148"/>
      <c r="DL4" s="148"/>
      <c r="DM4" s="148"/>
      <c r="DN4" s="148"/>
      <c r="DO4" s="148"/>
      <c r="DP4" s="148"/>
      <c r="DQ4" s="148"/>
      <c r="DR4" s="149"/>
      <c r="DS4" s="150"/>
      <c r="DT4" s="150"/>
      <c r="DU4" s="150"/>
      <c r="DV4" s="150"/>
      <c r="DW4" s="150"/>
      <c r="DX4" s="150"/>
      <c r="DY4" s="150"/>
      <c r="DZ4" s="150"/>
      <c r="EA4" s="150"/>
      <c r="EB4" s="150"/>
      <c r="EC4" s="150"/>
      <c r="ED4" s="150"/>
      <c r="EE4" s="150"/>
      <c r="EF4" s="150"/>
      <c r="EG4" s="150"/>
      <c r="EH4" s="150"/>
      <c r="EI4" s="149"/>
      <c r="EJ4" s="150"/>
      <c r="EK4" s="150"/>
      <c r="EL4" s="150"/>
      <c r="EM4" s="150"/>
      <c r="EN4" s="150"/>
      <c r="EO4" s="150"/>
      <c r="EP4" s="150"/>
      <c r="EQ4" s="150"/>
      <c r="ER4" s="150"/>
      <c r="ES4" s="150"/>
      <c r="ET4" s="150"/>
      <c r="EU4" s="150"/>
      <c r="EV4" s="150"/>
      <c r="EW4" s="150"/>
      <c r="EX4" s="150"/>
      <c r="EY4" s="151"/>
      <c r="EZ4" s="77"/>
    </row>
    <row r="5" customHeight="1" spans="1:156">
      <c r="A5" s="92"/>
      <c r="B5" s="131" t="s">
        <v>16</v>
      </c>
      <c r="C5" s="132"/>
      <c r="D5" s="132"/>
      <c r="E5" s="152"/>
      <c r="F5" s="153"/>
      <c r="G5" s="153"/>
      <c r="H5" s="153"/>
      <c r="I5" s="153"/>
      <c r="J5" s="153"/>
      <c r="K5" s="153"/>
      <c r="L5" s="153"/>
      <c r="M5" s="154"/>
      <c r="N5" s="155" t="s">
        <v>17</v>
      </c>
      <c r="O5" s="156"/>
      <c r="P5" s="157"/>
      <c r="Q5" s="152"/>
      <c r="R5" s="153"/>
      <c r="S5" s="153"/>
      <c r="T5" s="153"/>
      <c r="U5" s="153"/>
      <c r="V5" s="153"/>
      <c r="W5" s="153"/>
      <c r="X5" s="153"/>
      <c r="Y5" s="153"/>
      <c r="Z5" s="158"/>
      <c r="AA5" s="92"/>
      <c r="AB5" s="131" t="s">
        <v>18</v>
      </c>
      <c r="AC5" s="132"/>
      <c r="AD5" s="159"/>
      <c r="AE5" s="137" t="s">
        <v>19</v>
      </c>
      <c r="AF5" s="138"/>
      <c r="AG5" s="138"/>
      <c r="AH5" s="139"/>
      <c r="AI5" s="139"/>
      <c r="AJ5" s="139"/>
      <c r="AK5" s="115">
        <f>附表!B4*5</f>
        <v>0</v>
      </c>
      <c r="AL5" s="115"/>
      <c r="AM5" s="115"/>
      <c r="AN5" s="139"/>
      <c r="AO5" s="139"/>
      <c r="AP5" s="139"/>
      <c r="AQ5" s="140"/>
      <c r="AR5" s="141"/>
      <c r="AS5" s="141"/>
      <c r="AT5" s="141"/>
      <c r="AU5" s="141"/>
      <c r="AV5" s="141"/>
      <c r="AW5" s="141"/>
      <c r="AX5" s="141"/>
      <c r="AY5" s="141"/>
      <c r="AZ5" s="141"/>
      <c r="BA5" s="141"/>
      <c r="BB5" s="141"/>
      <c r="BC5" s="141"/>
      <c r="BD5" s="141"/>
      <c r="BE5" s="141"/>
      <c r="BF5" s="141"/>
      <c r="BG5" s="142"/>
      <c r="BH5" s="98"/>
      <c r="BI5" s="119"/>
      <c r="BJ5" s="120"/>
      <c r="BK5" s="120"/>
      <c r="BL5" s="120"/>
      <c r="BM5" s="120"/>
      <c r="BN5" s="120"/>
      <c r="BO5" s="120"/>
      <c r="BP5" s="120"/>
      <c r="BQ5" s="120"/>
      <c r="BR5" s="120"/>
      <c r="BS5" s="120"/>
      <c r="BT5" s="120"/>
      <c r="BU5" s="120"/>
      <c r="BV5" s="121"/>
      <c r="BW5" s="98"/>
      <c r="BX5" s="143"/>
      <c r="BY5" s="144"/>
      <c r="BZ5" s="144"/>
      <c r="CA5" s="144"/>
      <c r="CB5" s="144"/>
      <c r="CC5" s="144"/>
      <c r="CD5" s="144"/>
      <c r="CE5" s="144"/>
      <c r="CF5" s="144"/>
      <c r="CG5" s="144"/>
      <c r="CH5" s="144"/>
      <c r="CI5" s="144"/>
      <c r="CJ5" s="144"/>
      <c r="CK5" s="144"/>
      <c r="CL5" s="144"/>
      <c r="CM5" s="144"/>
      <c r="CN5" s="144"/>
      <c r="CO5" s="144"/>
      <c r="CP5" s="145"/>
      <c r="CQ5" s="145"/>
      <c r="CR5" s="145"/>
      <c r="CS5" s="145"/>
      <c r="CT5" s="145"/>
      <c r="CU5" s="145"/>
      <c r="CV5" s="145"/>
      <c r="CW5" s="145"/>
      <c r="CX5" s="146"/>
      <c r="CY5" s="92"/>
      <c r="CZ5" s="147"/>
      <c r="DA5" s="148"/>
      <c r="DB5" s="148"/>
      <c r="DC5" s="148"/>
      <c r="DD5" s="148"/>
      <c r="DE5" s="148"/>
      <c r="DF5" s="148"/>
      <c r="DG5" s="148"/>
      <c r="DH5" s="148"/>
      <c r="DI5" s="148"/>
      <c r="DJ5" s="148"/>
      <c r="DK5" s="148"/>
      <c r="DL5" s="148"/>
      <c r="DM5" s="148"/>
      <c r="DN5" s="148"/>
      <c r="DO5" s="148"/>
      <c r="DP5" s="148"/>
      <c r="DQ5" s="148"/>
      <c r="DR5" s="149"/>
      <c r="DS5" s="150"/>
      <c r="DT5" s="150"/>
      <c r="DU5" s="150"/>
      <c r="DV5" s="150"/>
      <c r="DW5" s="150"/>
      <c r="DX5" s="150"/>
      <c r="DY5" s="150"/>
      <c r="DZ5" s="150"/>
      <c r="EA5" s="150"/>
      <c r="EB5" s="150"/>
      <c r="EC5" s="150"/>
      <c r="ED5" s="150"/>
      <c r="EE5" s="150"/>
      <c r="EF5" s="150"/>
      <c r="EG5" s="150"/>
      <c r="EH5" s="150"/>
      <c r="EI5" s="149"/>
      <c r="EJ5" s="150"/>
      <c r="EK5" s="150"/>
      <c r="EL5" s="150"/>
      <c r="EM5" s="150"/>
      <c r="EN5" s="150"/>
      <c r="EO5" s="150"/>
      <c r="EP5" s="150"/>
      <c r="EQ5" s="150"/>
      <c r="ER5" s="150"/>
      <c r="ES5" s="150"/>
      <c r="ET5" s="150"/>
      <c r="EU5" s="150"/>
      <c r="EV5" s="150"/>
      <c r="EW5" s="150"/>
      <c r="EX5" s="150"/>
      <c r="EY5" s="151"/>
      <c r="EZ5" s="77"/>
    </row>
    <row r="6" customHeight="1" spans="1:156">
      <c r="A6" s="92"/>
      <c r="B6" s="131" t="s">
        <v>20</v>
      </c>
      <c r="C6" s="132"/>
      <c r="D6" s="132"/>
      <c r="E6" s="152"/>
      <c r="F6" s="153"/>
      <c r="G6" s="153"/>
      <c r="H6" s="153"/>
      <c r="I6" s="153"/>
      <c r="J6" s="153"/>
      <c r="K6" s="153"/>
      <c r="L6" s="153"/>
      <c r="M6" s="153"/>
      <c r="N6" s="155" t="s">
        <v>21</v>
      </c>
      <c r="O6" s="156"/>
      <c r="P6" s="157"/>
      <c r="Q6" s="153"/>
      <c r="R6" s="153"/>
      <c r="S6" s="153"/>
      <c r="T6" s="153"/>
      <c r="U6" s="153"/>
      <c r="V6" s="153"/>
      <c r="W6" s="153"/>
      <c r="X6" s="153"/>
      <c r="Y6" s="153"/>
      <c r="Z6" s="158"/>
      <c r="AA6" s="92"/>
      <c r="AB6" s="131" t="s">
        <v>22</v>
      </c>
      <c r="AC6" s="132"/>
      <c r="AD6" s="136"/>
      <c r="AE6" s="137" t="s">
        <v>23</v>
      </c>
      <c r="AF6" s="138"/>
      <c r="AG6" s="138"/>
      <c r="AH6" s="139"/>
      <c r="AI6" s="139"/>
      <c r="AJ6" s="139"/>
      <c r="AK6" s="115">
        <f>附表!B5*5</f>
        <v>0</v>
      </c>
      <c r="AL6" s="115"/>
      <c r="AM6" s="115"/>
      <c r="AN6" s="139"/>
      <c r="AO6" s="139"/>
      <c r="AP6" s="139"/>
      <c r="AQ6" s="140"/>
      <c r="AR6" s="141"/>
      <c r="AS6" s="141"/>
      <c r="AT6" s="141"/>
      <c r="AU6" s="141"/>
      <c r="AV6" s="141"/>
      <c r="AW6" s="141"/>
      <c r="AX6" s="141"/>
      <c r="AY6" s="141"/>
      <c r="AZ6" s="141"/>
      <c r="BA6" s="141"/>
      <c r="BB6" s="141"/>
      <c r="BC6" s="141"/>
      <c r="BD6" s="141"/>
      <c r="BE6" s="141"/>
      <c r="BF6" s="141"/>
      <c r="BG6" s="142"/>
      <c r="BH6" s="98"/>
      <c r="BI6" s="119"/>
      <c r="BJ6" s="120"/>
      <c r="BK6" s="120"/>
      <c r="BL6" s="120"/>
      <c r="BM6" s="120"/>
      <c r="BN6" s="120"/>
      <c r="BO6" s="120"/>
      <c r="BP6" s="120"/>
      <c r="BQ6" s="120"/>
      <c r="BR6" s="120"/>
      <c r="BS6" s="120"/>
      <c r="BT6" s="120"/>
      <c r="BU6" s="120"/>
      <c r="BV6" s="121"/>
      <c r="BW6" s="98"/>
      <c r="BX6" s="143"/>
      <c r="BY6" s="144"/>
      <c r="BZ6" s="144"/>
      <c r="CA6" s="144"/>
      <c r="CB6" s="144"/>
      <c r="CC6" s="144"/>
      <c r="CD6" s="144"/>
      <c r="CE6" s="144"/>
      <c r="CF6" s="144"/>
      <c r="CG6" s="144"/>
      <c r="CH6" s="144"/>
      <c r="CI6" s="144"/>
      <c r="CJ6" s="144"/>
      <c r="CK6" s="144"/>
      <c r="CL6" s="144"/>
      <c r="CM6" s="144"/>
      <c r="CN6" s="144"/>
      <c r="CO6" s="144"/>
      <c r="CP6" s="145"/>
      <c r="CQ6" s="145"/>
      <c r="CR6" s="145"/>
      <c r="CS6" s="145"/>
      <c r="CT6" s="145"/>
      <c r="CU6" s="145"/>
      <c r="CV6" s="145"/>
      <c r="CW6" s="145"/>
      <c r="CX6" s="146"/>
      <c r="CY6" s="92"/>
      <c r="CZ6" s="147"/>
      <c r="DA6" s="148"/>
      <c r="DB6" s="148"/>
      <c r="DC6" s="148"/>
      <c r="DD6" s="148"/>
      <c r="DE6" s="148"/>
      <c r="DF6" s="148"/>
      <c r="DG6" s="148"/>
      <c r="DH6" s="148"/>
      <c r="DI6" s="148"/>
      <c r="DJ6" s="148"/>
      <c r="DK6" s="148"/>
      <c r="DL6" s="148"/>
      <c r="DM6" s="148"/>
      <c r="DN6" s="148"/>
      <c r="DO6" s="148"/>
      <c r="DP6" s="148"/>
      <c r="DQ6" s="148"/>
      <c r="DR6" s="149"/>
      <c r="DS6" s="150"/>
      <c r="DT6" s="150"/>
      <c r="DU6" s="150"/>
      <c r="DV6" s="150"/>
      <c r="DW6" s="150"/>
      <c r="DX6" s="150"/>
      <c r="DY6" s="150"/>
      <c r="DZ6" s="150"/>
      <c r="EA6" s="150"/>
      <c r="EB6" s="150"/>
      <c r="EC6" s="150"/>
      <c r="ED6" s="150"/>
      <c r="EE6" s="150"/>
      <c r="EF6" s="150"/>
      <c r="EG6" s="150"/>
      <c r="EH6" s="150"/>
      <c r="EI6" s="149"/>
      <c r="EJ6" s="150"/>
      <c r="EK6" s="150"/>
      <c r="EL6" s="150"/>
      <c r="EM6" s="150"/>
      <c r="EN6" s="150"/>
      <c r="EO6" s="150"/>
      <c r="EP6" s="150"/>
      <c r="EQ6" s="150"/>
      <c r="ER6" s="150"/>
      <c r="ES6" s="150"/>
      <c r="ET6" s="150"/>
      <c r="EU6" s="150"/>
      <c r="EV6" s="150"/>
      <c r="EW6" s="150"/>
      <c r="EX6" s="150"/>
      <c r="EY6" s="151"/>
      <c r="EZ6" s="77"/>
    </row>
    <row r="7" customHeight="1" spans="1:156">
      <c r="A7" s="92"/>
      <c r="B7" s="131" t="s">
        <v>24</v>
      </c>
      <c r="C7" s="132"/>
      <c r="D7" s="132"/>
      <c r="E7" s="160"/>
      <c r="F7" s="160"/>
      <c r="G7" s="160"/>
      <c r="H7" s="160"/>
      <c r="I7" s="160"/>
      <c r="J7" s="160"/>
      <c r="K7" s="160"/>
      <c r="L7" s="160"/>
      <c r="M7" s="160"/>
      <c r="N7" s="160"/>
      <c r="O7" s="160"/>
      <c r="P7" s="160"/>
      <c r="Q7" s="160"/>
      <c r="R7" s="160"/>
      <c r="S7" s="160"/>
      <c r="T7" s="160"/>
      <c r="U7" s="160"/>
      <c r="V7" s="160"/>
      <c r="W7" s="160"/>
      <c r="X7" s="160"/>
      <c r="Y7" s="160"/>
      <c r="Z7" s="161"/>
      <c r="AA7" s="92"/>
      <c r="AB7" s="131" t="s">
        <v>25</v>
      </c>
      <c r="AC7" s="132"/>
      <c r="AD7" s="159"/>
      <c r="AE7" s="137" t="s">
        <v>26</v>
      </c>
      <c r="AF7" s="138"/>
      <c r="AG7" s="138"/>
      <c r="AH7" s="139">
        <f>DF54-IF(DF46="关押或入狱",3,0)</f>
        <v>0</v>
      </c>
      <c r="AI7" s="139"/>
      <c r="AJ7" s="139"/>
      <c r="AK7" s="115">
        <f>附表!B6*5</f>
        <v>0</v>
      </c>
      <c r="AL7" s="115"/>
      <c r="AM7" s="115"/>
      <c r="AN7" s="139"/>
      <c r="AO7" s="139"/>
      <c r="AP7" s="139"/>
      <c r="AQ7" s="140"/>
      <c r="AR7" s="141"/>
      <c r="AS7" s="141"/>
      <c r="AT7" s="141"/>
      <c r="AU7" s="141"/>
      <c r="AV7" s="141"/>
      <c r="AW7" s="141"/>
      <c r="AX7" s="141"/>
      <c r="AY7" s="141"/>
      <c r="AZ7" s="141"/>
      <c r="BA7" s="141"/>
      <c r="BB7" s="141"/>
      <c r="BC7" s="141"/>
      <c r="BD7" s="141"/>
      <c r="BE7" s="141"/>
      <c r="BF7" s="141"/>
      <c r="BG7" s="142"/>
      <c r="BH7" s="98"/>
      <c r="BI7" s="119"/>
      <c r="BJ7" s="120"/>
      <c r="BK7" s="120"/>
      <c r="BL7" s="120"/>
      <c r="BM7" s="120"/>
      <c r="BN7" s="120"/>
      <c r="BO7" s="120"/>
      <c r="BP7" s="120"/>
      <c r="BQ7" s="120"/>
      <c r="BR7" s="120"/>
      <c r="BS7" s="120"/>
      <c r="BT7" s="120"/>
      <c r="BU7" s="120"/>
      <c r="BV7" s="121"/>
      <c r="BW7" s="98"/>
      <c r="BX7" s="143"/>
      <c r="BY7" s="144"/>
      <c r="BZ7" s="144"/>
      <c r="CA7" s="144"/>
      <c r="CB7" s="144"/>
      <c r="CC7" s="144"/>
      <c r="CD7" s="144"/>
      <c r="CE7" s="144"/>
      <c r="CF7" s="144"/>
      <c r="CG7" s="144"/>
      <c r="CH7" s="144"/>
      <c r="CI7" s="144"/>
      <c r="CJ7" s="144"/>
      <c r="CK7" s="144"/>
      <c r="CL7" s="144"/>
      <c r="CM7" s="144"/>
      <c r="CN7" s="144"/>
      <c r="CO7" s="144"/>
      <c r="CP7" s="145"/>
      <c r="CQ7" s="145"/>
      <c r="CR7" s="145"/>
      <c r="CS7" s="145"/>
      <c r="CT7" s="145"/>
      <c r="CU7" s="145"/>
      <c r="CV7" s="145"/>
      <c r="CW7" s="145"/>
      <c r="CX7" s="146"/>
      <c r="CY7" s="92"/>
      <c r="CZ7" s="147"/>
      <c r="DA7" s="148"/>
      <c r="DB7" s="148"/>
      <c r="DC7" s="148"/>
      <c r="DD7" s="148"/>
      <c r="DE7" s="148"/>
      <c r="DF7" s="148"/>
      <c r="DG7" s="148"/>
      <c r="DH7" s="148"/>
      <c r="DI7" s="148"/>
      <c r="DJ7" s="148"/>
      <c r="DK7" s="148"/>
      <c r="DL7" s="148"/>
      <c r="DM7" s="148"/>
      <c r="DN7" s="148"/>
      <c r="DO7" s="148"/>
      <c r="DP7" s="148"/>
      <c r="DQ7" s="148"/>
      <c r="DR7" s="149"/>
      <c r="DS7" s="150"/>
      <c r="DT7" s="150"/>
      <c r="DU7" s="150"/>
      <c r="DV7" s="150"/>
      <c r="DW7" s="150"/>
      <c r="DX7" s="150"/>
      <c r="DY7" s="150"/>
      <c r="DZ7" s="150"/>
      <c r="EA7" s="150"/>
      <c r="EB7" s="150"/>
      <c r="EC7" s="150"/>
      <c r="ED7" s="150"/>
      <c r="EE7" s="150"/>
      <c r="EF7" s="150"/>
      <c r="EG7" s="150"/>
      <c r="EH7" s="150"/>
      <c r="EI7" s="149"/>
      <c r="EJ7" s="150"/>
      <c r="EK7" s="150"/>
      <c r="EL7" s="150"/>
      <c r="EM7" s="150"/>
      <c r="EN7" s="150"/>
      <c r="EO7" s="150"/>
      <c r="EP7" s="150"/>
      <c r="EQ7" s="150"/>
      <c r="ER7" s="150"/>
      <c r="ES7" s="150"/>
      <c r="ET7" s="150"/>
      <c r="EU7" s="150"/>
      <c r="EV7" s="150"/>
      <c r="EW7" s="150"/>
      <c r="EX7" s="150"/>
      <c r="EY7" s="151"/>
      <c r="EZ7" s="77"/>
    </row>
    <row r="8" customHeight="1" spans="1:156">
      <c r="A8" s="92"/>
      <c r="B8" s="162" t="s">
        <v>27</v>
      </c>
      <c r="C8" s="163"/>
      <c r="D8" s="163"/>
      <c r="E8" s="164"/>
      <c r="F8" s="165"/>
      <c r="G8" s="165"/>
      <c r="H8" s="165"/>
      <c r="I8" s="165"/>
      <c r="J8" s="165"/>
      <c r="K8" s="165"/>
      <c r="L8" s="165"/>
      <c r="M8" s="165"/>
      <c r="N8" s="165"/>
      <c r="O8" s="165"/>
      <c r="P8" s="165"/>
      <c r="Q8" s="165"/>
      <c r="R8" s="165"/>
      <c r="S8" s="165"/>
      <c r="T8" s="165"/>
      <c r="U8" s="165"/>
      <c r="V8" s="165"/>
      <c r="W8" s="165"/>
      <c r="X8" s="165"/>
      <c r="Y8" s="165"/>
      <c r="Z8" s="166"/>
      <c r="AA8" s="167"/>
      <c r="AB8" s="162" t="s">
        <v>28</v>
      </c>
      <c r="AC8" s="163"/>
      <c r="AD8" s="168"/>
      <c r="AE8" s="169" t="s">
        <v>29</v>
      </c>
      <c r="AF8" s="170"/>
      <c r="AG8" s="170"/>
      <c r="AH8" s="171">
        <f>DR54-IF(DF46="极端暴力",3,0)</f>
        <v>0</v>
      </c>
      <c r="AI8" s="171"/>
      <c r="AJ8" s="171"/>
      <c r="AK8" s="172">
        <f>附表!B7*5</f>
        <v>0</v>
      </c>
      <c r="AL8" s="172"/>
      <c r="AM8" s="172"/>
      <c r="AN8" s="171"/>
      <c r="AO8" s="171"/>
      <c r="AP8" s="171"/>
      <c r="AQ8" s="173"/>
      <c r="AR8" s="174"/>
      <c r="AS8" s="174"/>
      <c r="AT8" s="174"/>
      <c r="AU8" s="174"/>
      <c r="AV8" s="174"/>
      <c r="AW8" s="174"/>
      <c r="AX8" s="174"/>
      <c r="AY8" s="174"/>
      <c r="AZ8" s="174"/>
      <c r="BA8" s="174"/>
      <c r="BB8" s="174"/>
      <c r="BC8" s="174"/>
      <c r="BD8" s="174"/>
      <c r="BE8" s="174"/>
      <c r="BF8" s="174"/>
      <c r="BG8" s="175"/>
      <c r="BH8" s="98"/>
      <c r="BI8" s="119"/>
      <c r="BJ8" s="120"/>
      <c r="BK8" s="120"/>
      <c r="BL8" s="120"/>
      <c r="BM8" s="120"/>
      <c r="BN8" s="120"/>
      <c r="BO8" s="120"/>
      <c r="BP8" s="120"/>
      <c r="BQ8" s="120"/>
      <c r="BR8" s="120"/>
      <c r="BS8" s="120"/>
      <c r="BT8" s="120"/>
      <c r="BU8" s="120"/>
      <c r="BV8" s="121"/>
      <c r="BW8" s="98"/>
      <c r="BX8" s="143"/>
      <c r="BY8" s="144"/>
      <c r="BZ8" s="144"/>
      <c r="CA8" s="144"/>
      <c r="CB8" s="144"/>
      <c r="CC8" s="144"/>
      <c r="CD8" s="144"/>
      <c r="CE8" s="144"/>
      <c r="CF8" s="144"/>
      <c r="CG8" s="144"/>
      <c r="CH8" s="144"/>
      <c r="CI8" s="144"/>
      <c r="CJ8" s="144"/>
      <c r="CK8" s="144"/>
      <c r="CL8" s="144"/>
      <c r="CM8" s="144"/>
      <c r="CN8" s="144"/>
      <c r="CO8" s="144"/>
      <c r="CP8" s="145"/>
      <c r="CQ8" s="145"/>
      <c r="CR8" s="145"/>
      <c r="CS8" s="145"/>
      <c r="CT8" s="145"/>
      <c r="CU8" s="145"/>
      <c r="CV8" s="145"/>
      <c r="CW8" s="145"/>
      <c r="CX8" s="146"/>
      <c r="CY8" s="92"/>
      <c r="CZ8" s="147"/>
      <c r="DA8" s="148"/>
      <c r="DB8" s="148"/>
      <c r="DC8" s="148"/>
      <c r="DD8" s="148"/>
      <c r="DE8" s="148"/>
      <c r="DF8" s="148"/>
      <c r="DG8" s="148"/>
      <c r="DH8" s="148"/>
      <c r="DI8" s="148"/>
      <c r="DJ8" s="148"/>
      <c r="DK8" s="148"/>
      <c r="DL8" s="148"/>
      <c r="DM8" s="148"/>
      <c r="DN8" s="148"/>
      <c r="DO8" s="148"/>
      <c r="DP8" s="148"/>
      <c r="DQ8" s="148"/>
      <c r="DR8" s="149"/>
      <c r="DS8" s="150"/>
      <c r="DT8" s="150"/>
      <c r="DU8" s="150"/>
      <c r="DV8" s="150"/>
      <c r="DW8" s="150"/>
      <c r="DX8" s="150"/>
      <c r="DY8" s="150"/>
      <c r="DZ8" s="150"/>
      <c r="EA8" s="150"/>
      <c r="EB8" s="150"/>
      <c r="EC8" s="150"/>
      <c r="ED8" s="150"/>
      <c r="EE8" s="150"/>
      <c r="EF8" s="150"/>
      <c r="EG8" s="150"/>
      <c r="EH8" s="150"/>
      <c r="EI8" s="176" t="s">
        <v>30</v>
      </c>
      <c r="EJ8" s="176"/>
      <c r="EK8" s="150"/>
      <c r="EL8" s="150"/>
      <c r="EM8" s="150"/>
      <c r="EN8" s="150"/>
      <c r="EO8" s="150"/>
      <c r="EP8" s="150"/>
      <c r="EQ8" s="150"/>
      <c r="ER8" s="150"/>
      <c r="ES8" s="150"/>
      <c r="ET8" s="150"/>
      <c r="EU8" s="150"/>
      <c r="EV8" s="150"/>
      <c r="EW8" s="150"/>
      <c r="EX8" s="150"/>
      <c r="EY8" s="151"/>
      <c r="EZ8" s="77"/>
    </row>
    <row r="9" customHeight="1" spans="1:156">
      <c r="B9" s="80"/>
      <c r="C9" s="80"/>
      <c r="D9" s="80"/>
      <c r="E9" s="80"/>
      <c r="F9" s="80"/>
      <c r="G9" s="80"/>
      <c r="H9" s="80"/>
      <c r="I9" s="80"/>
      <c r="J9" s="80"/>
      <c r="K9" s="80"/>
      <c r="L9" s="80"/>
      <c r="M9" s="80"/>
      <c r="N9" s="80"/>
      <c r="O9" s="177"/>
      <c r="R9" s="178" t="s">
        <v>31</v>
      </c>
      <c r="S9" s="179"/>
      <c r="T9" s="179"/>
      <c r="U9" s="179"/>
      <c r="V9" s="179"/>
      <c r="W9" s="180"/>
      <c r="X9" s="181">
        <f>SUM(AH3:AH6)+DF54+DR54</f>
        <v>0</v>
      </c>
      <c r="Y9" s="182"/>
      <c r="Z9" s="182"/>
      <c r="AA9" s="183"/>
      <c r="AB9" s="178" t="s">
        <v>32</v>
      </c>
      <c r="AC9" s="179"/>
      <c r="AD9" s="179"/>
      <c r="AE9" s="179"/>
      <c r="AF9" s="179"/>
      <c r="AG9" s="179"/>
      <c r="AH9" s="180"/>
      <c r="AI9" s="184">
        <f ca="1">SUM(P14:R43,AS14:AU43)-SUM(S14:U43,AV14:AX43,Y14:AD43,BB14:BG43)</f>
        <v>0</v>
      </c>
      <c r="AJ9" s="185"/>
      <c r="AK9" s="186"/>
      <c r="AL9" s="184" t="s">
        <v>33</v>
      </c>
      <c r="AM9" s="185"/>
      <c r="AN9" s="185"/>
      <c r="AO9" s="185"/>
      <c r="AP9" s="185"/>
      <c r="AQ9" s="185"/>
      <c r="AR9" s="185"/>
      <c r="AS9" s="186"/>
      <c r="AT9" s="187" t="str">
        <f ca="1">IFERROR(MAX(0,IF(AND(AI9&gt;=350,AI9&lt;=500,MOD(AI9,50)=0),(550-AI9)/50,"错误")-IF(DF46="艰苦经历",1,0)),"错误")&amp;"）"</f>
        <v>错误）</v>
      </c>
      <c r="AU9" s="187"/>
      <c r="AV9" s="187"/>
      <c r="AW9" s="188" t="s">
        <v>34</v>
      </c>
      <c r="AX9" s="188"/>
      <c r="AY9" s="188"/>
      <c r="AZ9" s="188"/>
      <c r="BA9" s="188"/>
      <c r="BB9" s="188"/>
      <c r="BC9" s="188"/>
      <c r="BD9" s="189">
        <f ca="1">规则数据!S3</f>
        <v>0</v>
      </c>
      <c r="BE9" s="189"/>
      <c r="BF9" s="189"/>
      <c r="BG9" s="189"/>
      <c r="BH9" s="190"/>
      <c r="BI9" s="119"/>
      <c r="BJ9" s="120"/>
      <c r="BK9" s="120"/>
      <c r="BL9" s="120"/>
      <c r="BM9" s="120"/>
      <c r="BN9" s="120"/>
      <c r="BO9" s="120"/>
      <c r="BP9" s="120"/>
      <c r="BQ9" s="120"/>
      <c r="BR9" s="120"/>
      <c r="BS9" s="120"/>
      <c r="BT9" s="120"/>
      <c r="BU9" s="120"/>
      <c r="BV9" s="121"/>
      <c r="BW9" s="98"/>
      <c r="BX9" s="143"/>
      <c r="BY9" s="144"/>
      <c r="BZ9" s="144"/>
      <c r="CA9" s="144"/>
      <c r="CB9" s="144"/>
      <c r="CC9" s="144"/>
      <c r="CD9" s="144"/>
      <c r="CE9" s="144"/>
      <c r="CF9" s="144"/>
      <c r="CG9" s="144"/>
      <c r="CH9" s="144"/>
      <c r="CI9" s="144"/>
      <c r="CJ9" s="144"/>
      <c r="CK9" s="144"/>
      <c r="CL9" s="144"/>
      <c r="CM9" s="144"/>
      <c r="CN9" s="144"/>
      <c r="CO9" s="144"/>
      <c r="CP9" s="145"/>
      <c r="CQ9" s="145"/>
      <c r="CR9" s="145"/>
      <c r="CS9" s="145"/>
      <c r="CT9" s="145"/>
      <c r="CU9" s="145"/>
      <c r="CV9" s="145"/>
      <c r="CW9" s="145"/>
      <c r="CX9" s="146"/>
      <c r="CY9" s="92"/>
      <c r="CZ9" s="147"/>
      <c r="DA9" s="148"/>
      <c r="DB9" s="148"/>
      <c r="DC9" s="148"/>
      <c r="DD9" s="148"/>
      <c r="DE9" s="148"/>
      <c r="DF9" s="148"/>
      <c r="DG9" s="148"/>
      <c r="DH9" s="148"/>
      <c r="DI9" s="148"/>
      <c r="DJ9" s="148"/>
      <c r="DK9" s="148"/>
      <c r="DL9" s="148"/>
      <c r="DM9" s="148"/>
      <c r="DN9" s="148"/>
      <c r="DO9" s="148"/>
      <c r="DP9" s="148"/>
      <c r="DQ9" s="148"/>
      <c r="DR9" s="149"/>
      <c r="DS9" s="150"/>
      <c r="DT9" s="150"/>
      <c r="DU9" s="150"/>
      <c r="DV9" s="150"/>
      <c r="DW9" s="150"/>
      <c r="DX9" s="150"/>
      <c r="DY9" s="150"/>
      <c r="DZ9" s="150"/>
      <c r="EA9" s="150"/>
      <c r="EB9" s="150"/>
      <c r="EC9" s="150"/>
      <c r="ED9" s="150"/>
      <c r="EE9" s="150"/>
      <c r="EF9" s="150"/>
      <c r="EG9" s="150"/>
      <c r="EH9" s="150"/>
      <c r="EI9" s="176"/>
      <c r="EJ9" s="176"/>
      <c r="EK9" s="150"/>
      <c r="EL9" s="150"/>
      <c r="EM9" s="150"/>
      <c r="EN9" s="150"/>
      <c r="EO9" s="150"/>
      <c r="EP9" s="150"/>
      <c r="EQ9" s="150"/>
      <c r="ER9" s="150"/>
      <c r="ES9" s="150"/>
      <c r="ET9" s="150"/>
      <c r="EU9" s="150"/>
      <c r="EV9" s="150"/>
      <c r="EW9" s="150"/>
      <c r="EX9" s="150"/>
      <c r="EY9" s="151"/>
      <c r="EZ9" s="77"/>
    </row>
    <row r="10" customHeight="1" spans="1:156">
      <c r="A10" s="92"/>
      <c r="B10" s="191" t="s">
        <v>35</v>
      </c>
      <c r="C10" s="192"/>
      <c r="D10" s="192"/>
      <c r="E10" s="192"/>
      <c r="F10" s="192"/>
      <c r="G10" s="192"/>
      <c r="H10" s="193">
        <f>K10</f>
        <v>0</v>
      </c>
      <c r="I10" s="193"/>
      <c r="J10" s="194"/>
      <c r="K10" s="195">
        <f>CEILING((附表!B2+附表!B3)/2,1)</f>
        <v>0</v>
      </c>
      <c r="L10" s="196"/>
      <c r="M10" s="197"/>
      <c r="N10" s="198" t="s">
        <v>36</v>
      </c>
      <c r="O10" s="199"/>
      <c r="P10" s="199"/>
      <c r="Q10" s="199"/>
      <c r="R10" s="199"/>
      <c r="S10" s="199"/>
      <c r="T10" s="199"/>
      <c r="U10" s="200"/>
      <c r="V10" s="201">
        <f>Y10</f>
        <v>0</v>
      </c>
      <c r="W10" s="202"/>
      <c r="X10" s="203"/>
      <c r="Y10" s="204">
        <f>附表!B6</f>
        <v>0</v>
      </c>
      <c r="Z10" s="205"/>
      <c r="AA10" s="206"/>
      <c r="AB10" s="207" t="s">
        <v>37</v>
      </c>
      <c r="AC10" s="192"/>
      <c r="AD10" s="192"/>
      <c r="AE10" s="192"/>
      <c r="AF10" s="192"/>
      <c r="AG10" s="208"/>
      <c r="AH10" s="209">
        <f>MIN(AK10,DF54*5-IF(DF46="人类不应知道之事",AH7,IF(OR(DF46="极端暴力",DF46="关押或入狱",DF46="艰苦经历"),5,0)))</f>
        <v>0</v>
      </c>
      <c r="AI10" s="193"/>
      <c r="AJ10" s="194"/>
      <c r="AK10" s="196">
        <f>99-AS39</f>
        <v>99</v>
      </c>
      <c r="AL10" s="196"/>
      <c r="AM10" s="210"/>
      <c r="AN10" s="211" t="s">
        <v>38</v>
      </c>
      <c r="AO10" s="212"/>
      <c r="AP10" s="212"/>
      <c r="AQ10" s="212"/>
      <c r="AR10" s="212"/>
      <c r="AS10" s="212"/>
      <c r="AT10" s="212"/>
      <c r="AU10" s="213">
        <f>IF(DF46="人类不应知道之事",AH10-AH7,DF54*4)</f>
        <v>0</v>
      </c>
      <c r="AV10" s="214"/>
      <c r="AW10" s="215"/>
      <c r="AX10" s="216" t="s">
        <v>39</v>
      </c>
      <c r="AY10" s="217"/>
      <c r="AZ10" s="217"/>
      <c r="BA10" s="217"/>
      <c r="BB10" s="217"/>
      <c r="BC10" s="217"/>
      <c r="BD10" s="218" t="str">
        <f>IF(DF46="极端暴力","已适应","☐☐☐")</f>
        <v>☐☐☐</v>
      </c>
      <c r="BE10" s="218"/>
      <c r="BF10" s="218"/>
      <c r="BG10" s="219"/>
      <c r="BH10" s="220"/>
      <c r="BI10" s="119"/>
      <c r="BJ10" s="120"/>
      <c r="BK10" s="120"/>
      <c r="BL10" s="120"/>
      <c r="BM10" s="120"/>
      <c r="BN10" s="120"/>
      <c r="BO10" s="120"/>
      <c r="BP10" s="120"/>
      <c r="BQ10" s="120"/>
      <c r="BR10" s="120"/>
      <c r="BS10" s="120"/>
      <c r="BT10" s="120"/>
      <c r="BU10" s="120"/>
      <c r="BV10" s="121"/>
      <c r="BW10" s="98"/>
      <c r="BX10" s="143"/>
      <c r="BY10" s="144"/>
      <c r="BZ10" s="144"/>
      <c r="CA10" s="144"/>
      <c r="CB10" s="144"/>
      <c r="CC10" s="144"/>
      <c r="CD10" s="144"/>
      <c r="CE10" s="144"/>
      <c r="CF10" s="144"/>
      <c r="CG10" s="144"/>
      <c r="CH10" s="144"/>
      <c r="CI10" s="144"/>
      <c r="CJ10" s="144"/>
      <c r="CK10" s="144"/>
      <c r="CL10" s="144"/>
      <c r="CM10" s="144"/>
      <c r="CN10" s="144"/>
      <c r="CO10" s="144"/>
      <c r="CP10" s="145"/>
      <c r="CQ10" s="145"/>
      <c r="CR10" s="145"/>
      <c r="CS10" s="145"/>
      <c r="CT10" s="145"/>
      <c r="CU10" s="145"/>
      <c r="CV10" s="145"/>
      <c r="CW10" s="145"/>
      <c r="CX10" s="146"/>
      <c r="CY10" s="92"/>
      <c r="CZ10" s="147"/>
      <c r="DA10" s="148"/>
      <c r="DB10" s="148"/>
      <c r="DC10" s="148"/>
      <c r="DD10" s="148"/>
      <c r="DE10" s="148"/>
      <c r="DF10" s="148"/>
      <c r="DG10" s="148"/>
      <c r="DH10" s="148"/>
      <c r="DI10" s="148"/>
      <c r="DJ10" s="148"/>
      <c r="DK10" s="148"/>
      <c r="DL10" s="148"/>
      <c r="DM10" s="148"/>
      <c r="DN10" s="148"/>
      <c r="DO10" s="148"/>
      <c r="DP10" s="148"/>
      <c r="DQ10" s="148"/>
      <c r="DR10" s="149"/>
      <c r="DS10" s="150"/>
      <c r="DT10" s="150"/>
      <c r="DU10" s="150"/>
      <c r="DV10" s="150"/>
      <c r="DW10" s="150"/>
      <c r="DX10" s="150"/>
      <c r="DY10" s="150"/>
      <c r="DZ10" s="150"/>
      <c r="EA10" s="150"/>
      <c r="EB10" s="150"/>
      <c r="EC10" s="150"/>
      <c r="ED10" s="150"/>
      <c r="EE10" s="150"/>
      <c r="EF10" s="150"/>
      <c r="EG10" s="150"/>
      <c r="EH10" s="151"/>
      <c r="EI10" s="176"/>
      <c r="EJ10" s="176"/>
      <c r="EK10" s="150"/>
      <c r="EL10" s="150"/>
      <c r="EM10" s="150"/>
      <c r="EN10" s="150"/>
      <c r="EO10" s="150"/>
      <c r="EP10" s="150"/>
      <c r="EQ10" s="150"/>
      <c r="ER10" s="150"/>
      <c r="ES10" s="150"/>
      <c r="ET10" s="150"/>
      <c r="EU10" s="150"/>
      <c r="EV10" s="150"/>
      <c r="EW10" s="150"/>
      <c r="EX10" s="150"/>
      <c r="EY10" s="151"/>
      <c r="EZ10" s="77"/>
    </row>
    <row r="11" customHeight="1" spans="1:156">
      <c r="A11" s="92"/>
      <c r="B11" s="221" t="s">
        <v>40</v>
      </c>
      <c r="C11" s="222"/>
      <c r="D11" s="222"/>
      <c r="E11" s="222"/>
      <c r="F11" s="222"/>
      <c r="G11" s="222"/>
      <c r="H11" s="223"/>
      <c r="I11" s="223"/>
      <c r="J11" s="224"/>
      <c r="K11" s="225"/>
      <c r="L11" s="226"/>
      <c r="M11" s="227"/>
      <c r="N11" s="228" t="s">
        <v>41</v>
      </c>
      <c r="O11" s="229"/>
      <c r="P11" s="229"/>
      <c r="Q11" s="229"/>
      <c r="R11" s="229"/>
      <c r="S11" s="229"/>
      <c r="T11" s="229"/>
      <c r="U11" s="230"/>
      <c r="V11" s="231"/>
      <c r="W11" s="232"/>
      <c r="X11" s="233"/>
      <c r="Y11" s="234"/>
      <c r="Z11" s="235"/>
      <c r="AA11" s="236"/>
      <c r="AB11" s="237" t="s">
        <v>42</v>
      </c>
      <c r="AC11" s="222"/>
      <c r="AD11" s="222"/>
      <c r="AE11" s="222"/>
      <c r="AF11" s="222"/>
      <c r="AG11" s="238"/>
      <c r="AH11" s="239"/>
      <c r="AI11" s="223"/>
      <c r="AJ11" s="224"/>
      <c r="AK11" s="226"/>
      <c r="AL11" s="226"/>
      <c r="AM11" s="240"/>
      <c r="AN11" s="241" t="s">
        <v>43</v>
      </c>
      <c r="AO11" s="242"/>
      <c r="AP11" s="242"/>
      <c r="AQ11" s="242"/>
      <c r="AR11" s="242"/>
      <c r="AS11" s="242"/>
      <c r="AT11" s="242"/>
      <c r="AU11" s="243"/>
      <c r="AV11" s="244"/>
      <c r="AW11" s="245"/>
      <c r="AX11" s="246" t="s">
        <v>44</v>
      </c>
      <c r="AY11" s="247"/>
      <c r="AZ11" s="247"/>
      <c r="BA11" s="247"/>
      <c r="BB11" s="247"/>
      <c r="BC11" s="247"/>
      <c r="BD11" s="248" t="str">
        <f>IF(DF46="关押或入狱","已适应","☐☐☐")</f>
        <v>☐☐☐</v>
      </c>
      <c r="BE11" s="248"/>
      <c r="BF11" s="248"/>
      <c r="BG11" s="249"/>
      <c r="BH11" s="220"/>
      <c r="BI11" s="250"/>
      <c r="BJ11" s="251"/>
      <c r="BK11" s="251"/>
      <c r="BL11" s="251"/>
      <c r="BM11" s="251"/>
      <c r="BN11" s="251"/>
      <c r="BO11" s="251"/>
      <c r="BP11" s="251"/>
      <c r="BQ11" s="251"/>
      <c r="BR11" s="251"/>
      <c r="BS11" s="251"/>
      <c r="BT11" s="251"/>
      <c r="BU11" s="251"/>
      <c r="BV11" s="252"/>
      <c r="BW11" s="98"/>
      <c r="BX11" s="253"/>
      <c r="BY11" s="254"/>
      <c r="BZ11" s="254"/>
      <c r="CA11" s="254"/>
      <c r="CB11" s="254"/>
      <c r="CC11" s="254"/>
      <c r="CD11" s="254"/>
      <c r="CE11" s="254"/>
      <c r="CF11" s="254"/>
      <c r="CG11" s="254"/>
      <c r="CH11" s="254"/>
      <c r="CI11" s="254"/>
      <c r="CJ11" s="254"/>
      <c r="CK11" s="254"/>
      <c r="CL11" s="254"/>
      <c r="CM11" s="254"/>
      <c r="CN11" s="254"/>
      <c r="CO11" s="254"/>
      <c r="CP11" s="255"/>
      <c r="CQ11" s="255"/>
      <c r="CR11" s="255"/>
      <c r="CS11" s="255"/>
      <c r="CT11" s="255"/>
      <c r="CU11" s="255"/>
      <c r="CV11" s="255"/>
      <c r="CW11" s="255"/>
      <c r="CX11" s="256"/>
      <c r="CY11" s="92"/>
      <c r="CZ11" s="257"/>
      <c r="DA11" s="258"/>
      <c r="DB11" s="258"/>
      <c r="DC11" s="258"/>
      <c r="DD11" s="258"/>
      <c r="DE11" s="258"/>
      <c r="DF11" s="258"/>
      <c r="DG11" s="258"/>
      <c r="DH11" s="258"/>
      <c r="DI11" s="258"/>
      <c r="DJ11" s="258"/>
      <c r="DK11" s="258"/>
      <c r="DL11" s="258"/>
      <c r="DM11" s="258"/>
      <c r="DN11" s="258"/>
      <c r="DO11" s="258"/>
      <c r="DP11" s="258"/>
      <c r="DQ11" s="258"/>
      <c r="DR11" s="259"/>
      <c r="DS11" s="260"/>
      <c r="DT11" s="260"/>
      <c r="DU11" s="260"/>
      <c r="DV11" s="260"/>
      <c r="DW11" s="260"/>
      <c r="DX11" s="260"/>
      <c r="DY11" s="260"/>
      <c r="DZ11" s="260"/>
      <c r="EA11" s="260"/>
      <c r="EB11" s="260"/>
      <c r="EC11" s="260"/>
      <c r="ED11" s="260"/>
      <c r="EE11" s="260"/>
      <c r="EF11" s="260"/>
      <c r="EG11" s="260"/>
      <c r="EH11" s="261"/>
      <c r="EI11" s="262"/>
      <c r="EJ11" s="262"/>
      <c r="EK11" s="260"/>
      <c r="EL11" s="260"/>
      <c r="EM11" s="260"/>
      <c r="EN11" s="260"/>
      <c r="EO11" s="260"/>
      <c r="EP11" s="260"/>
      <c r="EQ11" s="260"/>
      <c r="ER11" s="260"/>
      <c r="ES11" s="260"/>
      <c r="ET11" s="260"/>
      <c r="EU11" s="260"/>
      <c r="EV11" s="260"/>
      <c r="EW11" s="260"/>
      <c r="EX11" s="260"/>
      <c r="EY11" s="261"/>
      <c r="EZ11" s="77"/>
    </row>
    <row r="12" ht="6.6" customHeight="1" spans="1:156">
      <c r="B12" s="80"/>
      <c r="C12" s="80"/>
      <c r="D12" s="80"/>
      <c r="E12" s="80"/>
      <c r="F12" s="80"/>
      <c r="G12" s="80"/>
      <c r="H12" s="80"/>
      <c r="I12" s="80"/>
      <c r="J12" s="80"/>
      <c r="K12" s="80"/>
      <c r="L12" s="80"/>
      <c r="M12" s="80"/>
      <c r="N12" s="80"/>
      <c r="O12" s="80"/>
      <c r="P12" s="80"/>
      <c r="Q12" s="80"/>
      <c r="R12" s="80"/>
      <c r="S12" s="80"/>
      <c r="T12" s="80"/>
      <c r="U12" s="80"/>
      <c r="V12" s="80"/>
      <c r="W12" s="80"/>
      <c r="X12" s="80"/>
      <c r="Y12" s="80"/>
      <c r="Z12" s="80"/>
      <c r="AA12" s="80"/>
      <c r="AB12" s="80"/>
      <c r="AC12" s="80"/>
      <c r="AD12" s="80"/>
      <c r="AE12" s="80"/>
      <c r="AF12" s="80"/>
      <c r="AG12" s="80"/>
      <c r="AH12" s="80"/>
      <c r="AI12" s="80"/>
      <c r="AJ12" s="80"/>
      <c r="AK12" s="80"/>
      <c r="AL12" s="80"/>
      <c r="AM12" s="80"/>
      <c r="AN12" s="80"/>
      <c r="AO12" s="80"/>
      <c r="AP12" s="80"/>
      <c r="AQ12" s="80"/>
      <c r="AR12" s="80"/>
      <c r="AS12" s="80"/>
      <c r="AT12" s="80"/>
      <c r="AU12" s="80"/>
      <c r="AV12" s="80"/>
      <c r="AW12" s="80"/>
      <c r="AX12" s="80"/>
      <c r="AY12" s="80"/>
      <c r="AZ12" s="80"/>
      <c r="BA12" s="80"/>
      <c r="BB12" s="80"/>
      <c r="BC12" s="80"/>
      <c r="BD12" s="80"/>
      <c r="BE12" s="80"/>
      <c r="BF12" s="80"/>
      <c r="BG12" s="80"/>
      <c r="BH12" s="80"/>
      <c r="BI12" s="80"/>
      <c r="BJ12" s="80"/>
      <c r="BK12" s="80"/>
      <c r="BL12" s="80"/>
      <c r="BM12" s="80"/>
      <c r="BN12" s="80"/>
      <c r="BO12" s="80"/>
      <c r="BP12" s="80"/>
      <c r="BQ12" s="80"/>
      <c r="BR12" s="80"/>
      <c r="BS12" s="80"/>
      <c r="BT12" s="80"/>
      <c r="BU12" s="80"/>
      <c r="BV12" s="80"/>
      <c r="BW12" s="80"/>
      <c r="BX12" s="80"/>
      <c r="BY12" s="80"/>
      <c r="BZ12" s="80"/>
      <c r="CA12" s="80"/>
      <c r="CB12" s="80"/>
      <c r="CC12" s="80"/>
      <c r="CD12" s="80"/>
      <c r="CE12" s="80"/>
      <c r="CF12" s="80"/>
      <c r="CG12" s="80"/>
      <c r="CH12" s="80"/>
      <c r="CI12" s="80"/>
      <c r="CJ12" s="80"/>
      <c r="CK12" s="80"/>
      <c r="CL12" s="80"/>
      <c r="CM12" s="80"/>
      <c r="CN12" s="80"/>
      <c r="CO12" s="80"/>
      <c r="CP12" s="80"/>
      <c r="CQ12" s="80"/>
      <c r="CR12" s="80"/>
      <c r="CS12" s="80"/>
      <c r="CT12" s="80"/>
      <c r="CU12" s="80"/>
      <c r="CV12" s="80"/>
      <c r="CW12" s="80"/>
      <c r="CX12" s="80"/>
      <c r="CY12" s="92"/>
      <c r="CZ12" s="80"/>
      <c r="DA12" s="80"/>
      <c r="DB12" s="80"/>
      <c r="DC12" s="80"/>
      <c r="DD12" s="80"/>
      <c r="DE12" s="80"/>
      <c r="DF12" s="80"/>
      <c r="DG12" s="80"/>
      <c r="DH12" s="80"/>
      <c r="DI12" s="80"/>
      <c r="DJ12" s="80"/>
      <c r="DK12" s="80"/>
      <c r="DL12" s="80"/>
      <c r="DM12" s="80"/>
      <c r="DN12" s="80"/>
      <c r="DO12" s="80"/>
      <c r="DP12" s="80"/>
      <c r="DQ12" s="80"/>
      <c r="DR12" s="80"/>
      <c r="DS12" s="80"/>
      <c r="DT12" s="80"/>
      <c r="DU12" s="80"/>
      <c r="DV12" s="80"/>
      <c r="DW12" s="80"/>
      <c r="DX12" s="80"/>
      <c r="DY12" s="80"/>
      <c r="DZ12" s="80"/>
      <c r="EA12" s="80"/>
      <c r="EB12" s="80"/>
      <c r="EC12" s="80"/>
      <c r="ED12" s="80"/>
      <c r="EE12" s="80"/>
      <c r="EF12" s="80"/>
      <c r="EG12" s="80"/>
      <c r="EH12" s="76"/>
      <c r="EI12" s="263"/>
      <c r="EJ12" s="263"/>
      <c r="EK12" s="263"/>
      <c r="EL12" s="263"/>
      <c r="EM12" s="263"/>
      <c r="EN12" s="263"/>
      <c r="EO12" s="263"/>
      <c r="EP12" s="263"/>
      <c r="EQ12" s="263"/>
      <c r="ER12" s="263"/>
      <c r="ES12" s="263"/>
      <c r="ET12" s="263"/>
      <c r="EU12" s="263"/>
      <c r="EV12" s="263"/>
      <c r="EW12" s="263"/>
      <c r="EX12" s="263"/>
      <c r="EY12" s="263"/>
    </row>
    <row r="13" customHeight="1" spans="1:156">
      <c r="A13" s="92"/>
      <c r="B13" s="264" t="s">
        <v>45</v>
      </c>
      <c r="C13" s="264"/>
      <c r="D13" s="264"/>
      <c r="E13" s="264"/>
      <c r="F13" s="264"/>
      <c r="G13" s="264"/>
      <c r="H13" s="264"/>
      <c r="I13" s="264"/>
      <c r="J13" s="264"/>
      <c r="K13" s="264"/>
      <c r="L13" s="264"/>
      <c r="M13" s="264"/>
      <c r="N13" s="264"/>
      <c r="O13" s="264"/>
      <c r="P13" s="265" t="s">
        <v>46</v>
      </c>
      <c r="Q13" s="265"/>
      <c r="R13" s="265"/>
      <c r="S13" s="265" t="s">
        <v>47</v>
      </c>
      <c r="T13" s="265"/>
      <c r="U13" s="265"/>
      <c r="V13" s="265" t="s">
        <v>48</v>
      </c>
      <c r="W13" s="265"/>
      <c r="X13" s="265"/>
      <c r="Y13" s="265" t="s">
        <v>49</v>
      </c>
      <c r="Z13" s="265"/>
      <c r="AA13" s="265"/>
      <c r="AB13" s="265" t="s">
        <v>50</v>
      </c>
      <c r="AC13" s="265"/>
      <c r="AD13" s="265"/>
      <c r="AE13" s="265"/>
      <c r="AF13" s="265"/>
      <c r="AG13" s="265"/>
      <c r="AH13" s="265"/>
      <c r="AI13" s="265"/>
      <c r="AJ13" s="265"/>
      <c r="AK13" s="265"/>
      <c r="AL13" s="265"/>
      <c r="AM13" s="265"/>
      <c r="AN13" s="265"/>
      <c r="AO13" s="265"/>
      <c r="AP13" s="265"/>
      <c r="AQ13" s="265"/>
      <c r="AR13" s="265"/>
      <c r="AS13" s="265" t="s">
        <v>46</v>
      </c>
      <c r="AT13" s="265"/>
      <c r="AU13" s="265"/>
      <c r="AV13" s="265" t="s">
        <v>47</v>
      </c>
      <c r="AW13" s="265"/>
      <c r="AX13" s="265"/>
      <c r="AY13" s="265" t="s">
        <v>48</v>
      </c>
      <c r="AZ13" s="265"/>
      <c r="BA13" s="265"/>
      <c r="BB13" s="265" t="s">
        <v>49</v>
      </c>
      <c r="BC13" s="265"/>
      <c r="BD13" s="265"/>
      <c r="BE13" s="265" t="s">
        <v>50</v>
      </c>
      <c r="BF13" s="265"/>
      <c r="BG13" s="265"/>
      <c r="BH13" s="266"/>
      <c r="BI13" s="267" t="s">
        <v>51</v>
      </c>
      <c r="BJ13" s="268"/>
      <c r="BK13" s="268"/>
      <c r="BL13" s="268"/>
      <c r="BM13" s="268"/>
      <c r="BN13" s="268"/>
      <c r="BO13" s="268"/>
      <c r="BP13" s="268"/>
      <c r="BQ13" s="268"/>
      <c r="BR13" s="268"/>
      <c r="BS13" s="268"/>
      <c r="BT13" s="268"/>
      <c r="BU13" s="268"/>
      <c r="BV13" s="268"/>
      <c r="BW13" s="268"/>
      <c r="BX13" s="268"/>
      <c r="BY13" s="268"/>
      <c r="BZ13" s="268"/>
      <c r="CA13" s="268"/>
      <c r="CB13" s="268"/>
      <c r="CC13" s="268"/>
      <c r="CD13" s="268"/>
      <c r="CE13" s="268"/>
      <c r="CF13" s="268"/>
      <c r="CG13" s="268"/>
      <c r="CH13" s="268"/>
      <c r="CI13" s="268"/>
      <c r="CJ13" s="268"/>
      <c r="CK13" s="268"/>
      <c r="CL13" s="268"/>
      <c r="CM13" s="268"/>
      <c r="CN13" s="268"/>
      <c r="CO13" s="268"/>
      <c r="CP13" s="268"/>
      <c r="CQ13" s="268"/>
      <c r="CR13" s="268"/>
      <c r="CS13" s="268"/>
      <c r="CT13" s="268"/>
      <c r="CU13" s="268"/>
      <c r="CV13" s="268"/>
      <c r="CW13" s="268"/>
      <c r="CX13" s="268"/>
      <c r="CY13" s="92"/>
      <c r="CZ13" s="269" t="s">
        <v>52</v>
      </c>
      <c r="DA13" s="270"/>
      <c r="DB13" s="270"/>
      <c r="DC13" s="270"/>
      <c r="DD13" s="270"/>
      <c r="DE13" s="270"/>
      <c r="DF13" s="270"/>
      <c r="DG13" s="270"/>
      <c r="DH13" s="270"/>
      <c r="DI13" s="270"/>
      <c r="DJ13" s="270"/>
      <c r="DK13" s="270"/>
      <c r="DL13" s="271"/>
      <c r="DM13" s="272" t="s">
        <v>53</v>
      </c>
      <c r="DN13" s="273"/>
      <c r="DO13" s="273"/>
      <c r="DP13" s="274"/>
      <c r="DQ13" s="272" t="s">
        <v>54</v>
      </c>
      <c r="DR13" s="273"/>
      <c r="DS13" s="273"/>
      <c r="DT13" s="273"/>
      <c r="DU13" s="273"/>
      <c r="DV13" s="274"/>
      <c r="DW13" s="275" t="s">
        <v>55</v>
      </c>
      <c r="DX13" s="275"/>
      <c r="DY13" s="275"/>
      <c r="DZ13" s="272" t="s">
        <v>56</v>
      </c>
      <c r="EA13" s="273"/>
      <c r="EB13" s="273"/>
      <c r="EC13" s="274"/>
      <c r="ED13" s="272" t="s">
        <v>57</v>
      </c>
      <c r="EE13" s="273"/>
      <c r="EF13" s="273"/>
      <c r="EG13" s="274"/>
      <c r="EH13" s="276"/>
      <c r="EI13" s="277" t="s">
        <v>58</v>
      </c>
      <c r="EJ13" s="278"/>
      <c r="EK13" s="278"/>
      <c r="EL13" s="278"/>
      <c r="EM13" s="278"/>
      <c r="EN13" s="278"/>
      <c r="EO13" s="278"/>
      <c r="EP13" s="278"/>
      <c r="EQ13" s="279">
        <f>IF(AH3="",0,FLOOR((附表!B2-9)/4,1))</f>
        <v>0</v>
      </c>
      <c r="ER13" s="279"/>
      <c r="ES13" s="279"/>
      <c r="ET13" s="279"/>
      <c r="EU13" s="279"/>
      <c r="EV13" s="279"/>
      <c r="EW13" s="279"/>
      <c r="EX13" s="279"/>
      <c r="EY13" s="280"/>
      <c r="EZ13" s="77"/>
    </row>
    <row r="14" customHeight="1" spans="1:156">
      <c r="A14" s="92"/>
      <c r="B14" s="281" t="s">
        <v>59</v>
      </c>
      <c r="C14" s="282"/>
      <c r="D14" s="283" t="s">
        <v>60</v>
      </c>
      <c r="E14" s="283"/>
      <c r="F14" s="283"/>
      <c r="G14" s="283"/>
      <c r="H14" s="283"/>
      <c r="I14" s="283"/>
      <c r="J14" s="283"/>
      <c r="K14" s="283"/>
      <c r="L14" s="283"/>
      <c r="M14" s="283"/>
      <c r="N14" s="283"/>
      <c r="O14" s="283"/>
      <c r="P14" s="284">
        <f ca="1" t="shared" ref="P14:P43" si="0">IF(V14="",N(S14),N(V14))+N(Y14)+N(AB14)</f>
        <v>10</v>
      </c>
      <c r="Q14" s="284"/>
      <c r="R14" s="284"/>
      <c r="S14" s="285">
        <v>10</v>
      </c>
      <c r="T14" s="285"/>
      <c r="U14" s="285"/>
      <c r="V14" s="286" t="str">
        <f ca="1">IF(职业选项!V40&gt;0,职业选项!V40,"")</f>
        <v/>
      </c>
      <c r="W14" s="286"/>
      <c r="X14" s="286"/>
      <c r="Y14" s="286" t="str">
        <f ca="1">规则数据!H20</f>
        <v/>
      </c>
      <c r="Z14" s="286"/>
      <c r="AA14" s="286"/>
      <c r="AB14" s="286"/>
      <c r="AC14" s="286"/>
      <c r="AD14" s="287"/>
      <c r="AE14" s="288" t="s">
        <v>59</v>
      </c>
      <c r="AF14" s="282"/>
      <c r="AG14" s="283" t="s">
        <v>61</v>
      </c>
      <c r="AH14" s="283"/>
      <c r="AI14" s="283"/>
      <c r="AJ14" s="283"/>
      <c r="AK14" s="283"/>
      <c r="AL14" s="283"/>
      <c r="AM14" s="283"/>
      <c r="AN14" s="283"/>
      <c r="AO14" s="283"/>
      <c r="AP14" s="283"/>
      <c r="AQ14" s="283"/>
      <c r="AR14" s="283"/>
      <c r="AS14" s="284">
        <f ca="1" t="shared" ref="AS14:AS38" si="1">IF(AY14="",N(AV14),N(AY14))+N(BB14)+N(BE14)</f>
        <v>0</v>
      </c>
      <c r="AT14" s="284"/>
      <c r="AU14" s="284"/>
      <c r="AV14" s="285">
        <v>0</v>
      </c>
      <c r="AW14" s="285"/>
      <c r="AX14" s="285"/>
      <c r="AY14" s="286" t="str">
        <f ca="1">IF(职业选项!V41&gt;0,职业选项!V41,"")</f>
        <v/>
      </c>
      <c r="AZ14" s="286"/>
      <c r="BA14" s="286"/>
      <c r="BB14" s="286" t="str">
        <f ca="1">规则数据!H50</f>
        <v/>
      </c>
      <c r="BC14" s="286"/>
      <c r="BD14" s="286"/>
      <c r="BE14" s="286"/>
      <c r="BF14" s="286"/>
      <c r="BG14" s="289"/>
      <c r="BH14" s="92"/>
      <c r="BI14" s="290" t="s">
        <v>62</v>
      </c>
      <c r="BJ14" s="291"/>
      <c r="BK14" s="291"/>
      <c r="BL14" s="291"/>
      <c r="BM14" s="291"/>
      <c r="BN14" s="292"/>
      <c r="BO14" s="292"/>
      <c r="BP14" s="292"/>
      <c r="BQ14" s="292"/>
      <c r="BR14" s="292"/>
      <c r="BS14" s="292"/>
      <c r="BT14" s="292"/>
      <c r="BU14" s="292"/>
      <c r="BV14" s="292"/>
      <c r="BW14" s="292"/>
      <c r="BX14" s="292"/>
      <c r="BY14" s="292"/>
      <c r="BZ14" s="292"/>
      <c r="CA14" s="292"/>
      <c r="CB14" s="292"/>
      <c r="CC14" s="292"/>
      <c r="CD14" s="292"/>
      <c r="CE14" s="292"/>
      <c r="CF14" s="292"/>
      <c r="CG14" s="292"/>
      <c r="CH14" s="292"/>
      <c r="CI14" s="292"/>
      <c r="CJ14" s="292"/>
      <c r="CK14" s="292"/>
      <c r="CL14" s="292"/>
      <c r="CM14" s="292"/>
      <c r="CN14" s="292"/>
      <c r="CO14" s="292"/>
      <c r="CP14" s="292"/>
      <c r="CQ14" s="292"/>
      <c r="CR14" s="292"/>
      <c r="CS14" s="292"/>
      <c r="CT14" s="292"/>
      <c r="CU14" s="292"/>
      <c r="CV14" s="292"/>
      <c r="CW14" s="292"/>
      <c r="CX14" s="293"/>
      <c r="CY14" s="92"/>
      <c r="CZ14" s="294"/>
      <c r="DA14" s="295"/>
      <c r="DB14" s="295"/>
      <c r="DC14" s="295"/>
      <c r="DD14" s="295"/>
      <c r="DE14" s="295"/>
      <c r="DF14" s="295"/>
      <c r="DG14" s="295"/>
      <c r="DH14" s="295"/>
      <c r="DI14" s="295"/>
      <c r="DJ14" s="295"/>
      <c r="DK14" s="295"/>
      <c r="DL14" s="295"/>
      <c r="DM14" s="295" t="str">
        <f ca="1">IFERROR(INDIRECT(INDEX(规则数据!$C$500:$C$553,MATCH(CZ14,规则数据!$A$500:$A$553,0))),"")</f>
        <v/>
      </c>
      <c r="DN14" s="295"/>
      <c r="DO14" s="295"/>
      <c r="DP14" s="295"/>
      <c r="DQ14" s="295" t="str">
        <f>IFERROR(IF(INDEX(规则数据!$D$500:$D$553,MATCH(CZ14,规则数据!$A$500:$A$553,0))="","",INDEX(规则数据!$D$500:$D$553,MATCH(CZ14,规则数据!$A$500:$A$553,0))),"")</f>
        <v/>
      </c>
      <c r="DR14" s="295"/>
      <c r="DS14" s="295"/>
      <c r="DT14" s="295"/>
      <c r="DU14" s="295"/>
      <c r="DV14" s="295"/>
      <c r="DW14" s="295" t="str">
        <f>IFERROR(IF(INDEX(规则数据!$E$500:$E$553,MATCH(CZ14,规则数据!$A$500:$A$553,0))="","",INDEX(规则数据!$E$500:$E$553,MATCH(CZ14,规则数据!$A$500:$A$553,0))),"")</f>
        <v/>
      </c>
      <c r="DX14" s="295"/>
      <c r="DY14" s="295"/>
      <c r="DZ14" s="295" t="str">
        <f>IFERROR(IF(INDEX(规则数据!$F$500:$F$553,MATCH(CZ14,规则数据!$A$500:$A$553,0))="","",INDEX(规则数据!$F$500:$F$553,MATCH(CZ14,规则数据!$A$500:$A$553,0))),"")</f>
        <v/>
      </c>
      <c r="EA14" s="295"/>
      <c r="EB14" s="295"/>
      <c r="EC14" s="295"/>
      <c r="ED14" s="295" t="str">
        <f>IFERROR(IF(INDEX(规则数据!$G$500:$G$553,MATCH(CZ14,规则数据!$A$500:$A$553,0))="","",INDEX(规则数据!$G$500:$G$553,MATCH(CZ14,规则数据!$A$500:$A$553,0))),"")</f>
        <v/>
      </c>
      <c r="EE14" s="295"/>
      <c r="EF14" s="295"/>
      <c r="EG14" s="296"/>
      <c r="EH14" s="276"/>
      <c r="EI14" s="297" t="s">
        <v>64</v>
      </c>
      <c r="EJ14" s="298"/>
      <c r="EK14" s="298"/>
      <c r="EL14" s="298"/>
      <c r="EM14" s="298"/>
      <c r="EN14" s="298"/>
      <c r="EO14" s="298"/>
      <c r="EP14" s="298"/>
      <c r="EQ14" s="299"/>
      <c r="ER14" s="299"/>
      <c r="ES14" s="299"/>
      <c r="ET14" s="299"/>
      <c r="EU14" s="299"/>
      <c r="EV14" s="299"/>
      <c r="EW14" s="299"/>
      <c r="EX14" s="299"/>
      <c r="EY14" s="300"/>
      <c r="EZ14" s="77"/>
    </row>
    <row r="15" customHeight="1" spans="1:156">
      <c r="A15" s="92"/>
      <c r="B15" s="301" t="s">
        <v>59</v>
      </c>
      <c r="C15" s="302"/>
      <c r="D15" s="303" t="s">
        <v>65</v>
      </c>
      <c r="E15" s="303"/>
      <c r="F15" s="303"/>
      <c r="G15" s="303"/>
      <c r="H15" s="303"/>
      <c r="I15" s="303"/>
      <c r="J15" s="303"/>
      <c r="K15" s="303"/>
      <c r="L15" s="303"/>
      <c r="M15" s="303"/>
      <c r="N15" s="303"/>
      <c r="O15" s="303"/>
      <c r="P15" s="304">
        <f ca="1" t="shared" si="0"/>
        <v>20</v>
      </c>
      <c r="Q15" s="304"/>
      <c r="R15" s="304"/>
      <c r="S15" s="305">
        <v>20</v>
      </c>
      <c r="T15" s="305"/>
      <c r="U15" s="305"/>
      <c r="V15" s="139" t="str">
        <f ca="1">IF(职业选项!V42&gt;0,职业选项!V42,"")</f>
        <v/>
      </c>
      <c r="W15" s="139"/>
      <c r="X15" s="139"/>
      <c r="Y15" s="139" t="str">
        <f ca="1">规则数据!H21</f>
        <v/>
      </c>
      <c r="Z15" s="139"/>
      <c r="AA15" s="139"/>
      <c r="AB15" s="139"/>
      <c r="AC15" s="139"/>
      <c r="AD15" s="306"/>
      <c r="AE15" s="307" t="s">
        <v>59</v>
      </c>
      <c r="AF15" s="302"/>
      <c r="AG15" s="303" t="s">
        <v>66</v>
      </c>
      <c r="AH15" s="303"/>
      <c r="AI15" s="303"/>
      <c r="AJ15" s="303"/>
      <c r="AK15" s="303"/>
      <c r="AL15" s="303"/>
      <c r="AM15" s="303"/>
      <c r="AN15" s="303"/>
      <c r="AO15" s="303"/>
      <c r="AP15" s="303"/>
      <c r="AQ15" s="303"/>
      <c r="AR15" s="303"/>
      <c r="AS15" s="304">
        <f ca="1" t="shared" si="1"/>
        <v>0</v>
      </c>
      <c r="AT15" s="304"/>
      <c r="AU15" s="304"/>
      <c r="AV15" s="305">
        <v>0</v>
      </c>
      <c r="AW15" s="305"/>
      <c r="AX15" s="305"/>
      <c r="AY15" s="139" t="str">
        <f ca="1">IF(职业选项!V43&gt;0,职业选项!V43,"")</f>
        <v/>
      </c>
      <c r="AZ15" s="139"/>
      <c r="BA15" s="139"/>
      <c r="BB15" s="139" t="str">
        <f ca="1">规则数据!H51</f>
        <v/>
      </c>
      <c r="BC15" s="139"/>
      <c r="BD15" s="139"/>
      <c r="BE15" s="139"/>
      <c r="BF15" s="139"/>
      <c r="BG15" s="308"/>
      <c r="BH15" s="92"/>
      <c r="BI15" s="131"/>
      <c r="BJ15" s="132"/>
      <c r="BK15" s="132"/>
      <c r="BL15" s="132"/>
      <c r="BM15" s="132"/>
      <c r="BN15" s="309"/>
      <c r="BO15" s="309"/>
      <c r="BP15" s="309"/>
      <c r="BQ15" s="309"/>
      <c r="BR15" s="309"/>
      <c r="BS15" s="309"/>
      <c r="BT15" s="309"/>
      <c r="BU15" s="309"/>
      <c r="BV15" s="309"/>
      <c r="BW15" s="309"/>
      <c r="BX15" s="309"/>
      <c r="BY15" s="309"/>
      <c r="BZ15" s="309"/>
      <c r="CA15" s="309"/>
      <c r="CB15" s="309"/>
      <c r="CC15" s="309"/>
      <c r="CD15" s="309"/>
      <c r="CE15" s="309"/>
      <c r="CF15" s="309"/>
      <c r="CG15" s="309"/>
      <c r="CH15" s="309"/>
      <c r="CI15" s="309"/>
      <c r="CJ15" s="309"/>
      <c r="CK15" s="309"/>
      <c r="CL15" s="309"/>
      <c r="CM15" s="309"/>
      <c r="CN15" s="309"/>
      <c r="CO15" s="309"/>
      <c r="CP15" s="309"/>
      <c r="CQ15" s="309"/>
      <c r="CR15" s="309"/>
      <c r="CS15" s="309"/>
      <c r="CT15" s="309"/>
      <c r="CU15" s="309"/>
      <c r="CV15" s="309"/>
      <c r="CW15" s="309"/>
      <c r="CX15" s="310"/>
      <c r="CY15" s="92"/>
      <c r="CZ15" s="311"/>
      <c r="DA15" s="312"/>
      <c r="DB15" s="312"/>
      <c r="DC15" s="312"/>
      <c r="DD15" s="312"/>
      <c r="DE15" s="312"/>
      <c r="DF15" s="312"/>
      <c r="DG15" s="312"/>
      <c r="DH15" s="312"/>
      <c r="DI15" s="312"/>
      <c r="DJ15" s="312"/>
      <c r="DK15" s="312"/>
      <c r="DL15" s="312"/>
      <c r="DM15" s="312" t="str">
        <f ca="1">IFERROR(INDIRECT(INDEX(规则数据!$C$500:$C$553,MATCH(CZ15,规则数据!$A$500:$A$553,0))),"")</f>
        <v/>
      </c>
      <c r="DN15" s="312"/>
      <c r="DO15" s="312"/>
      <c r="DP15" s="312"/>
      <c r="DQ15" s="312" t="str">
        <f>IFERROR(IF(INDEX(规则数据!$D$500:$D$553,MATCH(CZ15,规则数据!$A$500:$A$553,0))="","",INDEX(规则数据!$D$500:$D$553,MATCH(CZ15,规则数据!$A$500:$A$553,0))),"")</f>
        <v/>
      </c>
      <c r="DR15" s="312"/>
      <c r="DS15" s="312"/>
      <c r="DT15" s="312"/>
      <c r="DU15" s="312"/>
      <c r="DV15" s="312"/>
      <c r="DW15" s="312" t="str">
        <f>IFERROR(IF(INDEX(规则数据!$E$500:$E$553,MATCH(CZ15,规则数据!$A$500:$A$553,0))="","",INDEX(规则数据!$E$500:$E$553,MATCH(CZ15,规则数据!$A$500:$A$553,0))),"")</f>
        <v/>
      </c>
      <c r="DX15" s="312"/>
      <c r="DY15" s="312"/>
      <c r="DZ15" s="312" t="str">
        <f>IFERROR(IF(INDEX(规则数据!$F$500:$F$553,MATCH(CZ15,规则数据!$A$500:$A$553,0))="","",INDEX(规则数据!$F$500:$F$553,MATCH(CZ15,规则数据!$A$500:$A$553,0))),"")</f>
        <v/>
      </c>
      <c r="EA15" s="312"/>
      <c r="EB15" s="312"/>
      <c r="EC15" s="312"/>
      <c r="ED15" s="312" t="str">
        <f>IFERROR(IF(INDEX(规则数据!$G$500:$G$553,MATCH(CZ15,规则数据!$A$500:$A$553,0))="","",INDEX(规则数据!$G$500:$G$553,MATCH(CZ15,规则数据!$A$500:$A$553,0))),"")</f>
        <v/>
      </c>
      <c r="EE15" s="312"/>
      <c r="EF15" s="312"/>
      <c r="EG15" s="313"/>
      <c r="EH15" s="314"/>
      <c r="EI15" s="315"/>
      <c r="EJ15" s="316"/>
      <c r="EK15" s="316"/>
      <c r="EL15" s="316"/>
      <c r="EM15" s="316"/>
      <c r="EN15" s="316"/>
      <c r="EO15" s="316"/>
      <c r="EP15" s="316"/>
      <c r="EQ15" s="316"/>
      <c r="ER15" s="316"/>
      <c r="ES15" s="316"/>
      <c r="ET15" s="316"/>
      <c r="EU15" s="316"/>
      <c r="EV15" s="316"/>
      <c r="EW15" s="316"/>
      <c r="EX15" s="316"/>
      <c r="EY15" s="317"/>
    </row>
    <row r="16" customHeight="1" spans="1:156">
      <c r="A16" s="92"/>
      <c r="B16" s="301" t="s">
        <v>59</v>
      </c>
      <c r="C16" s="302"/>
      <c r="D16" s="303" t="s">
        <v>67</v>
      </c>
      <c r="E16" s="303"/>
      <c r="F16" s="303"/>
      <c r="G16" s="303"/>
      <c r="H16" s="303"/>
      <c r="I16" s="303"/>
      <c r="J16" s="303"/>
      <c r="K16" s="303"/>
      <c r="L16" s="303"/>
      <c r="M16" s="303"/>
      <c r="N16" s="303"/>
      <c r="O16" s="303"/>
      <c r="P16" s="304">
        <f ca="1" t="shared" si="0"/>
        <v>0</v>
      </c>
      <c r="Q16" s="304"/>
      <c r="R16" s="304"/>
      <c r="S16" s="305">
        <v>0</v>
      </c>
      <c r="T16" s="305"/>
      <c r="U16" s="305"/>
      <c r="V16" s="139" t="str">
        <f ca="1">IF(职业选项!V44&gt;0,职业选项!V44,"")</f>
        <v/>
      </c>
      <c r="W16" s="139"/>
      <c r="X16" s="139"/>
      <c r="Y16" s="139" t="str">
        <f ca="1">规则数据!H22</f>
        <v/>
      </c>
      <c r="Z16" s="139"/>
      <c r="AA16" s="139"/>
      <c r="AB16" s="139"/>
      <c r="AC16" s="139"/>
      <c r="AD16" s="306"/>
      <c r="AE16" s="307" t="s">
        <v>59</v>
      </c>
      <c r="AF16" s="302"/>
      <c r="AG16" s="303" t="s">
        <v>68</v>
      </c>
      <c r="AH16" s="303"/>
      <c r="AI16" s="303"/>
      <c r="AJ16" s="303"/>
      <c r="AK16" s="303"/>
      <c r="AL16" s="303"/>
      <c r="AM16" s="303"/>
      <c r="AN16" s="303"/>
      <c r="AO16" s="303"/>
      <c r="AP16" s="303"/>
      <c r="AQ16" s="303"/>
      <c r="AR16" s="303"/>
      <c r="AS16" s="304">
        <f ca="1" t="shared" si="1"/>
        <v>30</v>
      </c>
      <c r="AT16" s="304"/>
      <c r="AU16" s="304"/>
      <c r="AV16" s="305">
        <v>30</v>
      </c>
      <c r="AW16" s="305"/>
      <c r="AX16" s="305"/>
      <c r="AY16" s="139" t="str">
        <f ca="1">IF(职业选项!V45&gt;0,职业选项!V45,"")</f>
        <v/>
      </c>
      <c r="AZ16" s="139"/>
      <c r="BA16" s="139"/>
      <c r="BB16" s="139" t="str">
        <f ca="1">规则数据!H52</f>
        <v/>
      </c>
      <c r="BC16" s="139"/>
      <c r="BD16" s="139"/>
      <c r="BE16" s="139"/>
      <c r="BF16" s="139"/>
      <c r="BG16" s="308"/>
      <c r="BH16" s="92"/>
      <c r="BI16" s="131"/>
      <c r="BJ16" s="132"/>
      <c r="BK16" s="132"/>
      <c r="BL16" s="132"/>
      <c r="BM16" s="132"/>
      <c r="BN16" s="309"/>
      <c r="BO16" s="309"/>
      <c r="BP16" s="309"/>
      <c r="BQ16" s="309"/>
      <c r="BR16" s="309"/>
      <c r="BS16" s="309"/>
      <c r="BT16" s="309"/>
      <c r="BU16" s="309"/>
      <c r="BV16" s="309"/>
      <c r="BW16" s="309"/>
      <c r="BX16" s="309"/>
      <c r="BY16" s="309"/>
      <c r="BZ16" s="309"/>
      <c r="CA16" s="309"/>
      <c r="CB16" s="309"/>
      <c r="CC16" s="309"/>
      <c r="CD16" s="309"/>
      <c r="CE16" s="309"/>
      <c r="CF16" s="309"/>
      <c r="CG16" s="309"/>
      <c r="CH16" s="309"/>
      <c r="CI16" s="309"/>
      <c r="CJ16" s="309"/>
      <c r="CK16" s="309"/>
      <c r="CL16" s="309"/>
      <c r="CM16" s="309"/>
      <c r="CN16" s="309"/>
      <c r="CO16" s="309"/>
      <c r="CP16" s="309"/>
      <c r="CQ16" s="309"/>
      <c r="CR16" s="309"/>
      <c r="CS16" s="309"/>
      <c r="CT16" s="309"/>
      <c r="CU16" s="309"/>
      <c r="CV16" s="309"/>
      <c r="CW16" s="309"/>
      <c r="CX16" s="310"/>
      <c r="CY16" s="92"/>
      <c r="CZ16" s="311"/>
      <c r="DA16" s="312"/>
      <c r="DB16" s="312"/>
      <c r="DC16" s="312"/>
      <c r="DD16" s="312"/>
      <c r="DE16" s="312"/>
      <c r="DF16" s="312"/>
      <c r="DG16" s="312"/>
      <c r="DH16" s="312"/>
      <c r="DI16" s="312"/>
      <c r="DJ16" s="312"/>
      <c r="DK16" s="312"/>
      <c r="DL16" s="312"/>
      <c r="DM16" s="312" t="str">
        <f ca="1">IFERROR(INDIRECT(INDEX(规则数据!$C$500:$C$553,MATCH(CZ16,规则数据!$A$500:$A$553,0))),"")</f>
        <v/>
      </c>
      <c r="DN16" s="312"/>
      <c r="DO16" s="312"/>
      <c r="DP16" s="312"/>
      <c r="DQ16" s="312" t="str">
        <f>IFERROR(IF(INDEX(规则数据!$D$500:$D$553,MATCH(CZ16,规则数据!$A$500:$A$553,0))="","",INDEX(规则数据!$D$500:$D$553,MATCH(CZ16,规则数据!$A$500:$A$553,0))),"")</f>
        <v/>
      </c>
      <c r="DR16" s="312"/>
      <c r="DS16" s="312"/>
      <c r="DT16" s="312"/>
      <c r="DU16" s="312"/>
      <c r="DV16" s="312"/>
      <c r="DW16" s="312" t="str">
        <f>IFERROR(IF(INDEX(规则数据!$E$500:$E$553,MATCH(CZ16,规则数据!$A$500:$A$553,0))="","",INDEX(规则数据!$E$500:$E$553,MATCH(CZ16,规则数据!$A$500:$A$553,0))),"")</f>
        <v/>
      </c>
      <c r="DX16" s="312"/>
      <c r="DY16" s="312"/>
      <c r="DZ16" s="312" t="str">
        <f>IFERROR(IF(INDEX(规则数据!$F$500:$F$553,MATCH(CZ16,规则数据!$A$500:$A$553,0))="","",INDEX(规则数据!$F$500:$F$553,MATCH(CZ16,规则数据!$A$500:$A$553,0))),"")</f>
        <v/>
      </c>
      <c r="EA16" s="312"/>
      <c r="EB16" s="312"/>
      <c r="EC16" s="312"/>
      <c r="ED16" s="312" t="str">
        <f>IFERROR(IF(INDEX(规则数据!$G$500:$G$553,MATCH(CZ16,规则数据!$A$500:$A$553,0))="","",INDEX(规则数据!$G$500:$G$553,MATCH(CZ16,规则数据!$A$500:$A$553,0))),"")</f>
        <v/>
      </c>
      <c r="EE16" s="312"/>
      <c r="EF16" s="312"/>
      <c r="EG16" s="313"/>
      <c r="EH16" s="276"/>
      <c r="EI16" s="318" t="s">
        <v>69</v>
      </c>
      <c r="EJ16" s="319"/>
      <c r="EK16" s="319"/>
      <c r="EL16" s="319"/>
      <c r="EM16" s="319"/>
      <c r="EN16" s="319"/>
      <c r="EO16" s="319"/>
      <c r="EP16" s="319"/>
      <c r="EQ16" s="319"/>
      <c r="ER16" s="319"/>
      <c r="ES16" s="319"/>
      <c r="ET16" s="319"/>
      <c r="EU16" s="319"/>
      <c r="EV16" s="319"/>
      <c r="EW16" s="319"/>
      <c r="EX16" s="319"/>
      <c r="EY16" s="320"/>
      <c r="EZ16" s="77"/>
    </row>
    <row r="17" customHeight="1" spans="1:156">
      <c r="A17" s="92"/>
      <c r="B17" s="301" t="s">
        <v>59</v>
      </c>
      <c r="C17" s="302"/>
      <c r="D17" s="303" t="s">
        <v>70</v>
      </c>
      <c r="E17" s="303"/>
      <c r="F17" s="303"/>
      <c r="G17" s="303"/>
      <c r="H17" s="303"/>
      <c r="I17" s="303"/>
      <c r="J17" s="303"/>
      <c r="K17" s="303"/>
      <c r="L17" s="303"/>
      <c r="M17" s="303"/>
      <c r="N17" s="303"/>
      <c r="O17" s="303"/>
      <c r="P17" s="304">
        <f ca="1" t="shared" si="0"/>
        <v>0</v>
      </c>
      <c r="Q17" s="304"/>
      <c r="R17" s="304"/>
      <c r="S17" s="305">
        <v>0</v>
      </c>
      <c r="T17" s="305"/>
      <c r="U17" s="305"/>
      <c r="V17" s="139" t="str">
        <f ca="1">IF(职业选项!V46&gt;0,职业选项!V46,"")</f>
        <v/>
      </c>
      <c r="W17" s="139"/>
      <c r="X17" s="139"/>
      <c r="Y17" s="139" t="str">
        <f ca="1">规则数据!H23</f>
        <v/>
      </c>
      <c r="Z17" s="139"/>
      <c r="AA17" s="139"/>
      <c r="AB17" s="139"/>
      <c r="AC17" s="139"/>
      <c r="AD17" s="306"/>
      <c r="AE17" s="307" t="s">
        <v>59</v>
      </c>
      <c r="AF17" s="302"/>
      <c r="AG17" s="321" t="s">
        <v>71</v>
      </c>
      <c r="AH17" s="322"/>
      <c r="AI17" s="322"/>
      <c r="AJ17" s="322"/>
      <c r="AK17" s="322"/>
      <c r="AL17" s="322"/>
      <c r="AM17" s="323" t="str">
        <f ca="1">IF(COUNTIF(职业选项!$I$2:$I$28,"军事科学1")&gt;0,IFERROR(INDEX(职业选项!$F$2:$F$28,MATCH("军事科学1",职业选项!$I$2:$I$28,0)),""),IFERROR(MID(IFERROR(INDEX(规则数据!$C$2:$C$9,SMALL(规则数据!$AU$2:$AU$9,1-COUNTIF(职业选项!$C$2:$C$28,"军事科学"))),""),LEN("军事科学")+2,LEN(IFERROR(INDEX(规则数据!$C$2:$C$9,SMALL(规则数据!$AU$2:$AU$9,1-COUNTIF(职业选项!$C$2:$C$28,"军事科学"))),""))-LEN("军事科学")-2),""))</f>
        <v/>
      </c>
      <c r="AN17" s="323"/>
      <c r="AO17" s="323"/>
      <c r="AP17" s="323"/>
      <c r="AQ17" s="323"/>
      <c r="AR17" s="324"/>
      <c r="AS17" s="304">
        <f ca="1" t="shared" si="1"/>
        <v>0</v>
      </c>
      <c r="AT17" s="304"/>
      <c r="AU17" s="304"/>
      <c r="AV17" s="305">
        <v>0</v>
      </c>
      <c r="AW17" s="305"/>
      <c r="AX17" s="305"/>
      <c r="AY17" s="139" t="str">
        <f ca="1">IF(职业选项!V47&gt;0,职业选项!V47,"")</f>
        <v/>
      </c>
      <c r="AZ17" s="139"/>
      <c r="BA17" s="139"/>
      <c r="BB17" s="139" t="str">
        <f ca="1">规则数据!H53</f>
        <v/>
      </c>
      <c r="BC17" s="139"/>
      <c r="BD17" s="139"/>
      <c r="BE17" s="139"/>
      <c r="BF17" s="139"/>
      <c r="BG17" s="308"/>
      <c r="BH17" s="92"/>
      <c r="BI17" s="325" t="s">
        <v>72</v>
      </c>
      <c r="BJ17" s="326"/>
      <c r="BK17" s="326"/>
      <c r="BL17" s="326"/>
      <c r="BM17" s="326"/>
      <c r="BN17" s="327" t="str">
        <f>规则数据!S10&amp;IF(AND(DF46="人类不应知道之事",DR55&lt;&gt;""),IF(规则数据!S10&lt;&gt;"",CHAR(10),"")&amp;"创伤心理疾病："&amp;DR55,"")</f>
        <v/>
      </c>
      <c r="BO17" s="327"/>
      <c r="BP17" s="327"/>
      <c r="BQ17" s="327"/>
      <c r="BR17" s="327"/>
      <c r="BS17" s="327"/>
      <c r="BT17" s="327"/>
      <c r="BU17" s="327"/>
      <c r="BV17" s="327"/>
      <c r="BW17" s="327"/>
      <c r="BX17" s="327"/>
      <c r="BY17" s="327"/>
      <c r="BZ17" s="327"/>
      <c r="CA17" s="327"/>
      <c r="CB17" s="327"/>
      <c r="CC17" s="327"/>
      <c r="CD17" s="327"/>
      <c r="CE17" s="327"/>
      <c r="CF17" s="327"/>
      <c r="CG17" s="327"/>
      <c r="CH17" s="327"/>
      <c r="CI17" s="327"/>
      <c r="CJ17" s="327"/>
      <c r="CK17" s="327"/>
      <c r="CL17" s="327"/>
      <c r="CM17" s="327"/>
      <c r="CN17" s="327"/>
      <c r="CO17" s="327"/>
      <c r="CP17" s="327"/>
      <c r="CQ17" s="327"/>
      <c r="CR17" s="327"/>
      <c r="CS17" s="327"/>
      <c r="CT17" s="327"/>
      <c r="CU17" s="327"/>
      <c r="CV17" s="327"/>
      <c r="CW17" s="327"/>
      <c r="CX17" s="328"/>
      <c r="CY17" s="92"/>
      <c r="CZ17" s="311"/>
      <c r="DA17" s="312"/>
      <c r="DB17" s="312"/>
      <c r="DC17" s="312"/>
      <c r="DD17" s="312"/>
      <c r="DE17" s="312"/>
      <c r="DF17" s="312"/>
      <c r="DG17" s="312"/>
      <c r="DH17" s="312"/>
      <c r="DI17" s="312"/>
      <c r="DJ17" s="312"/>
      <c r="DK17" s="312"/>
      <c r="DL17" s="312"/>
      <c r="DM17" s="312" t="str">
        <f ca="1">IFERROR(INDIRECT(INDEX(规则数据!$C$500:$C$553,MATCH(CZ17,规则数据!$A$500:$A$553,0))),"")</f>
        <v/>
      </c>
      <c r="DN17" s="312"/>
      <c r="DO17" s="312"/>
      <c r="DP17" s="312"/>
      <c r="DQ17" s="312" t="str">
        <f>IFERROR(IF(INDEX(规则数据!$D$500:$D$553,MATCH(CZ17,规则数据!$A$500:$A$553,0))="","",INDEX(规则数据!$D$500:$D$553,MATCH(CZ17,规则数据!$A$500:$A$553,0))),"")</f>
        <v/>
      </c>
      <c r="DR17" s="312"/>
      <c r="DS17" s="312"/>
      <c r="DT17" s="312"/>
      <c r="DU17" s="312"/>
      <c r="DV17" s="312"/>
      <c r="DW17" s="312" t="str">
        <f>IFERROR(IF(INDEX(规则数据!$E$500:$E$553,MATCH(CZ17,规则数据!$A$500:$A$553,0))="","",INDEX(规则数据!$E$500:$E$553,MATCH(CZ17,规则数据!$A$500:$A$553,0))),"")</f>
        <v/>
      </c>
      <c r="DX17" s="312"/>
      <c r="DY17" s="312"/>
      <c r="DZ17" s="312" t="str">
        <f>IFERROR(IF(INDEX(规则数据!$F$500:$F$553,MATCH(CZ17,规则数据!$A$500:$A$553,0))="","",INDEX(规则数据!$F$500:$F$553,MATCH(CZ17,规则数据!$A$500:$A$553,0))),"")</f>
        <v/>
      </c>
      <c r="EA17" s="312"/>
      <c r="EB17" s="312"/>
      <c r="EC17" s="312"/>
      <c r="ED17" s="312" t="str">
        <f>IFERROR(IF(INDEX(规则数据!$G$500:$G$553,MATCH(CZ17,规则数据!$A$500:$A$553,0))="","",INDEX(规则数据!$G$500:$G$553,MATCH(CZ17,规则数据!$A$500:$A$553,0))),"")</f>
        <v/>
      </c>
      <c r="EE17" s="312"/>
      <c r="EF17" s="312"/>
      <c r="EG17" s="313"/>
      <c r="EH17" s="276"/>
      <c r="EI17" s="329"/>
      <c r="EJ17" s="150"/>
      <c r="EK17" s="150"/>
      <c r="EL17" s="150"/>
      <c r="EM17" s="150"/>
      <c r="EN17" s="150"/>
      <c r="EO17" s="150"/>
      <c r="EP17" s="150"/>
      <c r="EQ17" s="150"/>
      <c r="ER17" s="150"/>
      <c r="ES17" s="150"/>
      <c r="ET17" s="150"/>
      <c r="EU17" s="150"/>
      <c r="EV17" s="150"/>
      <c r="EW17" s="150"/>
      <c r="EX17" s="150"/>
      <c r="EY17" s="151"/>
      <c r="EZ17" s="77"/>
    </row>
    <row r="18" customHeight="1" spans="1:156">
      <c r="A18" s="92"/>
      <c r="B18" s="301" t="s">
        <v>59</v>
      </c>
      <c r="C18" s="302"/>
      <c r="D18" s="330" t="s">
        <v>73</v>
      </c>
      <c r="E18" s="331"/>
      <c r="F18" s="331"/>
      <c r="G18" s="331"/>
      <c r="H18" s="331"/>
      <c r="I18" s="331"/>
      <c r="J18" s="332" t="str">
        <f ca="1">IF(COUNTIF(职业选项!$I$2:$I$28,"艺术1")&gt;0,IFERROR(INDEX(职业选项!$F$2:$F$28,MATCH("艺术1",职业选项!$I$2:$I$28,0)),""),IFERROR(MID(IFERROR(INDEX(规则数据!$C$2:$C$9,SMALL(规则数据!$AR$2:$AR$9,1-COUNTIF(职业选项!$C$2:$C$28,"艺术"))),""),LEN("艺术")+2,LEN(IFERROR(INDEX(规则数据!$C$2:$C$9,SMALL(规则数据!$AR$2:$AR$9,1-COUNTIF(职业选项!$C$2:$C$28,"艺术"))),""))-LEN("艺术")-2),""))</f>
        <v/>
      </c>
      <c r="K18" s="332"/>
      <c r="L18" s="332"/>
      <c r="M18" s="332"/>
      <c r="N18" s="332"/>
      <c r="O18" s="333"/>
      <c r="P18" s="304">
        <f ca="1" t="shared" si="0"/>
        <v>0</v>
      </c>
      <c r="Q18" s="304"/>
      <c r="R18" s="304"/>
      <c r="S18" s="305">
        <v>0</v>
      </c>
      <c r="T18" s="305"/>
      <c r="U18" s="305"/>
      <c r="V18" s="139" t="str">
        <f ca="1">IF(职业选项!V48&gt;0,职业选项!V48,"")</f>
        <v/>
      </c>
      <c r="W18" s="139"/>
      <c r="X18" s="139"/>
      <c r="Y18" s="139" t="str">
        <f ca="1">规则数据!H24</f>
        <v/>
      </c>
      <c r="Z18" s="139"/>
      <c r="AA18" s="139"/>
      <c r="AB18" s="139"/>
      <c r="AC18" s="139"/>
      <c r="AD18" s="306"/>
      <c r="AE18" s="307" t="s">
        <v>59</v>
      </c>
      <c r="AF18" s="302"/>
      <c r="AG18" s="330" t="s">
        <v>71</v>
      </c>
      <c r="AH18" s="331"/>
      <c r="AI18" s="331"/>
      <c r="AJ18" s="331"/>
      <c r="AK18" s="331"/>
      <c r="AL18" s="331"/>
      <c r="AM18" s="332" t="str">
        <f ca="1">IF(COUNTIF(职业选项!$I$2:$I$28,"军事科学2")&gt;0,IFERROR(INDEX(职业选项!$F$2:$F$28,MATCH("军事科学2",职业选项!$I$2:$I$28,0)),""),IFERROR(MID(IFERROR(INDEX(规则数据!$C$2:$C$9,SMALL(规则数据!$AU$2:$AU$9,2-COUNTIF(职业选项!$C$2:$C$28,"军事科学"))),""),LEN("军事科学")+2,LEN(IFERROR(INDEX(规则数据!$C$2:$C$9,SMALL(规则数据!$AU$2:$AU$9,2-COUNTIF(职业选项!$C$2:$C$28,"军事科学"))),""))-LEN("军事科学")-2),""))</f>
        <v/>
      </c>
      <c r="AN18" s="332"/>
      <c r="AO18" s="332"/>
      <c r="AP18" s="332"/>
      <c r="AQ18" s="332"/>
      <c r="AR18" s="333"/>
      <c r="AS18" s="304">
        <f ca="1" t="shared" si="1"/>
        <v>0</v>
      </c>
      <c r="AT18" s="304"/>
      <c r="AU18" s="304"/>
      <c r="AV18" s="305">
        <v>0</v>
      </c>
      <c r="AW18" s="305"/>
      <c r="AX18" s="305"/>
      <c r="AY18" s="139" t="str">
        <f ca="1">IF(职业选项!V49&gt;0,职业选项!V49,"")</f>
        <v/>
      </c>
      <c r="AZ18" s="139"/>
      <c r="BA18" s="139"/>
      <c r="BB18" s="139" t="str">
        <f ca="1">规则数据!H54</f>
        <v/>
      </c>
      <c r="BC18" s="139"/>
      <c r="BD18" s="139"/>
      <c r="BE18" s="139"/>
      <c r="BF18" s="139"/>
      <c r="BG18" s="308"/>
      <c r="BH18" s="92"/>
      <c r="BI18" s="325"/>
      <c r="BJ18" s="326"/>
      <c r="BK18" s="326"/>
      <c r="BL18" s="326"/>
      <c r="BM18" s="326"/>
      <c r="BN18" s="327"/>
      <c r="BO18" s="327"/>
      <c r="BP18" s="327"/>
      <c r="BQ18" s="327"/>
      <c r="BR18" s="327"/>
      <c r="BS18" s="327"/>
      <c r="BT18" s="327"/>
      <c r="BU18" s="327"/>
      <c r="BV18" s="327"/>
      <c r="BW18" s="327"/>
      <c r="BX18" s="327"/>
      <c r="BY18" s="327"/>
      <c r="BZ18" s="327"/>
      <c r="CA18" s="327"/>
      <c r="CB18" s="327"/>
      <c r="CC18" s="327"/>
      <c r="CD18" s="327"/>
      <c r="CE18" s="327"/>
      <c r="CF18" s="327"/>
      <c r="CG18" s="327"/>
      <c r="CH18" s="327"/>
      <c r="CI18" s="327"/>
      <c r="CJ18" s="327"/>
      <c r="CK18" s="327"/>
      <c r="CL18" s="327"/>
      <c r="CM18" s="327"/>
      <c r="CN18" s="327"/>
      <c r="CO18" s="327"/>
      <c r="CP18" s="327"/>
      <c r="CQ18" s="327"/>
      <c r="CR18" s="327"/>
      <c r="CS18" s="327"/>
      <c r="CT18" s="327"/>
      <c r="CU18" s="327"/>
      <c r="CV18" s="327"/>
      <c r="CW18" s="327"/>
      <c r="CX18" s="328"/>
      <c r="CY18" s="92"/>
      <c r="CZ18" s="311"/>
      <c r="DA18" s="312"/>
      <c r="DB18" s="312"/>
      <c r="DC18" s="312"/>
      <c r="DD18" s="312"/>
      <c r="DE18" s="312"/>
      <c r="DF18" s="312"/>
      <c r="DG18" s="312"/>
      <c r="DH18" s="312"/>
      <c r="DI18" s="312"/>
      <c r="DJ18" s="312"/>
      <c r="DK18" s="312"/>
      <c r="DL18" s="312"/>
      <c r="DM18" s="312" t="str">
        <f ca="1">IFERROR(INDIRECT(INDEX(规则数据!$C$500:$C$553,MATCH(CZ18,规则数据!$A$500:$A$553,0))),"")</f>
        <v/>
      </c>
      <c r="DN18" s="312"/>
      <c r="DO18" s="312"/>
      <c r="DP18" s="312"/>
      <c r="DQ18" s="312" t="str">
        <f>IFERROR(IF(INDEX(规则数据!$D$500:$D$553,MATCH(CZ18,规则数据!$A$500:$A$553,0))="","",INDEX(规则数据!$D$500:$D$553,MATCH(CZ18,规则数据!$A$500:$A$553,0))),"")</f>
        <v/>
      </c>
      <c r="DR18" s="312"/>
      <c r="DS18" s="312"/>
      <c r="DT18" s="312"/>
      <c r="DU18" s="312"/>
      <c r="DV18" s="312"/>
      <c r="DW18" s="312" t="str">
        <f>IFERROR(IF(INDEX(规则数据!$E$500:$E$553,MATCH(CZ18,规则数据!$A$500:$A$553,0))="","",INDEX(规则数据!$E$500:$E$553,MATCH(CZ18,规则数据!$A$500:$A$553,0))),"")</f>
        <v/>
      </c>
      <c r="DX18" s="312"/>
      <c r="DY18" s="312"/>
      <c r="DZ18" s="312" t="str">
        <f>IFERROR(IF(INDEX(规则数据!$F$500:$F$553,MATCH(CZ18,规则数据!$A$500:$A$553,0))="","",INDEX(规则数据!$F$500:$F$553,MATCH(CZ18,规则数据!$A$500:$A$553,0))),"")</f>
        <v/>
      </c>
      <c r="EA18" s="312"/>
      <c r="EB18" s="312"/>
      <c r="EC18" s="312"/>
      <c r="ED18" s="312" t="str">
        <f>IFERROR(IF(INDEX(规则数据!$G$500:$G$553,MATCH(CZ18,规则数据!$A$500:$A$553,0))="","",INDEX(规则数据!$G$500:$G$553,MATCH(CZ18,规则数据!$A$500:$A$553,0))),"")</f>
        <v/>
      </c>
      <c r="EE18" s="312"/>
      <c r="EF18" s="312"/>
      <c r="EG18" s="313"/>
      <c r="EH18" s="276"/>
      <c r="EI18" s="329"/>
      <c r="EJ18" s="150"/>
      <c r="EK18" s="150"/>
      <c r="EL18" s="150"/>
      <c r="EM18" s="150"/>
      <c r="EN18" s="150"/>
      <c r="EO18" s="150"/>
      <c r="EP18" s="150"/>
      <c r="EQ18" s="150"/>
      <c r="ER18" s="150"/>
      <c r="ES18" s="150"/>
      <c r="ET18" s="150"/>
      <c r="EU18" s="150"/>
      <c r="EV18" s="150"/>
      <c r="EW18" s="150"/>
      <c r="EX18" s="150"/>
      <c r="EY18" s="151"/>
      <c r="EZ18" s="77"/>
    </row>
    <row r="19" customHeight="1" spans="1:156">
      <c r="A19" s="92"/>
      <c r="B19" s="301" t="s">
        <v>59</v>
      </c>
      <c r="C19" s="302"/>
      <c r="D19" s="321" t="s">
        <v>73</v>
      </c>
      <c r="E19" s="322"/>
      <c r="F19" s="322"/>
      <c r="G19" s="322"/>
      <c r="H19" s="322"/>
      <c r="I19" s="322"/>
      <c r="J19" s="323" t="str">
        <f ca="1">IF(COUNTIF(职业选项!$I$2:$I$28,"艺术2")&gt;0,IFERROR(INDEX(职业选项!$F$2:$F$28,MATCH("艺术2",职业选项!$I$2:$I$28,0)),""),IFERROR(MID(IFERROR(INDEX(规则数据!$C$2:$C$9,SMALL(规则数据!$AR$2:$AR$9,2-COUNTIF(职业选项!$C$2:$C$28,"艺术"))),""),LEN("艺术")+2,LEN(IFERROR(INDEX(规则数据!$C$2:$C$9,SMALL(规则数据!$AR$2:$AR$9,2-COUNTIF(职业选项!$C$2:$C$28,"艺术"))),""))-LEN("艺术")-2),""))</f>
        <v/>
      </c>
      <c r="K19" s="323"/>
      <c r="L19" s="323"/>
      <c r="M19" s="323"/>
      <c r="N19" s="323"/>
      <c r="O19" s="324"/>
      <c r="P19" s="304">
        <f ca="1" t="shared" si="0"/>
        <v>0</v>
      </c>
      <c r="Q19" s="304"/>
      <c r="R19" s="304"/>
      <c r="S19" s="305">
        <v>0</v>
      </c>
      <c r="T19" s="305"/>
      <c r="U19" s="305"/>
      <c r="V19" s="139" t="str">
        <f ca="1">IF(职业选项!V50&gt;0,职业选项!V50,"")</f>
        <v/>
      </c>
      <c r="W19" s="139"/>
      <c r="X19" s="139"/>
      <c r="Y19" s="139" t="str">
        <f ca="1">规则数据!H25</f>
        <v/>
      </c>
      <c r="Z19" s="139"/>
      <c r="AA19" s="139"/>
      <c r="AB19" s="139"/>
      <c r="AC19" s="139"/>
      <c r="AD19" s="306"/>
      <c r="AE19" s="307" t="s">
        <v>59</v>
      </c>
      <c r="AF19" s="302"/>
      <c r="AG19" s="321" t="s">
        <v>71</v>
      </c>
      <c r="AH19" s="322"/>
      <c r="AI19" s="322"/>
      <c r="AJ19" s="322"/>
      <c r="AK19" s="322"/>
      <c r="AL19" s="322"/>
      <c r="AM19" s="323" t="str">
        <f ca="1">IF(COUNTIF(职业选项!$I$2:$I$28,"军事科学3")&gt;0,IFERROR(INDEX(职业选项!$F$2:$F$28,MATCH("军事科学3",职业选项!$I$2:$I$28,0)),""),IFERROR(MID(IFERROR(INDEX(规则数据!$C$2:$C$9,SMALL(规则数据!$AU$2:$AU$9,3-COUNTIF(职业选项!$C$2:$C$28,"军事科学"))),""),LEN("军事科学")+2,LEN(IFERROR(INDEX(规则数据!$C$2:$C$9,SMALL(规则数据!$AU$2:$AU$9,3-COUNTIF(职业选项!$C$2:$C$28,"军事科学"))),""))-LEN("军事科学")-2),""))</f>
        <v/>
      </c>
      <c r="AN19" s="323"/>
      <c r="AO19" s="323"/>
      <c r="AP19" s="323"/>
      <c r="AQ19" s="323"/>
      <c r="AR19" s="324"/>
      <c r="AS19" s="304">
        <f ca="1" t="shared" si="1"/>
        <v>0</v>
      </c>
      <c r="AT19" s="304"/>
      <c r="AU19" s="304"/>
      <c r="AV19" s="305">
        <v>0</v>
      </c>
      <c r="AW19" s="305"/>
      <c r="AX19" s="305"/>
      <c r="AY19" s="139" t="str">
        <f ca="1">IF(职业选项!V51&gt;0,职业选项!V51,"")</f>
        <v/>
      </c>
      <c r="AZ19" s="139"/>
      <c r="BA19" s="139"/>
      <c r="BB19" s="139" t="str">
        <f ca="1">规则数据!H55</f>
        <v/>
      </c>
      <c r="BC19" s="139"/>
      <c r="BD19" s="139"/>
      <c r="BE19" s="139"/>
      <c r="BF19" s="139"/>
      <c r="BG19" s="308"/>
      <c r="BH19" s="92"/>
      <c r="BI19" s="325"/>
      <c r="BJ19" s="326"/>
      <c r="BK19" s="326"/>
      <c r="BL19" s="326"/>
      <c r="BM19" s="326"/>
      <c r="BN19" s="327"/>
      <c r="BO19" s="327"/>
      <c r="BP19" s="327"/>
      <c r="BQ19" s="327"/>
      <c r="BR19" s="327"/>
      <c r="BS19" s="327"/>
      <c r="BT19" s="327"/>
      <c r="BU19" s="327"/>
      <c r="BV19" s="327"/>
      <c r="BW19" s="327"/>
      <c r="BX19" s="327"/>
      <c r="BY19" s="327"/>
      <c r="BZ19" s="327"/>
      <c r="CA19" s="327"/>
      <c r="CB19" s="327"/>
      <c r="CC19" s="327"/>
      <c r="CD19" s="327"/>
      <c r="CE19" s="327"/>
      <c r="CF19" s="327"/>
      <c r="CG19" s="327"/>
      <c r="CH19" s="327"/>
      <c r="CI19" s="327"/>
      <c r="CJ19" s="327"/>
      <c r="CK19" s="327"/>
      <c r="CL19" s="327"/>
      <c r="CM19" s="327"/>
      <c r="CN19" s="327"/>
      <c r="CO19" s="327"/>
      <c r="CP19" s="327"/>
      <c r="CQ19" s="327"/>
      <c r="CR19" s="327"/>
      <c r="CS19" s="327"/>
      <c r="CT19" s="327"/>
      <c r="CU19" s="327"/>
      <c r="CV19" s="327"/>
      <c r="CW19" s="327"/>
      <c r="CX19" s="328"/>
      <c r="CY19" s="92"/>
      <c r="CZ19" s="311"/>
      <c r="DA19" s="312"/>
      <c r="DB19" s="312"/>
      <c r="DC19" s="312"/>
      <c r="DD19" s="312"/>
      <c r="DE19" s="312"/>
      <c r="DF19" s="312"/>
      <c r="DG19" s="312"/>
      <c r="DH19" s="312"/>
      <c r="DI19" s="312"/>
      <c r="DJ19" s="312"/>
      <c r="DK19" s="312"/>
      <c r="DL19" s="312"/>
      <c r="DM19" s="312" t="str">
        <f ca="1">IFERROR(INDIRECT(INDEX(规则数据!$C$500:$C$553,MATCH(CZ19,规则数据!$A$500:$A$553,0))),"")</f>
        <v/>
      </c>
      <c r="DN19" s="312"/>
      <c r="DO19" s="312"/>
      <c r="DP19" s="312"/>
      <c r="DQ19" s="312" t="str">
        <f>IFERROR(IF(INDEX(规则数据!$D$500:$D$553,MATCH(CZ19,规则数据!$A$500:$A$553,0))="","",INDEX(规则数据!$D$500:$D$553,MATCH(CZ19,规则数据!$A$500:$A$553,0))),"")</f>
        <v/>
      </c>
      <c r="DR19" s="312"/>
      <c r="DS19" s="312"/>
      <c r="DT19" s="312"/>
      <c r="DU19" s="312"/>
      <c r="DV19" s="312"/>
      <c r="DW19" s="312" t="str">
        <f>IFERROR(IF(INDEX(规则数据!$E$500:$E$553,MATCH(CZ19,规则数据!$A$500:$A$553,0))="","",INDEX(规则数据!$E$500:$E$553,MATCH(CZ19,规则数据!$A$500:$A$553,0))),"")</f>
        <v/>
      </c>
      <c r="DX19" s="312"/>
      <c r="DY19" s="312"/>
      <c r="DZ19" s="312" t="str">
        <f>IFERROR(IF(INDEX(规则数据!$F$500:$F$553,MATCH(CZ19,规则数据!$A$500:$A$553,0))="","",INDEX(规则数据!$F$500:$F$553,MATCH(CZ19,规则数据!$A$500:$A$553,0))),"")</f>
        <v/>
      </c>
      <c r="EA19" s="312"/>
      <c r="EB19" s="312"/>
      <c r="EC19" s="312"/>
      <c r="ED19" s="312" t="str">
        <f>IFERROR(IF(INDEX(规则数据!$G$500:$G$553,MATCH(CZ19,规则数据!$A$500:$A$553,0))="","",INDEX(规则数据!$G$500:$G$553,MATCH(CZ19,规则数据!$A$500:$A$553,0))),"")</f>
        <v/>
      </c>
      <c r="EE19" s="312"/>
      <c r="EF19" s="312"/>
      <c r="EG19" s="313"/>
      <c r="EH19" s="276"/>
      <c r="EI19" s="329"/>
      <c r="EJ19" s="150"/>
      <c r="EK19" s="150"/>
      <c r="EL19" s="150"/>
      <c r="EM19" s="150"/>
      <c r="EN19" s="150"/>
      <c r="EO19" s="150"/>
      <c r="EP19" s="150"/>
      <c r="EQ19" s="150"/>
      <c r="ER19" s="150"/>
      <c r="ES19" s="150"/>
      <c r="ET19" s="150"/>
      <c r="EU19" s="150"/>
      <c r="EV19" s="150"/>
      <c r="EW19" s="150"/>
      <c r="EX19" s="150"/>
      <c r="EY19" s="151"/>
      <c r="EZ19" s="77"/>
    </row>
    <row r="20" customHeight="1" spans="1:156">
      <c r="A20" s="92"/>
      <c r="B20" s="301" t="s">
        <v>59</v>
      </c>
      <c r="C20" s="302"/>
      <c r="D20" s="330" t="s">
        <v>73</v>
      </c>
      <c r="E20" s="331"/>
      <c r="F20" s="331"/>
      <c r="G20" s="331"/>
      <c r="H20" s="331"/>
      <c r="I20" s="331"/>
      <c r="J20" s="332" t="str">
        <f ca="1">IF(COUNTIF(职业选项!$I$2:$I$28,"艺术3")&gt;0,IFERROR(INDEX(职业选项!$F$2:$F$28,MATCH("艺术3",职业选项!$I$2:$I$28,0)),""),IFERROR(MID(IFERROR(INDEX(规则数据!$C$2:$C$9,SMALL(规则数据!$AR$2:$AR$9,3-COUNTIF(职业选项!$C$2:$C$28,"艺术"))),""),LEN("艺术")+2,LEN(IFERROR(INDEX(规则数据!$C$2:$C$9,SMALL(规则数据!$AR$2:$AR$9,3-COUNTIF(职业选项!$C$2:$C$28,"艺术"))),""))-LEN("艺术")-2),""))</f>
        <v/>
      </c>
      <c r="K20" s="332"/>
      <c r="L20" s="332"/>
      <c r="M20" s="332"/>
      <c r="N20" s="332"/>
      <c r="O20" s="333"/>
      <c r="P20" s="304">
        <f ca="1" t="shared" si="0"/>
        <v>0</v>
      </c>
      <c r="Q20" s="304"/>
      <c r="R20" s="304"/>
      <c r="S20" s="305">
        <v>0</v>
      </c>
      <c r="T20" s="305"/>
      <c r="U20" s="305"/>
      <c r="V20" s="139" t="str">
        <f ca="1">IF(职业选项!V52&gt;0,职业选项!V52,"")</f>
        <v/>
      </c>
      <c r="W20" s="139"/>
      <c r="X20" s="139"/>
      <c r="Y20" s="139" t="str">
        <f ca="1">规则数据!H26</f>
        <v/>
      </c>
      <c r="Z20" s="139"/>
      <c r="AA20" s="139"/>
      <c r="AB20" s="139"/>
      <c r="AC20" s="139"/>
      <c r="AD20" s="306"/>
      <c r="AE20" s="307" t="s">
        <v>59</v>
      </c>
      <c r="AF20" s="302"/>
      <c r="AG20" s="303" t="s">
        <v>74</v>
      </c>
      <c r="AH20" s="303"/>
      <c r="AI20" s="303"/>
      <c r="AJ20" s="303"/>
      <c r="AK20" s="303"/>
      <c r="AL20" s="303"/>
      <c r="AM20" s="303"/>
      <c r="AN20" s="303"/>
      <c r="AO20" s="303"/>
      <c r="AP20" s="303"/>
      <c r="AQ20" s="303"/>
      <c r="AR20" s="303"/>
      <c r="AS20" s="304">
        <f ca="1" t="shared" si="1"/>
        <v>10</v>
      </c>
      <c r="AT20" s="304"/>
      <c r="AU20" s="304"/>
      <c r="AV20" s="305">
        <v>10</v>
      </c>
      <c r="AW20" s="305"/>
      <c r="AX20" s="305"/>
      <c r="AY20" s="139" t="str">
        <f ca="1">IF(职业选项!V53&gt;0,职业选项!V53,"")</f>
        <v/>
      </c>
      <c r="AZ20" s="139"/>
      <c r="BA20" s="139"/>
      <c r="BB20" s="139" t="str">
        <f ca="1">规则数据!H56</f>
        <v/>
      </c>
      <c r="BC20" s="139"/>
      <c r="BD20" s="139"/>
      <c r="BE20" s="139"/>
      <c r="BF20" s="139"/>
      <c r="BG20" s="308"/>
      <c r="BH20" s="92"/>
      <c r="BI20" s="325"/>
      <c r="BJ20" s="326"/>
      <c r="BK20" s="326"/>
      <c r="BL20" s="326"/>
      <c r="BM20" s="326"/>
      <c r="BN20" s="327"/>
      <c r="BO20" s="327"/>
      <c r="BP20" s="327"/>
      <c r="BQ20" s="327"/>
      <c r="BR20" s="327"/>
      <c r="BS20" s="327"/>
      <c r="BT20" s="327"/>
      <c r="BU20" s="327"/>
      <c r="BV20" s="327"/>
      <c r="BW20" s="327"/>
      <c r="BX20" s="327"/>
      <c r="BY20" s="327"/>
      <c r="BZ20" s="327"/>
      <c r="CA20" s="327"/>
      <c r="CB20" s="327"/>
      <c r="CC20" s="327"/>
      <c r="CD20" s="327"/>
      <c r="CE20" s="327"/>
      <c r="CF20" s="327"/>
      <c r="CG20" s="327"/>
      <c r="CH20" s="327"/>
      <c r="CI20" s="327"/>
      <c r="CJ20" s="327"/>
      <c r="CK20" s="327"/>
      <c r="CL20" s="327"/>
      <c r="CM20" s="327"/>
      <c r="CN20" s="327"/>
      <c r="CO20" s="327"/>
      <c r="CP20" s="327"/>
      <c r="CQ20" s="327"/>
      <c r="CR20" s="327"/>
      <c r="CS20" s="327"/>
      <c r="CT20" s="327"/>
      <c r="CU20" s="327"/>
      <c r="CV20" s="327"/>
      <c r="CW20" s="327"/>
      <c r="CX20" s="328"/>
      <c r="CY20" s="92"/>
      <c r="CZ20" s="334"/>
      <c r="DA20" s="335"/>
      <c r="DB20" s="335"/>
      <c r="DC20" s="335"/>
      <c r="DD20" s="335"/>
      <c r="DE20" s="335"/>
      <c r="DF20" s="335"/>
      <c r="DG20" s="335"/>
      <c r="DH20" s="335"/>
      <c r="DI20" s="335"/>
      <c r="DJ20" s="335"/>
      <c r="DK20" s="335"/>
      <c r="DL20" s="335"/>
      <c r="DM20" s="335" t="str">
        <f ca="1">IFERROR(INDIRECT(INDEX(规则数据!$C$500:$C$553,MATCH(CZ20,规则数据!$A$500:$A$553,0))),"")</f>
        <v/>
      </c>
      <c r="DN20" s="335"/>
      <c r="DO20" s="335"/>
      <c r="DP20" s="335"/>
      <c r="DQ20" s="335" t="str">
        <f>IFERROR(IF(INDEX(规则数据!$D$500:$D$553,MATCH(CZ20,规则数据!$A$500:$A$553,0))="","",INDEX(规则数据!$D$500:$D$553,MATCH(CZ20,规则数据!$A$500:$A$553,0))),"")</f>
        <v/>
      </c>
      <c r="DR20" s="335"/>
      <c r="DS20" s="335"/>
      <c r="DT20" s="335"/>
      <c r="DU20" s="335"/>
      <c r="DV20" s="335"/>
      <c r="DW20" s="335" t="str">
        <f>IFERROR(IF(INDEX(规则数据!$E$500:$E$553,MATCH(CZ20,规则数据!$A$500:$A$553,0))="","",INDEX(规则数据!$E$500:$E$553,MATCH(CZ20,规则数据!$A$500:$A$553,0))),"")</f>
        <v/>
      </c>
      <c r="DX20" s="335"/>
      <c r="DY20" s="335"/>
      <c r="DZ20" s="335" t="str">
        <f>IFERROR(IF(INDEX(规则数据!$F$500:$F$553,MATCH(CZ20,规则数据!$A$500:$A$553,0))="","",INDEX(规则数据!$F$500:$F$553,MATCH(CZ20,规则数据!$A$500:$A$553,0))),"")</f>
        <v/>
      </c>
      <c r="EA20" s="335"/>
      <c r="EB20" s="335"/>
      <c r="EC20" s="335"/>
      <c r="ED20" s="335" t="str">
        <f>IFERROR(IF(INDEX(规则数据!$G$500:$G$553,MATCH(CZ20,规则数据!$A$500:$A$553,0))="","",INDEX(规则数据!$G$500:$G$553,MATCH(CZ20,规则数据!$A$500:$A$553,0))),"")</f>
        <v/>
      </c>
      <c r="EE20" s="335"/>
      <c r="EF20" s="335"/>
      <c r="EG20" s="336"/>
      <c r="EH20" s="276"/>
      <c r="EI20" s="337"/>
      <c r="EJ20" s="260"/>
      <c r="EK20" s="260"/>
      <c r="EL20" s="260"/>
      <c r="EM20" s="260"/>
      <c r="EN20" s="260"/>
      <c r="EO20" s="260"/>
      <c r="EP20" s="260"/>
      <c r="EQ20" s="260"/>
      <c r="ER20" s="260"/>
      <c r="ES20" s="260"/>
      <c r="ET20" s="260"/>
      <c r="EU20" s="260"/>
      <c r="EV20" s="260"/>
      <c r="EW20" s="260"/>
      <c r="EX20" s="260"/>
      <c r="EY20" s="261"/>
      <c r="EZ20" s="77"/>
    </row>
    <row r="21" customHeight="1" spans="1:156">
      <c r="A21" s="92"/>
      <c r="B21" s="301" t="s">
        <v>59</v>
      </c>
      <c r="C21" s="302"/>
      <c r="D21" s="303" t="s">
        <v>75</v>
      </c>
      <c r="E21" s="303"/>
      <c r="F21" s="303"/>
      <c r="G21" s="303"/>
      <c r="H21" s="303"/>
      <c r="I21" s="303"/>
      <c r="J21" s="303"/>
      <c r="K21" s="303"/>
      <c r="L21" s="303"/>
      <c r="M21" s="303"/>
      <c r="N21" s="303"/>
      <c r="O21" s="303"/>
      <c r="P21" s="304">
        <f ca="1" t="shared" si="0"/>
        <v>0</v>
      </c>
      <c r="Q21" s="304"/>
      <c r="R21" s="304"/>
      <c r="S21" s="305">
        <v>0</v>
      </c>
      <c r="T21" s="305"/>
      <c r="U21" s="305"/>
      <c r="V21" s="139" t="str">
        <f ca="1">IF(职业选项!V54&gt;0,职业选项!V54,"")</f>
        <v/>
      </c>
      <c r="W21" s="139"/>
      <c r="X21" s="139"/>
      <c r="Y21" s="139" t="str">
        <f ca="1">规则数据!H27</f>
        <v/>
      </c>
      <c r="Z21" s="139"/>
      <c r="AA21" s="139"/>
      <c r="AB21" s="139"/>
      <c r="AC21" s="139"/>
      <c r="AD21" s="306"/>
      <c r="AE21" s="307" t="s">
        <v>59</v>
      </c>
      <c r="AF21" s="302"/>
      <c r="AG21" s="303" t="s">
        <v>76</v>
      </c>
      <c r="AH21" s="303"/>
      <c r="AI21" s="303"/>
      <c r="AJ21" s="303"/>
      <c r="AK21" s="303"/>
      <c r="AL21" s="303"/>
      <c r="AM21" s="303"/>
      <c r="AN21" s="303"/>
      <c r="AO21" s="303"/>
      <c r="AP21" s="303"/>
      <c r="AQ21" s="303"/>
      <c r="AR21" s="303"/>
      <c r="AS21" s="304">
        <f ca="1" t="shared" si="1"/>
        <v>10</v>
      </c>
      <c r="AT21" s="304"/>
      <c r="AU21" s="304"/>
      <c r="AV21" s="305">
        <v>10</v>
      </c>
      <c r="AW21" s="305"/>
      <c r="AX21" s="305"/>
      <c r="AY21" s="139" t="str">
        <f ca="1">IF(职业选项!V55&gt;0,职业选项!V55,"")</f>
        <v/>
      </c>
      <c r="AZ21" s="139"/>
      <c r="BA21" s="139"/>
      <c r="BB21" s="139" t="str">
        <f ca="1">规则数据!H57</f>
        <v/>
      </c>
      <c r="BC21" s="139"/>
      <c r="BD21" s="139"/>
      <c r="BE21" s="139"/>
      <c r="BF21" s="139"/>
      <c r="BG21" s="308"/>
      <c r="BH21" s="92"/>
      <c r="BI21" s="325"/>
      <c r="BJ21" s="326"/>
      <c r="BK21" s="326"/>
      <c r="BL21" s="326"/>
      <c r="BM21" s="326"/>
      <c r="BN21" s="327"/>
      <c r="BO21" s="327"/>
      <c r="BP21" s="327"/>
      <c r="BQ21" s="327"/>
      <c r="BR21" s="327"/>
      <c r="BS21" s="327"/>
      <c r="BT21" s="327"/>
      <c r="BU21" s="327"/>
      <c r="BV21" s="327"/>
      <c r="BW21" s="327"/>
      <c r="BX21" s="327"/>
      <c r="BY21" s="327"/>
      <c r="BZ21" s="327"/>
      <c r="CA21" s="327"/>
      <c r="CB21" s="327"/>
      <c r="CC21" s="327"/>
      <c r="CD21" s="327"/>
      <c r="CE21" s="327"/>
      <c r="CF21" s="327"/>
      <c r="CG21" s="327"/>
      <c r="CH21" s="327"/>
      <c r="CI21" s="327"/>
      <c r="CJ21" s="327"/>
      <c r="CK21" s="327"/>
      <c r="CL21" s="327"/>
      <c r="CM21" s="327"/>
      <c r="CN21" s="327"/>
      <c r="CO21" s="327"/>
      <c r="CP21" s="327"/>
      <c r="CQ21" s="327"/>
      <c r="CR21" s="327"/>
      <c r="CS21" s="327"/>
      <c r="CT21" s="327"/>
      <c r="CU21" s="327"/>
      <c r="CV21" s="327"/>
      <c r="CW21" s="327"/>
      <c r="CX21" s="328"/>
      <c r="CY21" s="92"/>
      <c r="CZ21" s="76"/>
      <c r="DA21" s="76"/>
      <c r="DB21" s="76"/>
      <c r="DC21" s="76"/>
      <c r="DD21" s="76"/>
      <c r="DE21" s="76"/>
      <c r="DF21" s="76"/>
      <c r="DG21" s="76"/>
      <c r="DH21" s="76"/>
      <c r="DI21" s="76"/>
      <c r="DJ21" s="76"/>
      <c r="DK21" s="76"/>
      <c r="DL21" s="76"/>
      <c r="DM21" s="76"/>
      <c r="DN21" s="76"/>
      <c r="DO21" s="76"/>
      <c r="DP21" s="76"/>
      <c r="DQ21" s="76"/>
      <c r="DR21" s="76"/>
      <c r="DS21" s="76"/>
      <c r="DT21" s="76"/>
      <c r="DU21" s="76"/>
      <c r="DV21" s="76"/>
      <c r="DW21" s="76"/>
      <c r="DX21" s="76"/>
      <c r="DY21" s="76"/>
      <c r="DZ21" s="76"/>
      <c r="EA21" s="76"/>
      <c r="EB21" s="76"/>
      <c r="EC21" s="76"/>
      <c r="ED21" s="76"/>
      <c r="EE21" s="76"/>
      <c r="EF21" s="76"/>
      <c r="EG21" s="76"/>
      <c r="EH21" s="338"/>
      <c r="EI21" s="263"/>
      <c r="EJ21" s="263"/>
      <c r="EK21" s="263"/>
      <c r="EL21" s="263"/>
      <c r="EM21" s="263"/>
      <c r="EN21" s="263"/>
      <c r="EO21" s="263"/>
      <c r="EP21" s="263"/>
      <c r="EQ21" s="263"/>
      <c r="ER21" s="263"/>
      <c r="ES21" s="263"/>
      <c r="ET21" s="263"/>
      <c r="EU21" s="263"/>
      <c r="EV21" s="263"/>
      <c r="EW21" s="263"/>
      <c r="EX21" s="263"/>
      <c r="EY21" s="263"/>
    </row>
    <row r="22" customHeight="1" spans="1:156">
      <c r="A22" s="92"/>
      <c r="B22" s="301" t="s">
        <v>59</v>
      </c>
      <c r="C22" s="302"/>
      <c r="D22" s="303" t="s">
        <v>77</v>
      </c>
      <c r="E22" s="303"/>
      <c r="F22" s="303"/>
      <c r="G22" s="303"/>
      <c r="H22" s="303"/>
      <c r="I22" s="303"/>
      <c r="J22" s="303"/>
      <c r="K22" s="303"/>
      <c r="L22" s="303"/>
      <c r="M22" s="303"/>
      <c r="N22" s="303"/>
      <c r="O22" s="303"/>
      <c r="P22" s="304">
        <f ca="1" t="shared" si="0"/>
        <v>30</v>
      </c>
      <c r="Q22" s="304"/>
      <c r="R22" s="304"/>
      <c r="S22" s="305">
        <v>30</v>
      </c>
      <c r="T22" s="305"/>
      <c r="U22" s="305"/>
      <c r="V22" s="139" t="str">
        <f ca="1">IF(职业选项!V56&gt;0,职业选项!V56,"")</f>
        <v/>
      </c>
      <c r="W22" s="139"/>
      <c r="X22" s="139"/>
      <c r="Y22" s="139" t="str">
        <f ca="1">规则数据!H28</f>
        <v/>
      </c>
      <c r="Z22" s="139"/>
      <c r="AA22" s="139"/>
      <c r="AB22" s="139"/>
      <c r="AC22" s="139"/>
      <c r="AD22" s="306"/>
      <c r="AE22" s="307" t="s">
        <v>59</v>
      </c>
      <c r="AF22" s="302"/>
      <c r="AG22" s="303" t="s">
        <v>78</v>
      </c>
      <c r="AH22" s="303"/>
      <c r="AI22" s="303"/>
      <c r="AJ22" s="303"/>
      <c r="AK22" s="303"/>
      <c r="AL22" s="303"/>
      <c r="AM22" s="303"/>
      <c r="AN22" s="303"/>
      <c r="AO22" s="303"/>
      <c r="AP22" s="303"/>
      <c r="AQ22" s="303"/>
      <c r="AR22" s="303"/>
      <c r="AS22" s="304">
        <f ca="1" t="shared" si="1"/>
        <v>20</v>
      </c>
      <c r="AT22" s="304"/>
      <c r="AU22" s="304"/>
      <c r="AV22" s="305">
        <v>20</v>
      </c>
      <c r="AW22" s="305"/>
      <c r="AX22" s="305"/>
      <c r="AY22" s="139" t="str">
        <f ca="1">IF(职业选项!V57&gt;0,职业选项!V57,"")</f>
        <v/>
      </c>
      <c r="AZ22" s="139"/>
      <c r="BA22" s="139"/>
      <c r="BB22" s="139" t="str">
        <f ca="1">规则数据!H58</f>
        <v/>
      </c>
      <c r="BC22" s="139"/>
      <c r="BD22" s="139"/>
      <c r="BE22" s="139"/>
      <c r="BF22" s="139"/>
      <c r="BG22" s="308"/>
      <c r="BH22" s="92"/>
      <c r="BI22" s="325"/>
      <c r="BJ22" s="326"/>
      <c r="BK22" s="326"/>
      <c r="BL22" s="326"/>
      <c r="BM22" s="326"/>
      <c r="BN22" s="327"/>
      <c r="BO22" s="327"/>
      <c r="BP22" s="327"/>
      <c r="BQ22" s="327"/>
      <c r="BR22" s="327"/>
      <c r="BS22" s="327"/>
      <c r="BT22" s="327"/>
      <c r="BU22" s="327"/>
      <c r="BV22" s="327"/>
      <c r="BW22" s="327"/>
      <c r="BX22" s="327"/>
      <c r="BY22" s="327"/>
      <c r="BZ22" s="327"/>
      <c r="CA22" s="327"/>
      <c r="CB22" s="327"/>
      <c r="CC22" s="327"/>
      <c r="CD22" s="327"/>
      <c r="CE22" s="327"/>
      <c r="CF22" s="327"/>
      <c r="CG22" s="327"/>
      <c r="CH22" s="327"/>
      <c r="CI22" s="327"/>
      <c r="CJ22" s="327"/>
      <c r="CK22" s="327"/>
      <c r="CL22" s="327"/>
      <c r="CM22" s="327"/>
      <c r="CN22" s="327"/>
      <c r="CO22" s="327"/>
      <c r="CP22" s="327"/>
      <c r="CQ22" s="327"/>
      <c r="CR22" s="327"/>
      <c r="CS22" s="327"/>
      <c r="CT22" s="327"/>
      <c r="CU22" s="327"/>
      <c r="CV22" s="327"/>
      <c r="CW22" s="327"/>
      <c r="CX22" s="328"/>
      <c r="CY22" s="92"/>
      <c r="CZ22" s="267" t="s">
        <v>79</v>
      </c>
      <c r="DA22" s="268"/>
      <c r="DB22" s="268"/>
      <c r="DC22" s="268"/>
      <c r="DD22" s="268"/>
      <c r="DE22" s="268"/>
      <c r="DF22" s="268"/>
      <c r="DG22" s="268"/>
      <c r="DH22" s="268"/>
      <c r="DI22" s="339"/>
      <c r="DJ22" s="339"/>
      <c r="DK22" s="339"/>
      <c r="DL22" s="339"/>
      <c r="DM22" s="339"/>
      <c r="DN22" s="339"/>
      <c r="DO22" s="339"/>
      <c r="DP22" s="339"/>
      <c r="DQ22" s="268"/>
      <c r="DR22" s="339"/>
      <c r="DS22" s="339"/>
      <c r="DT22" s="340" t="s">
        <v>80</v>
      </c>
      <c r="DU22" s="340"/>
      <c r="DV22" s="340"/>
      <c r="DW22" s="340"/>
      <c r="DX22" s="341">
        <f>COUNTIF(ED24,"&gt;0")+COUNTIF(ED27,"&gt;0")+COUNTIF(ED30,"&gt;0")+COUNTIF(ED33,"&gt;0")+COUNTIF(ED36,"&gt;0")+COUNTIF(ED39,"&gt;0")+COUNTIF(ED42,"&gt;0")</f>
        <v>0</v>
      </c>
      <c r="DY22" s="341"/>
      <c r="DZ22" s="342"/>
      <c r="EA22" s="342"/>
      <c r="EB22" s="343"/>
      <c r="EC22" s="344" t="s">
        <v>81</v>
      </c>
      <c r="ED22" s="344"/>
      <c r="EE22" s="344"/>
      <c r="EF22" s="345">
        <f>附表!B7</f>
        <v>0</v>
      </c>
      <c r="EG22" s="345"/>
      <c r="EH22" s="276"/>
      <c r="EI22" s="93" t="s">
        <v>82</v>
      </c>
      <c r="EJ22" s="94"/>
      <c r="EK22" s="94"/>
      <c r="EL22" s="94"/>
      <c r="EM22" s="94"/>
      <c r="EN22" s="94"/>
      <c r="EO22" s="94"/>
      <c r="EP22" s="94"/>
      <c r="EQ22" s="94"/>
      <c r="ER22" s="94"/>
      <c r="ES22" s="94"/>
      <c r="ET22" s="94"/>
      <c r="EU22" s="94"/>
      <c r="EV22" s="94"/>
      <c r="EW22" s="94"/>
      <c r="EX22" s="94"/>
      <c r="EY22" s="95"/>
      <c r="EZ22" s="77"/>
    </row>
    <row r="23" customHeight="1" spans="1:156">
      <c r="A23" s="92"/>
      <c r="B23" s="301" t="s">
        <v>59</v>
      </c>
      <c r="C23" s="302"/>
      <c r="D23" s="303" t="s">
        <v>83</v>
      </c>
      <c r="E23" s="303"/>
      <c r="F23" s="303"/>
      <c r="G23" s="303"/>
      <c r="H23" s="303"/>
      <c r="I23" s="303"/>
      <c r="J23" s="303"/>
      <c r="K23" s="303"/>
      <c r="L23" s="303"/>
      <c r="M23" s="303"/>
      <c r="N23" s="303"/>
      <c r="O23" s="303"/>
      <c r="P23" s="304">
        <f ca="1" t="shared" si="0"/>
        <v>10</v>
      </c>
      <c r="Q23" s="304"/>
      <c r="R23" s="304"/>
      <c r="S23" s="305">
        <v>10</v>
      </c>
      <c r="T23" s="305"/>
      <c r="U23" s="305"/>
      <c r="V23" s="139" t="str">
        <f ca="1">IF(职业选项!V58&gt;0,职业选项!V58,"")</f>
        <v/>
      </c>
      <c r="W23" s="139"/>
      <c r="X23" s="139"/>
      <c r="Y23" s="139" t="str">
        <f ca="1">规则数据!H29</f>
        <v/>
      </c>
      <c r="Z23" s="139"/>
      <c r="AA23" s="139"/>
      <c r="AB23" s="139"/>
      <c r="AC23" s="139"/>
      <c r="AD23" s="306"/>
      <c r="AE23" s="307" t="s">
        <v>59</v>
      </c>
      <c r="AF23" s="302"/>
      <c r="AG23" s="303" t="s">
        <v>84</v>
      </c>
      <c r="AH23" s="303"/>
      <c r="AI23" s="303"/>
      <c r="AJ23" s="303"/>
      <c r="AK23" s="303"/>
      <c r="AL23" s="303"/>
      <c r="AM23" s="303"/>
      <c r="AN23" s="303"/>
      <c r="AO23" s="303"/>
      <c r="AP23" s="303"/>
      <c r="AQ23" s="303"/>
      <c r="AR23" s="303"/>
      <c r="AS23" s="304">
        <f ca="1" t="shared" si="1"/>
        <v>0</v>
      </c>
      <c r="AT23" s="304"/>
      <c r="AU23" s="304"/>
      <c r="AV23" s="305">
        <v>0</v>
      </c>
      <c r="AW23" s="305"/>
      <c r="AX23" s="305"/>
      <c r="AY23" s="139" t="str">
        <f ca="1">IF(职业选项!V59&gt;0,职业选项!V59,"")</f>
        <v/>
      </c>
      <c r="AZ23" s="139"/>
      <c r="BA23" s="139"/>
      <c r="BB23" s="139" t="str">
        <f ca="1">规则数据!H59</f>
        <v/>
      </c>
      <c r="BC23" s="139"/>
      <c r="BD23" s="139"/>
      <c r="BE23" s="139"/>
      <c r="BF23" s="139"/>
      <c r="BG23" s="308"/>
      <c r="BH23" s="92"/>
      <c r="BI23" s="325"/>
      <c r="BJ23" s="326"/>
      <c r="BK23" s="326"/>
      <c r="BL23" s="326"/>
      <c r="BM23" s="326"/>
      <c r="BN23" s="327"/>
      <c r="BO23" s="327"/>
      <c r="BP23" s="327"/>
      <c r="BQ23" s="327"/>
      <c r="BR23" s="327"/>
      <c r="BS23" s="327"/>
      <c r="BT23" s="327"/>
      <c r="BU23" s="327"/>
      <c r="BV23" s="327"/>
      <c r="BW23" s="327"/>
      <c r="BX23" s="327"/>
      <c r="BY23" s="327"/>
      <c r="BZ23" s="327"/>
      <c r="CA23" s="327"/>
      <c r="CB23" s="327"/>
      <c r="CC23" s="327"/>
      <c r="CD23" s="327"/>
      <c r="CE23" s="327"/>
      <c r="CF23" s="327"/>
      <c r="CG23" s="327"/>
      <c r="CH23" s="327"/>
      <c r="CI23" s="327"/>
      <c r="CJ23" s="327"/>
      <c r="CK23" s="327"/>
      <c r="CL23" s="327"/>
      <c r="CM23" s="327"/>
      <c r="CN23" s="327"/>
      <c r="CO23" s="327"/>
      <c r="CP23" s="327"/>
      <c r="CQ23" s="327"/>
      <c r="CR23" s="327"/>
      <c r="CS23" s="327"/>
      <c r="CT23" s="327"/>
      <c r="CU23" s="327"/>
      <c r="CV23" s="327"/>
      <c r="CW23" s="327"/>
      <c r="CX23" s="328"/>
      <c r="CY23" s="92"/>
      <c r="CZ23" s="346"/>
      <c r="DA23" s="292"/>
      <c r="DB23" s="292"/>
      <c r="DC23" s="292"/>
      <c r="DD23" s="292"/>
      <c r="DE23" s="292"/>
      <c r="DF23" s="292"/>
      <c r="DG23" s="292"/>
      <c r="DH23" s="292"/>
      <c r="DI23" s="292"/>
      <c r="DJ23" s="292"/>
      <c r="DK23" s="292"/>
      <c r="DL23" s="292"/>
      <c r="DM23" s="292"/>
      <c r="DN23" s="292"/>
      <c r="DO23" s="292"/>
      <c r="DP23" s="292"/>
      <c r="DQ23" s="292"/>
      <c r="DR23" s="292"/>
      <c r="DS23" s="292"/>
      <c r="DT23" s="292"/>
      <c r="DU23" s="292"/>
      <c r="DV23" s="292"/>
      <c r="DW23" s="292"/>
      <c r="DX23" s="292"/>
      <c r="DY23" s="292"/>
      <c r="DZ23" s="292"/>
      <c r="EA23" s="292"/>
      <c r="EB23" s="292"/>
      <c r="EC23" s="292"/>
      <c r="ED23" s="291" t="s">
        <v>85</v>
      </c>
      <c r="EE23" s="291"/>
      <c r="EF23" s="291" t="s">
        <v>86</v>
      </c>
      <c r="EG23" s="347"/>
      <c r="EH23" s="276"/>
      <c r="EI23" s="348"/>
      <c r="EJ23" s="349"/>
      <c r="EK23" s="349"/>
      <c r="EL23" s="349"/>
      <c r="EM23" s="349"/>
      <c r="EN23" s="349"/>
      <c r="EO23" s="349"/>
      <c r="EP23" s="349"/>
      <c r="EQ23" s="349"/>
      <c r="ER23" s="349"/>
      <c r="ES23" s="349"/>
      <c r="ET23" s="349"/>
      <c r="EU23" s="349"/>
      <c r="EV23" s="349"/>
      <c r="EW23" s="349"/>
      <c r="EX23" s="349"/>
      <c r="EY23" s="350"/>
      <c r="EZ23" s="77"/>
    </row>
    <row r="24" customHeight="1" spans="1:156">
      <c r="A24" s="92"/>
      <c r="B24" s="301" t="s">
        <v>59</v>
      </c>
      <c r="C24" s="302"/>
      <c r="D24" s="303" t="s">
        <v>87</v>
      </c>
      <c r="E24" s="303"/>
      <c r="F24" s="303"/>
      <c r="G24" s="303"/>
      <c r="H24" s="303"/>
      <c r="I24" s="303"/>
      <c r="J24" s="303"/>
      <c r="K24" s="303"/>
      <c r="L24" s="303"/>
      <c r="M24" s="303"/>
      <c r="N24" s="303"/>
      <c r="O24" s="303"/>
      <c r="P24" s="304">
        <f ca="1" t="shared" si="0"/>
        <v>0</v>
      </c>
      <c r="Q24" s="304"/>
      <c r="R24" s="304"/>
      <c r="S24" s="305">
        <v>0</v>
      </c>
      <c r="T24" s="305"/>
      <c r="U24" s="305"/>
      <c r="V24" s="139" t="str">
        <f ca="1">IF(职业选项!V60&gt;0,职业选项!V60,"")</f>
        <v/>
      </c>
      <c r="W24" s="139"/>
      <c r="X24" s="139"/>
      <c r="Y24" s="139" t="str">
        <f ca="1">规则数据!H30</f>
        <v/>
      </c>
      <c r="Z24" s="139"/>
      <c r="AA24" s="139"/>
      <c r="AB24" s="139"/>
      <c r="AC24" s="139"/>
      <c r="AD24" s="306"/>
      <c r="AE24" s="307" t="s">
        <v>59</v>
      </c>
      <c r="AF24" s="302"/>
      <c r="AG24" s="330" t="s">
        <v>88</v>
      </c>
      <c r="AH24" s="331"/>
      <c r="AI24" s="331"/>
      <c r="AJ24" s="331"/>
      <c r="AK24" s="331"/>
      <c r="AL24" s="331"/>
      <c r="AM24" s="332" t="str">
        <f ca="1">IF(COUNTIF(职业选项!$I$2:$I$28,"特种载具1")&gt;0,IFERROR(INDEX(职业选项!$F$2:$F$28,MATCH("特种载具1",职业选项!$I$2:$I$28,0)),""),IFERROR(MID(IFERROR(INDEX(规则数据!$C$2:$C$9,SMALL(规则数据!$AV$2:$AV$9,1-COUNTIF(职业选项!$C$2:$C$28,"特种载具"))),""),LEN("特种载具")+2,LEN(IFERROR(INDEX(规则数据!$C$2:$C$9,SMALL(规则数据!$AV$2:$AV$9,1-COUNTIF(职业选项!$C$2:$C$28,"特种载具"))),""))-LEN("特种载具")-2),""))</f>
        <v/>
      </c>
      <c r="AN24" s="332"/>
      <c r="AO24" s="332"/>
      <c r="AP24" s="332"/>
      <c r="AQ24" s="332"/>
      <c r="AR24" s="333"/>
      <c r="AS24" s="304">
        <f ca="1" t="shared" si="1"/>
        <v>0</v>
      </c>
      <c r="AT24" s="304"/>
      <c r="AU24" s="304"/>
      <c r="AV24" s="305">
        <v>0</v>
      </c>
      <c r="AW24" s="305"/>
      <c r="AX24" s="305"/>
      <c r="AY24" s="139" t="str">
        <f ca="1">IF(职业选项!V61&gt;0,职业选项!V61,"")</f>
        <v/>
      </c>
      <c r="AZ24" s="139"/>
      <c r="BA24" s="139"/>
      <c r="BB24" s="139" t="str">
        <f ca="1">规则数据!H60</f>
        <v/>
      </c>
      <c r="BC24" s="139"/>
      <c r="BD24" s="139"/>
      <c r="BE24" s="139"/>
      <c r="BF24" s="139"/>
      <c r="BG24" s="308"/>
      <c r="BH24" s="92"/>
      <c r="BI24" s="325"/>
      <c r="BJ24" s="326"/>
      <c r="BK24" s="326"/>
      <c r="BL24" s="326"/>
      <c r="BM24" s="326"/>
      <c r="BN24" s="327"/>
      <c r="BO24" s="327"/>
      <c r="BP24" s="327"/>
      <c r="BQ24" s="327"/>
      <c r="BR24" s="327"/>
      <c r="BS24" s="327"/>
      <c r="BT24" s="327"/>
      <c r="BU24" s="327"/>
      <c r="BV24" s="327"/>
      <c r="BW24" s="327"/>
      <c r="BX24" s="327"/>
      <c r="BY24" s="327"/>
      <c r="BZ24" s="327"/>
      <c r="CA24" s="327"/>
      <c r="CB24" s="327"/>
      <c r="CC24" s="327"/>
      <c r="CD24" s="327"/>
      <c r="CE24" s="327"/>
      <c r="CF24" s="327"/>
      <c r="CG24" s="327"/>
      <c r="CH24" s="327"/>
      <c r="CI24" s="327"/>
      <c r="CJ24" s="327"/>
      <c r="CK24" s="327"/>
      <c r="CL24" s="327"/>
      <c r="CM24" s="327"/>
      <c r="CN24" s="327"/>
      <c r="CO24" s="327"/>
      <c r="CP24" s="327"/>
      <c r="CQ24" s="327"/>
      <c r="CR24" s="327"/>
      <c r="CS24" s="327"/>
      <c r="CT24" s="327"/>
      <c r="CU24" s="327"/>
      <c r="CV24" s="327"/>
      <c r="CW24" s="327"/>
      <c r="CX24" s="328"/>
      <c r="CY24" s="92"/>
      <c r="CZ24" s="351"/>
      <c r="DA24" s="309"/>
      <c r="DB24" s="309"/>
      <c r="DC24" s="309"/>
      <c r="DD24" s="309"/>
      <c r="DE24" s="309"/>
      <c r="DF24" s="309"/>
      <c r="DG24" s="309"/>
      <c r="DH24" s="309"/>
      <c r="DI24" s="309"/>
      <c r="DJ24" s="309"/>
      <c r="DK24" s="309"/>
      <c r="DL24" s="309"/>
      <c r="DM24" s="309"/>
      <c r="DN24" s="309"/>
      <c r="DO24" s="309"/>
      <c r="DP24" s="309"/>
      <c r="DQ24" s="309"/>
      <c r="DR24" s="309"/>
      <c r="DS24" s="309"/>
      <c r="DT24" s="309"/>
      <c r="DU24" s="309"/>
      <c r="DV24" s="309"/>
      <c r="DW24" s="309"/>
      <c r="DX24" s="309"/>
      <c r="DY24" s="309"/>
      <c r="DZ24" s="309"/>
      <c r="EA24" s="309"/>
      <c r="EB24" s="309"/>
      <c r="EC24" s="309"/>
      <c r="ED24" s="352" t="str">
        <f>IF(CZ23="","",IF(AND($DF$46="艰苦经历",IFERROR(VALUE($DF$55),0)=1),0,EF$22))</f>
        <v/>
      </c>
      <c r="EE24" s="353"/>
      <c r="EF24" s="312" t="s">
        <v>89</v>
      </c>
      <c r="EG24" s="354"/>
      <c r="EH24" s="276"/>
      <c r="EI24" s="348"/>
      <c r="EJ24" s="349"/>
      <c r="EK24" s="349"/>
      <c r="EL24" s="349"/>
      <c r="EM24" s="349"/>
      <c r="EN24" s="349"/>
      <c r="EO24" s="349"/>
      <c r="EP24" s="349"/>
      <c r="EQ24" s="349"/>
      <c r="ER24" s="349"/>
      <c r="ES24" s="349"/>
      <c r="ET24" s="349"/>
      <c r="EU24" s="349"/>
      <c r="EV24" s="349"/>
      <c r="EW24" s="349"/>
      <c r="EX24" s="349"/>
      <c r="EY24" s="350"/>
      <c r="EZ24" s="77"/>
    </row>
    <row r="25" customHeight="1" spans="1:156">
      <c r="A25" s="92"/>
      <c r="B25" s="301" t="s">
        <v>59</v>
      </c>
      <c r="C25" s="302"/>
      <c r="D25" s="321" t="s">
        <v>90</v>
      </c>
      <c r="E25" s="322"/>
      <c r="F25" s="322"/>
      <c r="G25" s="322"/>
      <c r="H25" s="322"/>
      <c r="I25" s="322"/>
      <c r="J25" s="323" t="str">
        <f ca="1">IF(COUNTIF(职业选项!$I$2:$I$28,"工艺1")&gt;0,IFERROR(INDEX(职业选项!$F$2:$F$28,MATCH("工艺1",职业选项!$I$2:$I$28,0)),""),IFERROR(MID(IFERROR(INDEX(规则数据!$C$2:$C$9,SMALL(规则数据!$AS$2:$AS$9,1-COUNTIF(职业选项!$C$2:$C$28,"工艺"))),""),LEN("工艺")+2,LEN(IFERROR(INDEX(规则数据!$C$2:$C$9,SMALL(规则数据!$AS$2:$AS$9,1-COUNTIF(职业选项!$C$2:$C$28,"工艺"))),""))-LEN("工艺")-2),""))</f>
        <v/>
      </c>
      <c r="K25" s="323"/>
      <c r="L25" s="323"/>
      <c r="M25" s="323"/>
      <c r="N25" s="323"/>
      <c r="O25" s="324"/>
      <c r="P25" s="304">
        <f ca="1" t="shared" si="0"/>
        <v>0</v>
      </c>
      <c r="Q25" s="304"/>
      <c r="R25" s="304"/>
      <c r="S25" s="305">
        <v>0</v>
      </c>
      <c r="T25" s="305"/>
      <c r="U25" s="305"/>
      <c r="V25" s="139" t="str">
        <f ca="1">IF(职业选项!V62&gt;0,职业选项!V62,"")</f>
        <v/>
      </c>
      <c r="W25" s="139"/>
      <c r="X25" s="139"/>
      <c r="Y25" s="139" t="str">
        <f ca="1">规则数据!H31</f>
        <v/>
      </c>
      <c r="Z25" s="139"/>
      <c r="AA25" s="139"/>
      <c r="AB25" s="139"/>
      <c r="AC25" s="139"/>
      <c r="AD25" s="306"/>
      <c r="AE25" s="307" t="s">
        <v>59</v>
      </c>
      <c r="AF25" s="302"/>
      <c r="AG25" s="321" t="s">
        <v>88</v>
      </c>
      <c r="AH25" s="322"/>
      <c r="AI25" s="322"/>
      <c r="AJ25" s="322"/>
      <c r="AK25" s="322"/>
      <c r="AL25" s="322"/>
      <c r="AM25" s="323" t="str">
        <f ca="1">IF(COUNTIF(职业选项!$I$2:$I$28,"特种载具2")&gt;0,IFERROR(INDEX(职业选项!$F$2:$F$28,MATCH("特种载具2",职业选项!$I$2:$I$28,0)),""),IFERROR(MID(IFERROR(INDEX(规则数据!$C$2:$C$9,SMALL(规则数据!$AV$2:$AV$9,2-COUNTIF(职业选项!$C$2:$C$28,"特种载具"))),""),LEN("特种载具")+2,LEN(IFERROR(INDEX(规则数据!$C$2:$C$9,SMALL(规则数据!$AV$2:$AV$9,2-COUNTIF(职业选项!$C$2:$C$28,"特种载具"))),""))-LEN("特种载具")-2),""))</f>
        <v/>
      </c>
      <c r="AN25" s="323"/>
      <c r="AO25" s="323"/>
      <c r="AP25" s="323"/>
      <c r="AQ25" s="323"/>
      <c r="AR25" s="324"/>
      <c r="AS25" s="304">
        <f ca="1" t="shared" si="1"/>
        <v>0</v>
      </c>
      <c r="AT25" s="304"/>
      <c r="AU25" s="304"/>
      <c r="AV25" s="305">
        <v>0</v>
      </c>
      <c r="AW25" s="305"/>
      <c r="AX25" s="305"/>
      <c r="AY25" s="139" t="str">
        <f ca="1">IF(职业选项!V63&gt;0,职业选项!V63,"")</f>
        <v/>
      </c>
      <c r="AZ25" s="139"/>
      <c r="BA25" s="139"/>
      <c r="BB25" s="139" t="str">
        <f ca="1">规则数据!H61</f>
        <v/>
      </c>
      <c r="BC25" s="139"/>
      <c r="BD25" s="139"/>
      <c r="BE25" s="139"/>
      <c r="BF25" s="139"/>
      <c r="BG25" s="308"/>
      <c r="BH25" s="92"/>
      <c r="BI25" s="325"/>
      <c r="BJ25" s="326"/>
      <c r="BK25" s="326"/>
      <c r="BL25" s="326"/>
      <c r="BM25" s="326"/>
      <c r="BN25" s="327"/>
      <c r="BO25" s="327"/>
      <c r="BP25" s="327"/>
      <c r="BQ25" s="327"/>
      <c r="BR25" s="327"/>
      <c r="BS25" s="327"/>
      <c r="BT25" s="327"/>
      <c r="BU25" s="327"/>
      <c r="BV25" s="327"/>
      <c r="BW25" s="327"/>
      <c r="BX25" s="327"/>
      <c r="BY25" s="327"/>
      <c r="BZ25" s="327"/>
      <c r="CA25" s="327"/>
      <c r="CB25" s="327"/>
      <c r="CC25" s="327"/>
      <c r="CD25" s="327"/>
      <c r="CE25" s="327"/>
      <c r="CF25" s="327"/>
      <c r="CG25" s="327"/>
      <c r="CH25" s="327"/>
      <c r="CI25" s="327"/>
      <c r="CJ25" s="327"/>
      <c r="CK25" s="327"/>
      <c r="CL25" s="327"/>
      <c r="CM25" s="327"/>
      <c r="CN25" s="327"/>
      <c r="CO25" s="327"/>
      <c r="CP25" s="327"/>
      <c r="CQ25" s="327"/>
      <c r="CR25" s="327"/>
      <c r="CS25" s="327"/>
      <c r="CT25" s="327"/>
      <c r="CU25" s="327"/>
      <c r="CV25" s="327"/>
      <c r="CW25" s="327"/>
      <c r="CX25" s="328"/>
      <c r="CY25" s="92"/>
      <c r="CZ25" s="351"/>
      <c r="DA25" s="309"/>
      <c r="DB25" s="309"/>
      <c r="DC25" s="309"/>
      <c r="DD25" s="309"/>
      <c r="DE25" s="309"/>
      <c r="DF25" s="309"/>
      <c r="DG25" s="309"/>
      <c r="DH25" s="309"/>
      <c r="DI25" s="309"/>
      <c r="DJ25" s="309"/>
      <c r="DK25" s="309"/>
      <c r="DL25" s="309"/>
      <c r="DM25" s="309"/>
      <c r="DN25" s="309"/>
      <c r="DO25" s="309"/>
      <c r="DP25" s="309"/>
      <c r="DQ25" s="309"/>
      <c r="DR25" s="309"/>
      <c r="DS25" s="309"/>
      <c r="DT25" s="309"/>
      <c r="DU25" s="309"/>
      <c r="DV25" s="309"/>
      <c r="DW25" s="309"/>
      <c r="DX25" s="309"/>
      <c r="DY25" s="309"/>
      <c r="DZ25" s="309"/>
      <c r="EA25" s="309"/>
      <c r="EB25" s="309"/>
      <c r="EC25" s="309"/>
      <c r="ED25" s="355"/>
      <c r="EE25" s="356"/>
      <c r="EF25" s="312"/>
      <c r="EG25" s="354"/>
      <c r="EH25" s="276"/>
      <c r="EI25" s="348"/>
      <c r="EJ25" s="349"/>
      <c r="EK25" s="349"/>
      <c r="EL25" s="349"/>
      <c r="EM25" s="349"/>
      <c r="EN25" s="349"/>
      <c r="EO25" s="349"/>
      <c r="EP25" s="349"/>
      <c r="EQ25" s="349"/>
      <c r="ER25" s="349"/>
      <c r="ES25" s="349"/>
      <c r="ET25" s="349"/>
      <c r="EU25" s="349"/>
      <c r="EV25" s="349"/>
      <c r="EW25" s="349"/>
      <c r="EX25" s="349"/>
      <c r="EY25" s="350"/>
      <c r="EZ25" s="77"/>
    </row>
    <row r="26" customHeight="1" spans="1:156">
      <c r="A26" s="92"/>
      <c r="B26" s="301" t="s">
        <v>59</v>
      </c>
      <c r="C26" s="302"/>
      <c r="D26" s="330" t="s">
        <v>90</v>
      </c>
      <c r="E26" s="331"/>
      <c r="F26" s="331"/>
      <c r="G26" s="331"/>
      <c r="H26" s="331"/>
      <c r="I26" s="331"/>
      <c r="J26" s="332" t="str">
        <f ca="1">IF(COUNTIF(职业选项!$I$2:$I$28,"工艺2")&gt;0,IFERROR(INDEX(职业选项!$F$2:$F$28,MATCH("工艺2",职业选项!$I$2:$I$28,0)),""),IFERROR(MID(IFERROR(INDEX(规则数据!$C$2:$C$9,SMALL(规则数据!$AS$2:$AS$9,2-COUNTIF(职业选项!$C$2:$C$28,"工艺"))),""),LEN("工艺")+2,LEN(IFERROR(INDEX(规则数据!$C$2:$C$9,SMALL(规则数据!$AS$2:$AS$9,2-COUNTIF(职业选项!$C$2:$C$28,"工艺"))),""))-LEN("工艺")-2),""))</f>
        <v/>
      </c>
      <c r="K26" s="332"/>
      <c r="L26" s="332"/>
      <c r="M26" s="332"/>
      <c r="N26" s="332"/>
      <c r="O26" s="333"/>
      <c r="P26" s="304">
        <f ca="1" t="shared" si="0"/>
        <v>0</v>
      </c>
      <c r="Q26" s="304"/>
      <c r="R26" s="304"/>
      <c r="S26" s="305">
        <v>0</v>
      </c>
      <c r="T26" s="305"/>
      <c r="U26" s="305"/>
      <c r="V26" s="139" t="str">
        <f ca="1">IF(职业选项!V64&gt;0,职业选项!V64,"")</f>
        <v/>
      </c>
      <c r="W26" s="139"/>
      <c r="X26" s="139"/>
      <c r="Y26" s="139" t="str">
        <f ca="1">规则数据!H32</f>
        <v/>
      </c>
      <c r="Z26" s="139"/>
      <c r="AA26" s="139"/>
      <c r="AB26" s="139"/>
      <c r="AC26" s="139"/>
      <c r="AD26" s="306"/>
      <c r="AE26" s="307" t="s">
        <v>59</v>
      </c>
      <c r="AF26" s="302"/>
      <c r="AG26" s="330" t="s">
        <v>88</v>
      </c>
      <c r="AH26" s="331"/>
      <c r="AI26" s="331"/>
      <c r="AJ26" s="331"/>
      <c r="AK26" s="331"/>
      <c r="AL26" s="331"/>
      <c r="AM26" s="332" t="str">
        <f ca="1">IF(COUNTIF(职业选项!$I$2:$I$28,"特种载具3")&gt;0,IFERROR(INDEX(职业选项!$F$2:$F$28,MATCH("特种载具3",职业选项!$I$2:$I$28,0)),""),IFERROR(MID(IFERROR(INDEX(规则数据!$C$2:$C$9,SMALL(规则数据!$AV$2:$AV$9,3-COUNTIF(职业选项!$C$2:$C$28,"特种载具"))),""),LEN("特种载具")+2,LEN(IFERROR(INDEX(规则数据!$C$2:$C$9,SMALL(规则数据!$AV$2:$AV$9,3-COUNTIF(职业选项!$C$2:$C$28,"特种载具"))),""))-LEN("特种载具")-2),""))</f>
        <v/>
      </c>
      <c r="AN26" s="332"/>
      <c r="AO26" s="332"/>
      <c r="AP26" s="332"/>
      <c r="AQ26" s="332"/>
      <c r="AR26" s="333"/>
      <c r="AS26" s="304">
        <f ca="1" t="shared" si="1"/>
        <v>0</v>
      </c>
      <c r="AT26" s="304"/>
      <c r="AU26" s="304"/>
      <c r="AV26" s="305">
        <v>0</v>
      </c>
      <c r="AW26" s="305"/>
      <c r="AX26" s="305"/>
      <c r="AY26" s="139" t="str">
        <f ca="1">IF(职业选项!V65&gt;0,职业选项!V65,"")</f>
        <v/>
      </c>
      <c r="AZ26" s="139"/>
      <c r="BA26" s="139"/>
      <c r="BB26" s="139" t="str">
        <f ca="1">规则数据!H62</f>
        <v/>
      </c>
      <c r="BC26" s="139"/>
      <c r="BD26" s="139"/>
      <c r="BE26" s="139"/>
      <c r="BF26" s="139"/>
      <c r="BG26" s="308"/>
      <c r="BH26" s="92"/>
      <c r="BI26" s="325"/>
      <c r="BJ26" s="326"/>
      <c r="BK26" s="326"/>
      <c r="BL26" s="326"/>
      <c r="BM26" s="326"/>
      <c r="BN26" s="327"/>
      <c r="BO26" s="327"/>
      <c r="BP26" s="327"/>
      <c r="BQ26" s="327"/>
      <c r="BR26" s="327"/>
      <c r="BS26" s="327"/>
      <c r="BT26" s="327"/>
      <c r="BU26" s="327"/>
      <c r="BV26" s="327"/>
      <c r="BW26" s="327"/>
      <c r="BX26" s="327"/>
      <c r="BY26" s="327"/>
      <c r="BZ26" s="327"/>
      <c r="CA26" s="327"/>
      <c r="CB26" s="327"/>
      <c r="CC26" s="327"/>
      <c r="CD26" s="327"/>
      <c r="CE26" s="327"/>
      <c r="CF26" s="327"/>
      <c r="CG26" s="327"/>
      <c r="CH26" s="327"/>
      <c r="CI26" s="327"/>
      <c r="CJ26" s="327"/>
      <c r="CK26" s="327"/>
      <c r="CL26" s="327"/>
      <c r="CM26" s="327"/>
      <c r="CN26" s="327"/>
      <c r="CO26" s="327"/>
      <c r="CP26" s="327"/>
      <c r="CQ26" s="327"/>
      <c r="CR26" s="327"/>
      <c r="CS26" s="327"/>
      <c r="CT26" s="327"/>
      <c r="CU26" s="327"/>
      <c r="CV26" s="327"/>
      <c r="CW26" s="327"/>
      <c r="CX26" s="328"/>
      <c r="CY26" s="92"/>
      <c r="CZ26" s="351"/>
      <c r="DA26" s="309"/>
      <c r="DB26" s="309"/>
      <c r="DC26" s="309"/>
      <c r="DD26" s="309"/>
      <c r="DE26" s="309"/>
      <c r="DF26" s="309"/>
      <c r="DG26" s="309"/>
      <c r="DH26" s="309"/>
      <c r="DI26" s="309"/>
      <c r="DJ26" s="309"/>
      <c r="DK26" s="309"/>
      <c r="DL26" s="309"/>
      <c r="DM26" s="309"/>
      <c r="DN26" s="309"/>
      <c r="DO26" s="309"/>
      <c r="DP26" s="309"/>
      <c r="DQ26" s="309"/>
      <c r="DR26" s="309"/>
      <c r="DS26" s="309"/>
      <c r="DT26" s="309"/>
      <c r="DU26" s="309"/>
      <c r="DV26" s="309"/>
      <c r="DW26" s="309"/>
      <c r="DX26" s="309"/>
      <c r="DY26" s="309"/>
      <c r="DZ26" s="309"/>
      <c r="EA26" s="309"/>
      <c r="EB26" s="309"/>
      <c r="EC26" s="309"/>
      <c r="ED26" s="132" t="s">
        <v>85</v>
      </c>
      <c r="EE26" s="132"/>
      <c r="EF26" s="132" t="s">
        <v>86</v>
      </c>
      <c r="EG26" s="357"/>
      <c r="EH26" s="276"/>
      <c r="EI26" s="348"/>
      <c r="EJ26" s="349"/>
      <c r="EK26" s="349"/>
      <c r="EL26" s="349"/>
      <c r="EM26" s="349"/>
      <c r="EN26" s="349"/>
      <c r="EO26" s="349"/>
      <c r="EP26" s="349"/>
      <c r="EQ26" s="349"/>
      <c r="ER26" s="349"/>
      <c r="ES26" s="349"/>
      <c r="ET26" s="349"/>
      <c r="EU26" s="349"/>
      <c r="EV26" s="349"/>
      <c r="EW26" s="349"/>
      <c r="EX26" s="349"/>
      <c r="EY26" s="350"/>
      <c r="EZ26" s="77"/>
    </row>
    <row r="27" customHeight="1" spans="1:156">
      <c r="A27" s="92"/>
      <c r="B27" s="301" t="s">
        <v>59</v>
      </c>
      <c r="C27" s="302"/>
      <c r="D27" s="321" t="s">
        <v>90</v>
      </c>
      <c r="E27" s="322"/>
      <c r="F27" s="322"/>
      <c r="G27" s="322"/>
      <c r="H27" s="322"/>
      <c r="I27" s="322"/>
      <c r="J27" s="323" t="str">
        <f ca="1">IF(COUNTIF(职业选项!$I$2:$I$28,"工艺3")&gt;0,IFERROR(INDEX(职业选项!$F$2:$F$28,MATCH("工艺3",职业选项!$I$2:$I$28,0)),""),IFERROR(MID(IFERROR(INDEX(规则数据!$C$2:$C$9,SMALL(规则数据!$AS$2:$AS$9,3-COUNTIF(职业选项!$C$2:$C$28,"工艺"))),""),LEN("工艺")+2,LEN(IFERROR(INDEX(规则数据!$C$2:$C$9,SMALL(规则数据!$AS$2:$AS$9,3-COUNTIF(职业选项!$C$2:$C$28,"工艺"))),""))-LEN("工艺")-2),""))</f>
        <v/>
      </c>
      <c r="K27" s="323"/>
      <c r="L27" s="323"/>
      <c r="M27" s="323"/>
      <c r="N27" s="323"/>
      <c r="O27" s="324"/>
      <c r="P27" s="304">
        <f ca="1" t="shared" si="0"/>
        <v>0</v>
      </c>
      <c r="Q27" s="304"/>
      <c r="R27" s="304"/>
      <c r="S27" s="305">
        <v>0</v>
      </c>
      <c r="T27" s="305"/>
      <c r="U27" s="305"/>
      <c r="V27" s="139" t="str">
        <f ca="1">IF(职业选项!V66&gt;0,职业选项!V66,"")</f>
        <v/>
      </c>
      <c r="W27" s="139"/>
      <c r="X27" s="139"/>
      <c r="Y27" s="139" t="str">
        <f ca="1">规则数据!H33</f>
        <v/>
      </c>
      <c r="Z27" s="139"/>
      <c r="AA27" s="139"/>
      <c r="AB27" s="139"/>
      <c r="AC27" s="139"/>
      <c r="AD27" s="306"/>
      <c r="AE27" s="307" t="s">
        <v>59</v>
      </c>
      <c r="AF27" s="302"/>
      <c r="AG27" s="303" t="s">
        <v>91</v>
      </c>
      <c r="AH27" s="303"/>
      <c r="AI27" s="303"/>
      <c r="AJ27" s="303"/>
      <c r="AK27" s="303"/>
      <c r="AL27" s="303"/>
      <c r="AM27" s="303"/>
      <c r="AN27" s="303"/>
      <c r="AO27" s="303"/>
      <c r="AP27" s="303"/>
      <c r="AQ27" s="303"/>
      <c r="AR27" s="303"/>
      <c r="AS27" s="304">
        <f ca="1" t="shared" si="1"/>
        <v>10</v>
      </c>
      <c r="AT27" s="304"/>
      <c r="AU27" s="304"/>
      <c r="AV27" s="305">
        <v>10</v>
      </c>
      <c r="AW27" s="305"/>
      <c r="AX27" s="305"/>
      <c r="AY27" s="139" t="str">
        <f ca="1">IF(职业选项!V67&gt;0,职业选项!V67,"")</f>
        <v/>
      </c>
      <c r="AZ27" s="139"/>
      <c r="BA27" s="139"/>
      <c r="BB27" s="139" t="str">
        <f ca="1">规则数据!H63</f>
        <v/>
      </c>
      <c r="BC27" s="139"/>
      <c r="BD27" s="139"/>
      <c r="BE27" s="139"/>
      <c r="BF27" s="139"/>
      <c r="BG27" s="308"/>
      <c r="BH27" s="92"/>
      <c r="BI27" s="358"/>
      <c r="BJ27" s="309"/>
      <c r="BK27" s="309"/>
      <c r="BL27" s="309"/>
      <c r="BM27" s="309"/>
      <c r="BN27" s="309"/>
      <c r="BO27" s="309"/>
      <c r="BP27" s="309"/>
      <c r="BQ27" s="309"/>
      <c r="BR27" s="309"/>
      <c r="BS27" s="309"/>
      <c r="BT27" s="309"/>
      <c r="BU27" s="309"/>
      <c r="BV27" s="309"/>
      <c r="BW27" s="309"/>
      <c r="BX27" s="309"/>
      <c r="BY27" s="309"/>
      <c r="BZ27" s="309"/>
      <c r="CA27" s="309"/>
      <c r="CB27" s="309"/>
      <c r="CC27" s="309"/>
      <c r="CD27" s="309"/>
      <c r="CE27" s="309"/>
      <c r="CF27" s="309"/>
      <c r="CG27" s="309"/>
      <c r="CH27" s="309"/>
      <c r="CI27" s="309"/>
      <c r="CJ27" s="309"/>
      <c r="CK27" s="309"/>
      <c r="CL27" s="309"/>
      <c r="CM27" s="309"/>
      <c r="CN27" s="309"/>
      <c r="CO27" s="309"/>
      <c r="CP27" s="309"/>
      <c r="CQ27" s="309"/>
      <c r="CR27" s="309"/>
      <c r="CS27" s="309"/>
      <c r="CT27" s="309"/>
      <c r="CU27" s="309"/>
      <c r="CV27" s="309"/>
      <c r="CW27" s="309"/>
      <c r="CX27" s="310"/>
      <c r="CY27" s="92"/>
      <c r="CZ27" s="351"/>
      <c r="DA27" s="309"/>
      <c r="DB27" s="309"/>
      <c r="DC27" s="309"/>
      <c r="DD27" s="309"/>
      <c r="DE27" s="309"/>
      <c r="DF27" s="309"/>
      <c r="DG27" s="309"/>
      <c r="DH27" s="309"/>
      <c r="DI27" s="309"/>
      <c r="DJ27" s="309"/>
      <c r="DK27" s="309"/>
      <c r="DL27" s="309"/>
      <c r="DM27" s="309"/>
      <c r="DN27" s="309"/>
      <c r="DO27" s="309"/>
      <c r="DP27" s="309"/>
      <c r="DQ27" s="309"/>
      <c r="DR27" s="309"/>
      <c r="DS27" s="309"/>
      <c r="DT27" s="309"/>
      <c r="DU27" s="309"/>
      <c r="DV27" s="309"/>
      <c r="DW27" s="309"/>
      <c r="DX27" s="309"/>
      <c r="DY27" s="309"/>
      <c r="DZ27" s="309"/>
      <c r="EA27" s="309"/>
      <c r="EB27" s="309"/>
      <c r="EC27" s="309"/>
      <c r="ED27" s="352" t="str">
        <f>IF(CZ26="","",IF(AND($DF$46="艰苦经历",IFERROR(VALUE($DF$55),0)=2),0,EF$22))</f>
        <v/>
      </c>
      <c r="EE27" s="353"/>
      <c r="EF27" s="312" t="s">
        <v>89</v>
      </c>
      <c r="EG27" s="354"/>
      <c r="EH27" s="276"/>
      <c r="EI27" s="348"/>
      <c r="EJ27" s="349"/>
      <c r="EK27" s="349"/>
      <c r="EL27" s="349"/>
      <c r="EM27" s="349"/>
      <c r="EN27" s="349"/>
      <c r="EO27" s="349"/>
      <c r="EP27" s="349"/>
      <c r="EQ27" s="349"/>
      <c r="ER27" s="349"/>
      <c r="ES27" s="349"/>
      <c r="ET27" s="349"/>
      <c r="EU27" s="349"/>
      <c r="EV27" s="349"/>
      <c r="EW27" s="349"/>
      <c r="EX27" s="349"/>
      <c r="EY27" s="350"/>
      <c r="EZ27" s="77"/>
    </row>
    <row r="28" customHeight="1" spans="1:156">
      <c r="A28" s="92"/>
      <c r="B28" s="301" t="s">
        <v>59</v>
      </c>
      <c r="C28" s="302"/>
      <c r="D28" s="330" t="s">
        <v>90</v>
      </c>
      <c r="E28" s="331"/>
      <c r="F28" s="331"/>
      <c r="G28" s="331"/>
      <c r="H28" s="331"/>
      <c r="I28" s="331"/>
      <c r="J28" s="332" t="str">
        <f ca="1">IF(COUNTIF(职业选项!$I$2:$I$28,"工艺4")&gt;0,IFERROR(INDEX(职业选项!$F$2:$F$28,MATCH("工艺4",职业选项!$I$2:$I$28,0)),""),IFERROR(MID(IFERROR(INDEX(规则数据!$C$2:$C$9,SMALL(规则数据!$AS$2:$AS$9,4-COUNTIF(职业选项!$C$2:$C$28,"工艺"))),""),LEN("工艺")+2,LEN(IFERROR(INDEX(规则数据!$C$2:$C$9,SMALL(规则数据!$AS$2:$AS$9,4-COUNTIF(职业选项!$C$2:$C$28,"工艺"))),""))-LEN("工艺")-2),""))</f>
        <v/>
      </c>
      <c r="K28" s="332"/>
      <c r="L28" s="332"/>
      <c r="M28" s="332"/>
      <c r="N28" s="332"/>
      <c r="O28" s="333"/>
      <c r="P28" s="304">
        <f ca="1" t="shared" si="0"/>
        <v>0</v>
      </c>
      <c r="Q28" s="304"/>
      <c r="R28" s="304"/>
      <c r="S28" s="305">
        <v>0</v>
      </c>
      <c r="T28" s="305"/>
      <c r="U28" s="305"/>
      <c r="V28" s="139" t="str">
        <f ca="1">IF(职业选项!V68&gt;0,职业选项!V68,"")</f>
        <v/>
      </c>
      <c r="W28" s="139"/>
      <c r="X28" s="139"/>
      <c r="Y28" s="139" t="str">
        <f ca="1">规则数据!H34</f>
        <v/>
      </c>
      <c r="Z28" s="139"/>
      <c r="AA28" s="139"/>
      <c r="AB28" s="139"/>
      <c r="AC28" s="139"/>
      <c r="AD28" s="306"/>
      <c r="AE28" s="307" t="s">
        <v>59</v>
      </c>
      <c r="AF28" s="302"/>
      <c r="AG28" s="303" t="s">
        <v>92</v>
      </c>
      <c r="AH28" s="303"/>
      <c r="AI28" s="303"/>
      <c r="AJ28" s="303"/>
      <c r="AK28" s="303"/>
      <c r="AL28" s="303"/>
      <c r="AM28" s="303"/>
      <c r="AN28" s="303"/>
      <c r="AO28" s="303"/>
      <c r="AP28" s="303"/>
      <c r="AQ28" s="303"/>
      <c r="AR28" s="303"/>
      <c r="AS28" s="304">
        <f ca="1" t="shared" si="1"/>
        <v>10</v>
      </c>
      <c r="AT28" s="304"/>
      <c r="AU28" s="304"/>
      <c r="AV28" s="305">
        <v>10</v>
      </c>
      <c r="AW28" s="305"/>
      <c r="AX28" s="305"/>
      <c r="AY28" s="139" t="str">
        <f ca="1">IF(职业选项!V69&gt;0,职业选项!V69,"")</f>
        <v/>
      </c>
      <c r="AZ28" s="139"/>
      <c r="BA28" s="139"/>
      <c r="BB28" s="139" t="str">
        <f ca="1">规则数据!H64</f>
        <v/>
      </c>
      <c r="BC28" s="139"/>
      <c r="BD28" s="139"/>
      <c r="BE28" s="139"/>
      <c r="BF28" s="139"/>
      <c r="BG28" s="308"/>
      <c r="BH28" s="359"/>
      <c r="BI28" s="358"/>
      <c r="BJ28" s="309"/>
      <c r="BK28" s="309"/>
      <c r="BL28" s="309"/>
      <c r="BM28" s="309"/>
      <c r="BN28" s="309"/>
      <c r="BO28" s="309"/>
      <c r="BP28" s="309"/>
      <c r="BQ28" s="309"/>
      <c r="BR28" s="309"/>
      <c r="BS28" s="309"/>
      <c r="BT28" s="309"/>
      <c r="BU28" s="309"/>
      <c r="BV28" s="309"/>
      <c r="BW28" s="309"/>
      <c r="BX28" s="309"/>
      <c r="BY28" s="309"/>
      <c r="BZ28" s="309"/>
      <c r="CA28" s="309"/>
      <c r="CB28" s="309"/>
      <c r="CC28" s="309"/>
      <c r="CD28" s="309"/>
      <c r="CE28" s="309"/>
      <c r="CF28" s="309"/>
      <c r="CG28" s="309"/>
      <c r="CH28" s="309"/>
      <c r="CI28" s="309"/>
      <c r="CJ28" s="309"/>
      <c r="CK28" s="309"/>
      <c r="CL28" s="309"/>
      <c r="CM28" s="309"/>
      <c r="CN28" s="309"/>
      <c r="CO28" s="309"/>
      <c r="CP28" s="309"/>
      <c r="CQ28" s="309"/>
      <c r="CR28" s="309"/>
      <c r="CS28" s="309"/>
      <c r="CT28" s="309"/>
      <c r="CU28" s="309"/>
      <c r="CV28" s="309"/>
      <c r="CW28" s="309"/>
      <c r="CX28" s="310"/>
      <c r="CY28" s="92"/>
      <c r="CZ28" s="351"/>
      <c r="DA28" s="309"/>
      <c r="DB28" s="309"/>
      <c r="DC28" s="309"/>
      <c r="DD28" s="309"/>
      <c r="DE28" s="309"/>
      <c r="DF28" s="309"/>
      <c r="DG28" s="309"/>
      <c r="DH28" s="309"/>
      <c r="DI28" s="309"/>
      <c r="DJ28" s="309"/>
      <c r="DK28" s="309"/>
      <c r="DL28" s="309"/>
      <c r="DM28" s="309"/>
      <c r="DN28" s="309"/>
      <c r="DO28" s="309"/>
      <c r="DP28" s="309"/>
      <c r="DQ28" s="309"/>
      <c r="DR28" s="309"/>
      <c r="DS28" s="309"/>
      <c r="DT28" s="309"/>
      <c r="DU28" s="309"/>
      <c r="DV28" s="309"/>
      <c r="DW28" s="309"/>
      <c r="DX28" s="309"/>
      <c r="DY28" s="309"/>
      <c r="DZ28" s="309"/>
      <c r="EA28" s="309"/>
      <c r="EB28" s="309"/>
      <c r="EC28" s="309"/>
      <c r="ED28" s="355"/>
      <c r="EE28" s="356"/>
      <c r="EF28" s="312"/>
      <c r="EG28" s="354"/>
      <c r="EH28" s="276"/>
      <c r="EI28" s="348"/>
      <c r="EJ28" s="349"/>
      <c r="EK28" s="349"/>
      <c r="EL28" s="349"/>
      <c r="EM28" s="349"/>
      <c r="EN28" s="349"/>
      <c r="EO28" s="349"/>
      <c r="EP28" s="349"/>
      <c r="EQ28" s="349"/>
      <c r="ER28" s="349"/>
      <c r="ES28" s="349"/>
      <c r="ET28" s="349"/>
      <c r="EU28" s="349"/>
      <c r="EV28" s="349"/>
      <c r="EW28" s="349"/>
      <c r="EX28" s="349"/>
      <c r="EY28" s="350"/>
      <c r="EZ28" s="77"/>
    </row>
    <row r="29" customHeight="1" spans="1:156">
      <c r="A29" s="92"/>
      <c r="B29" s="301" t="s">
        <v>59</v>
      </c>
      <c r="C29" s="302"/>
      <c r="D29" s="303" t="s">
        <v>93</v>
      </c>
      <c r="E29" s="303"/>
      <c r="F29" s="303"/>
      <c r="G29" s="303"/>
      <c r="H29" s="303"/>
      <c r="I29" s="303"/>
      <c r="J29" s="303"/>
      <c r="K29" s="303"/>
      <c r="L29" s="303"/>
      <c r="M29" s="303"/>
      <c r="N29" s="303"/>
      <c r="O29" s="303"/>
      <c r="P29" s="304">
        <f ca="1" t="shared" si="0"/>
        <v>10</v>
      </c>
      <c r="Q29" s="304"/>
      <c r="R29" s="304"/>
      <c r="S29" s="305">
        <v>10</v>
      </c>
      <c r="T29" s="305"/>
      <c r="U29" s="305"/>
      <c r="V29" s="139" t="str">
        <f ca="1">IF(职业选项!V70&gt;0,职业选项!V70,"")</f>
        <v/>
      </c>
      <c r="W29" s="139"/>
      <c r="X29" s="139"/>
      <c r="Y29" s="139" t="str">
        <f ca="1">规则数据!H35</f>
        <v/>
      </c>
      <c r="Z29" s="139"/>
      <c r="AA29" s="139"/>
      <c r="AB29" s="139"/>
      <c r="AC29" s="139"/>
      <c r="AD29" s="306"/>
      <c r="AE29" s="307" t="s">
        <v>59</v>
      </c>
      <c r="AF29" s="302"/>
      <c r="AG29" s="321" t="s">
        <v>94</v>
      </c>
      <c r="AH29" s="322"/>
      <c r="AI29" s="322"/>
      <c r="AJ29" s="322"/>
      <c r="AK29" s="322"/>
      <c r="AL29" s="322"/>
      <c r="AM29" s="323" t="str">
        <f ca="1">IF(COUNTIF(职业选项!$I$2:$I$28,"科学1")&gt;0,IFERROR(INDEX(职业选项!$F$2:$F$28,MATCH("科学1",职业选项!$I$2:$I$28,0)),""),IFERROR(MID(IFERROR(INDEX(规则数据!$C$2:$C$9,SMALL(规则数据!$AW$2:$AW$9,1-COUNTIF(职业选项!$C$2:$C$28,"科学"))),""),LEN("科学")+2,LEN(IFERROR(INDEX(规则数据!$C$2:$C$9,SMALL(规则数据!$AW$2:$AW$9,1-COUNTIF(职业选项!$C$2:$C$28,"科学"))),""))-LEN("科学")-2),""))</f>
        <v/>
      </c>
      <c r="AN29" s="323"/>
      <c r="AO29" s="323"/>
      <c r="AP29" s="323"/>
      <c r="AQ29" s="323"/>
      <c r="AR29" s="324"/>
      <c r="AS29" s="304">
        <f ca="1" t="shared" si="1"/>
        <v>0</v>
      </c>
      <c r="AT29" s="304"/>
      <c r="AU29" s="304"/>
      <c r="AV29" s="305">
        <v>0</v>
      </c>
      <c r="AW29" s="305"/>
      <c r="AX29" s="305"/>
      <c r="AY29" s="139" t="str">
        <f ca="1">IF(职业选项!V71&gt;0,职业选项!V71,"")</f>
        <v/>
      </c>
      <c r="AZ29" s="139"/>
      <c r="BA29" s="139"/>
      <c r="BB29" s="139" t="str">
        <f ca="1">规则数据!H65</f>
        <v/>
      </c>
      <c r="BC29" s="139"/>
      <c r="BD29" s="139"/>
      <c r="BE29" s="139"/>
      <c r="BF29" s="139"/>
      <c r="BG29" s="308"/>
      <c r="BH29" s="359"/>
      <c r="BI29" s="358"/>
      <c r="BJ29" s="309"/>
      <c r="BK29" s="309"/>
      <c r="BL29" s="309"/>
      <c r="BM29" s="309"/>
      <c r="BN29" s="309"/>
      <c r="BO29" s="309"/>
      <c r="BP29" s="309"/>
      <c r="BQ29" s="309"/>
      <c r="BR29" s="309"/>
      <c r="BS29" s="309"/>
      <c r="BT29" s="309"/>
      <c r="BU29" s="309"/>
      <c r="BV29" s="309"/>
      <c r="BW29" s="309"/>
      <c r="BX29" s="309"/>
      <c r="BY29" s="309"/>
      <c r="BZ29" s="309"/>
      <c r="CA29" s="309"/>
      <c r="CB29" s="309"/>
      <c r="CC29" s="309"/>
      <c r="CD29" s="309"/>
      <c r="CE29" s="309"/>
      <c r="CF29" s="309"/>
      <c r="CG29" s="309"/>
      <c r="CH29" s="309"/>
      <c r="CI29" s="309"/>
      <c r="CJ29" s="309"/>
      <c r="CK29" s="309"/>
      <c r="CL29" s="309"/>
      <c r="CM29" s="309"/>
      <c r="CN29" s="309"/>
      <c r="CO29" s="309"/>
      <c r="CP29" s="309"/>
      <c r="CQ29" s="309"/>
      <c r="CR29" s="309"/>
      <c r="CS29" s="309"/>
      <c r="CT29" s="309"/>
      <c r="CU29" s="309"/>
      <c r="CV29" s="309"/>
      <c r="CW29" s="309"/>
      <c r="CX29" s="310"/>
      <c r="CY29" s="92"/>
      <c r="CZ29" s="351"/>
      <c r="DA29" s="309"/>
      <c r="DB29" s="309"/>
      <c r="DC29" s="309"/>
      <c r="DD29" s="309"/>
      <c r="DE29" s="309"/>
      <c r="DF29" s="309"/>
      <c r="DG29" s="309"/>
      <c r="DH29" s="309"/>
      <c r="DI29" s="309"/>
      <c r="DJ29" s="309"/>
      <c r="DK29" s="309"/>
      <c r="DL29" s="309"/>
      <c r="DM29" s="309"/>
      <c r="DN29" s="309"/>
      <c r="DO29" s="309"/>
      <c r="DP29" s="309"/>
      <c r="DQ29" s="309"/>
      <c r="DR29" s="309"/>
      <c r="DS29" s="309"/>
      <c r="DT29" s="309"/>
      <c r="DU29" s="309"/>
      <c r="DV29" s="309"/>
      <c r="DW29" s="309"/>
      <c r="DX29" s="309"/>
      <c r="DY29" s="309"/>
      <c r="DZ29" s="309"/>
      <c r="EA29" s="309"/>
      <c r="EB29" s="309"/>
      <c r="EC29" s="309"/>
      <c r="ED29" s="132" t="s">
        <v>85</v>
      </c>
      <c r="EE29" s="132"/>
      <c r="EF29" s="132" t="s">
        <v>86</v>
      </c>
      <c r="EG29" s="357"/>
      <c r="EH29" s="92"/>
      <c r="EI29" s="348"/>
      <c r="EJ29" s="349"/>
      <c r="EK29" s="349"/>
      <c r="EL29" s="349"/>
      <c r="EM29" s="349"/>
      <c r="EN29" s="349"/>
      <c r="EO29" s="349"/>
      <c r="EP29" s="349"/>
      <c r="EQ29" s="349"/>
      <c r="ER29" s="349"/>
      <c r="ES29" s="349"/>
      <c r="ET29" s="349"/>
      <c r="EU29" s="349"/>
      <c r="EV29" s="349"/>
      <c r="EW29" s="349"/>
      <c r="EX29" s="349"/>
      <c r="EY29" s="350"/>
      <c r="EZ29" s="77"/>
    </row>
    <row r="30" customHeight="1" spans="1:156">
      <c r="A30" s="92"/>
      <c r="B30" s="301" t="s">
        <v>59</v>
      </c>
      <c r="C30" s="302"/>
      <c r="D30" s="303" t="s">
        <v>95</v>
      </c>
      <c r="E30" s="303"/>
      <c r="F30" s="303"/>
      <c r="G30" s="303"/>
      <c r="H30" s="303"/>
      <c r="I30" s="303"/>
      <c r="J30" s="303"/>
      <c r="K30" s="303"/>
      <c r="L30" s="303"/>
      <c r="M30" s="303"/>
      <c r="N30" s="303"/>
      <c r="O30" s="303"/>
      <c r="P30" s="304">
        <f ca="1" t="shared" si="0"/>
        <v>0</v>
      </c>
      <c r="Q30" s="304"/>
      <c r="R30" s="304"/>
      <c r="S30" s="305">
        <v>0</v>
      </c>
      <c r="T30" s="305"/>
      <c r="U30" s="305"/>
      <c r="V30" s="139" t="str">
        <f ca="1">IF(职业选项!V72&gt;0,职业选项!V72,"")</f>
        <v/>
      </c>
      <c r="W30" s="139"/>
      <c r="X30" s="139"/>
      <c r="Y30" s="139" t="str">
        <f ca="1">规则数据!H36</f>
        <v/>
      </c>
      <c r="Z30" s="139"/>
      <c r="AA30" s="139"/>
      <c r="AB30" s="139"/>
      <c r="AC30" s="139"/>
      <c r="AD30" s="306"/>
      <c r="AE30" s="307" t="s">
        <v>59</v>
      </c>
      <c r="AF30" s="302"/>
      <c r="AG30" s="330" t="s">
        <v>94</v>
      </c>
      <c r="AH30" s="331"/>
      <c r="AI30" s="331"/>
      <c r="AJ30" s="331"/>
      <c r="AK30" s="331"/>
      <c r="AL30" s="331"/>
      <c r="AM30" s="332" t="str">
        <f ca="1">IF(COUNTIF(职业选项!$I$2:$I$28,"科学2")&gt;0,IFERROR(INDEX(职业选项!$F$2:$F$28,MATCH("科学2",职业选项!$I$2:$I$28,0)),""),IFERROR(MID(IFERROR(INDEX(规则数据!$C$2:$C$9,SMALL(规则数据!$AW$2:$AW$9,2-COUNTIF(职业选项!$C$2:$C$28,"科学"))),""),LEN("科学")+2,LEN(IFERROR(INDEX(规则数据!$C$2:$C$9,SMALL(规则数据!$AW$2:$AW$9,2-COUNTIF(职业选项!$C$2:$C$28,"科学"))),""))-LEN("科学")-2),""))</f>
        <v/>
      </c>
      <c r="AN30" s="332"/>
      <c r="AO30" s="332"/>
      <c r="AP30" s="332"/>
      <c r="AQ30" s="332"/>
      <c r="AR30" s="333"/>
      <c r="AS30" s="304">
        <f ca="1" t="shared" si="1"/>
        <v>0</v>
      </c>
      <c r="AT30" s="304"/>
      <c r="AU30" s="304"/>
      <c r="AV30" s="305">
        <v>0</v>
      </c>
      <c r="AW30" s="305"/>
      <c r="AX30" s="305"/>
      <c r="AY30" s="139" t="str">
        <f ca="1">IF(职业选项!V73&gt;0,职业选项!V73,"")</f>
        <v/>
      </c>
      <c r="AZ30" s="139"/>
      <c r="BA30" s="139"/>
      <c r="BB30" s="139" t="str">
        <f ca="1">规则数据!H66</f>
        <v/>
      </c>
      <c r="BC30" s="139"/>
      <c r="BD30" s="139"/>
      <c r="BE30" s="139"/>
      <c r="BF30" s="139"/>
      <c r="BG30" s="308"/>
      <c r="BH30" s="359"/>
      <c r="BI30" s="358"/>
      <c r="BJ30" s="309"/>
      <c r="BK30" s="309"/>
      <c r="BL30" s="309"/>
      <c r="BM30" s="309"/>
      <c r="BN30" s="309"/>
      <c r="BO30" s="309"/>
      <c r="BP30" s="309"/>
      <c r="BQ30" s="309"/>
      <c r="BR30" s="309"/>
      <c r="BS30" s="309"/>
      <c r="BT30" s="309"/>
      <c r="BU30" s="309"/>
      <c r="BV30" s="309"/>
      <c r="BW30" s="309"/>
      <c r="BX30" s="309"/>
      <c r="BY30" s="309"/>
      <c r="BZ30" s="309"/>
      <c r="CA30" s="309"/>
      <c r="CB30" s="309"/>
      <c r="CC30" s="309"/>
      <c r="CD30" s="309"/>
      <c r="CE30" s="309"/>
      <c r="CF30" s="309"/>
      <c r="CG30" s="309"/>
      <c r="CH30" s="309"/>
      <c r="CI30" s="309"/>
      <c r="CJ30" s="309"/>
      <c r="CK30" s="309"/>
      <c r="CL30" s="309"/>
      <c r="CM30" s="309"/>
      <c r="CN30" s="309"/>
      <c r="CO30" s="309"/>
      <c r="CP30" s="309"/>
      <c r="CQ30" s="309"/>
      <c r="CR30" s="309"/>
      <c r="CS30" s="309"/>
      <c r="CT30" s="309"/>
      <c r="CU30" s="309"/>
      <c r="CV30" s="309"/>
      <c r="CW30" s="309"/>
      <c r="CX30" s="310"/>
      <c r="CY30" s="92"/>
      <c r="CZ30" s="351"/>
      <c r="DA30" s="309"/>
      <c r="DB30" s="309"/>
      <c r="DC30" s="309"/>
      <c r="DD30" s="309"/>
      <c r="DE30" s="309"/>
      <c r="DF30" s="309"/>
      <c r="DG30" s="309"/>
      <c r="DH30" s="309"/>
      <c r="DI30" s="309"/>
      <c r="DJ30" s="309"/>
      <c r="DK30" s="309"/>
      <c r="DL30" s="309"/>
      <c r="DM30" s="309"/>
      <c r="DN30" s="309"/>
      <c r="DO30" s="309"/>
      <c r="DP30" s="309"/>
      <c r="DQ30" s="309"/>
      <c r="DR30" s="309"/>
      <c r="DS30" s="309"/>
      <c r="DT30" s="309"/>
      <c r="DU30" s="309"/>
      <c r="DV30" s="309"/>
      <c r="DW30" s="309"/>
      <c r="DX30" s="309"/>
      <c r="DY30" s="309"/>
      <c r="DZ30" s="309"/>
      <c r="EA30" s="309"/>
      <c r="EB30" s="309"/>
      <c r="EC30" s="309"/>
      <c r="ED30" s="352" t="str">
        <f>IF(CZ29="","",IF(AND($DF$46="艰苦经历",IFERROR(VALUE($DF$55),0)=3),0,EF$22))</f>
        <v/>
      </c>
      <c r="EE30" s="353"/>
      <c r="EF30" s="312" t="s">
        <v>89</v>
      </c>
      <c r="EG30" s="354"/>
      <c r="EH30" s="92"/>
      <c r="EI30" s="348"/>
      <c r="EJ30" s="349"/>
      <c r="EK30" s="349"/>
      <c r="EL30" s="349"/>
      <c r="EM30" s="349"/>
      <c r="EN30" s="349"/>
      <c r="EO30" s="349"/>
      <c r="EP30" s="349"/>
      <c r="EQ30" s="349"/>
      <c r="ER30" s="349"/>
      <c r="ES30" s="349"/>
      <c r="ET30" s="349"/>
      <c r="EU30" s="349"/>
      <c r="EV30" s="349"/>
      <c r="EW30" s="349"/>
      <c r="EX30" s="349"/>
      <c r="EY30" s="350"/>
      <c r="EZ30" s="77"/>
    </row>
    <row r="31" customHeight="1" spans="1:156">
      <c r="A31" s="92"/>
      <c r="B31" s="301" t="s">
        <v>59</v>
      </c>
      <c r="C31" s="302"/>
      <c r="D31" s="303" t="s">
        <v>96</v>
      </c>
      <c r="E31" s="303"/>
      <c r="F31" s="303"/>
      <c r="G31" s="303"/>
      <c r="H31" s="303"/>
      <c r="I31" s="303"/>
      <c r="J31" s="303"/>
      <c r="K31" s="303"/>
      <c r="L31" s="303"/>
      <c r="M31" s="303"/>
      <c r="N31" s="303"/>
      <c r="O31" s="303"/>
      <c r="P31" s="304">
        <f ca="1" t="shared" si="0"/>
        <v>10</v>
      </c>
      <c r="Q31" s="304"/>
      <c r="R31" s="304"/>
      <c r="S31" s="305">
        <v>10</v>
      </c>
      <c r="T31" s="305"/>
      <c r="U31" s="305"/>
      <c r="V31" s="139" t="str">
        <f ca="1">IF(职业选项!V74&gt;0,职业选项!V74,"")</f>
        <v/>
      </c>
      <c r="W31" s="139"/>
      <c r="X31" s="139"/>
      <c r="Y31" s="139" t="str">
        <f ca="1">规则数据!H37</f>
        <v/>
      </c>
      <c r="Z31" s="139"/>
      <c r="AA31" s="139"/>
      <c r="AB31" s="139"/>
      <c r="AC31" s="139"/>
      <c r="AD31" s="306"/>
      <c r="AE31" s="307" t="s">
        <v>59</v>
      </c>
      <c r="AF31" s="302"/>
      <c r="AG31" s="321" t="s">
        <v>94</v>
      </c>
      <c r="AH31" s="322"/>
      <c r="AI31" s="322"/>
      <c r="AJ31" s="322"/>
      <c r="AK31" s="322"/>
      <c r="AL31" s="322"/>
      <c r="AM31" s="323" t="str">
        <f ca="1">IF(COUNTIF(职业选项!$I$2:$I$28,"科学3")&gt;0,IFERROR(INDEX(职业选项!$F$2:$F$28,MATCH("科学3",职业选项!$I$2:$I$28,0)),""),IFERROR(MID(IFERROR(INDEX(规则数据!$C$2:$C$9,SMALL(规则数据!$AW$2:$AW$9,3-COUNTIF(职业选项!$C$2:$C$28,"科学"))),""),LEN("科学")+2,LEN(IFERROR(INDEX(规则数据!$C$2:$C$9,SMALL(规则数据!$AW$2:$AW$9,3-COUNTIF(职业选项!$C$2:$C$28,"科学"))),""))-LEN("科学")-2),""))</f>
        <v/>
      </c>
      <c r="AN31" s="323"/>
      <c r="AO31" s="323"/>
      <c r="AP31" s="323"/>
      <c r="AQ31" s="323"/>
      <c r="AR31" s="324"/>
      <c r="AS31" s="304">
        <f ca="1" t="shared" si="1"/>
        <v>0</v>
      </c>
      <c r="AT31" s="304"/>
      <c r="AU31" s="304"/>
      <c r="AV31" s="305">
        <v>0</v>
      </c>
      <c r="AW31" s="305"/>
      <c r="AX31" s="305"/>
      <c r="AY31" s="139" t="str">
        <f ca="1">IF(职业选项!V75&gt;0,职业选项!V75,"")</f>
        <v/>
      </c>
      <c r="AZ31" s="139"/>
      <c r="BA31" s="139"/>
      <c r="BB31" s="139" t="str">
        <f ca="1">规则数据!H67</f>
        <v/>
      </c>
      <c r="BC31" s="139"/>
      <c r="BD31" s="139"/>
      <c r="BE31" s="139"/>
      <c r="BF31" s="139"/>
      <c r="BG31" s="308"/>
      <c r="BH31" s="359"/>
      <c r="BI31" s="358"/>
      <c r="BJ31" s="309"/>
      <c r="BK31" s="309"/>
      <c r="BL31" s="309"/>
      <c r="BM31" s="309"/>
      <c r="BN31" s="309"/>
      <c r="BO31" s="309"/>
      <c r="BP31" s="309"/>
      <c r="BQ31" s="309"/>
      <c r="BR31" s="309"/>
      <c r="BS31" s="309"/>
      <c r="BT31" s="309"/>
      <c r="BU31" s="309"/>
      <c r="BV31" s="309"/>
      <c r="BW31" s="309"/>
      <c r="BX31" s="309"/>
      <c r="BY31" s="309"/>
      <c r="BZ31" s="309"/>
      <c r="CA31" s="309"/>
      <c r="CB31" s="309"/>
      <c r="CC31" s="309"/>
      <c r="CD31" s="309"/>
      <c r="CE31" s="309"/>
      <c r="CF31" s="309"/>
      <c r="CG31" s="309"/>
      <c r="CH31" s="309"/>
      <c r="CI31" s="309"/>
      <c r="CJ31" s="309"/>
      <c r="CK31" s="309"/>
      <c r="CL31" s="309"/>
      <c r="CM31" s="309"/>
      <c r="CN31" s="309"/>
      <c r="CO31" s="309"/>
      <c r="CP31" s="309"/>
      <c r="CQ31" s="309"/>
      <c r="CR31" s="309"/>
      <c r="CS31" s="309"/>
      <c r="CT31" s="309"/>
      <c r="CU31" s="309"/>
      <c r="CV31" s="309"/>
      <c r="CW31" s="309"/>
      <c r="CX31" s="310"/>
      <c r="CY31" s="92"/>
      <c r="CZ31" s="351"/>
      <c r="DA31" s="309"/>
      <c r="DB31" s="309"/>
      <c r="DC31" s="309"/>
      <c r="DD31" s="309"/>
      <c r="DE31" s="309"/>
      <c r="DF31" s="309"/>
      <c r="DG31" s="309"/>
      <c r="DH31" s="309"/>
      <c r="DI31" s="309"/>
      <c r="DJ31" s="309"/>
      <c r="DK31" s="309"/>
      <c r="DL31" s="309"/>
      <c r="DM31" s="309"/>
      <c r="DN31" s="309"/>
      <c r="DO31" s="309"/>
      <c r="DP31" s="309"/>
      <c r="DQ31" s="309"/>
      <c r="DR31" s="309"/>
      <c r="DS31" s="309"/>
      <c r="DT31" s="309"/>
      <c r="DU31" s="309"/>
      <c r="DV31" s="309"/>
      <c r="DW31" s="309"/>
      <c r="DX31" s="309"/>
      <c r="DY31" s="309"/>
      <c r="DZ31" s="309"/>
      <c r="EA31" s="309"/>
      <c r="EB31" s="309"/>
      <c r="EC31" s="309"/>
      <c r="ED31" s="355"/>
      <c r="EE31" s="356"/>
      <c r="EF31" s="312"/>
      <c r="EG31" s="354"/>
      <c r="EH31" s="92"/>
      <c r="EI31" s="348"/>
      <c r="EJ31" s="349"/>
      <c r="EK31" s="349"/>
      <c r="EL31" s="349"/>
      <c r="EM31" s="349"/>
      <c r="EN31" s="349"/>
      <c r="EO31" s="349"/>
      <c r="EP31" s="349"/>
      <c r="EQ31" s="349"/>
      <c r="ER31" s="349"/>
      <c r="ES31" s="349"/>
      <c r="ET31" s="349"/>
      <c r="EU31" s="349"/>
      <c r="EV31" s="349"/>
      <c r="EW31" s="349"/>
      <c r="EX31" s="349"/>
      <c r="EY31" s="350"/>
      <c r="EZ31" s="77"/>
    </row>
    <row r="32" customHeight="1" spans="1:156">
      <c r="A32" s="92"/>
      <c r="B32" s="301" t="s">
        <v>59</v>
      </c>
      <c r="C32" s="302"/>
      <c r="D32" s="303" t="s">
        <v>97</v>
      </c>
      <c r="E32" s="303"/>
      <c r="F32" s="303"/>
      <c r="G32" s="303"/>
      <c r="H32" s="303"/>
      <c r="I32" s="303"/>
      <c r="J32" s="303"/>
      <c r="K32" s="303"/>
      <c r="L32" s="303"/>
      <c r="M32" s="303"/>
      <c r="N32" s="303"/>
      <c r="O32" s="303"/>
      <c r="P32" s="304">
        <f ca="1" t="shared" si="0"/>
        <v>30</v>
      </c>
      <c r="Q32" s="304"/>
      <c r="R32" s="304"/>
      <c r="S32" s="305">
        <v>30</v>
      </c>
      <c r="T32" s="305"/>
      <c r="U32" s="305"/>
      <c r="V32" s="139" t="str">
        <f ca="1">IF(职业选项!V76&gt;0,职业选项!V76,"")</f>
        <v/>
      </c>
      <c r="W32" s="139"/>
      <c r="X32" s="139"/>
      <c r="Y32" s="139" t="str">
        <f ca="1">规则数据!H38</f>
        <v/>
      </c>
      <c r="Z32" s="139"/>
      <c r="AA32" s="139"/>
      <c r="AB32" s="139"/>
      <c r="AC32" s="139"/>
      <c r="AD32" s="306"/>
      <c r="AE32" s="307" t="s">
        <v>59</v>
      </c>
      <c r="AF32" s="302"/>
      <c r="AG32" s="303" t="s">
        <v>98</v>
      </c>
      <c r="AH32" s="303"/>
      <c r="AI32" s="303"/>
      <c r="AJ32" s="303"/>
      <c r="AK32" s="303"/>
      <c r="AL32" s="303"/>
      <c r="AM32" s="303"/>
      <c r="AN32" s="303"/>
      <c r="AO32" s="303"/>
      <c r="AP32" s="303"/>
      <c r="AQ32" s="303"/>
      <c r="AR32" s="303"/>
      <c r="AS32" s="304">
        <f ca="1" t="shared" si="1"/>
        <v>20</v>
      </c>
      <c r="AT32" s="304"/>
      <c r="AU32" s="304"/>
      <c r="AV32" s="305">
        <v>20</v>
      </c>
      <c r="AW32" s="305"/>
      <c r="AX32" s="305"/>
      <c r="AY32" s="139" t="str">
        <f ca="1">IF(职业选项!V77&gt;0,职业选项!V77,"")</f>
        <v/>
      </c>
      <c r="AZ32" s="139"/>
      <c r="BA32" s="139"/>
      <c r="BB32" s="139" t="str">
        <f ca="1">规则数据!H68</f>
        <v/>
      </c>
      <c r="BC32" s="139"/>
      <c r="BD32" s="139"/>
      <c r="BE32" s="139"/>
      <c r="BF32" s="139"/>
      <c r="BG32" s="308"/>
      <c r="BH32" s="359"/>
      <c r="BI32" s="358"/>
      <c r="BJ32" s="309"/>
      <c r="BK32" s="309"/>
      <c r="BL32" s="309"/>
      <c r="BM32" s="309"/>
      <c r="BN32" s="309"/>
      <c r="BO32" s="309"/>
      <c r="BP32" s="309"/>
      <c r="BQ32" s="309"/>
      <c r="BR32" s="309"/>
      <c r="BS32" s="309"/>
      <c r="BT32" s="309"/>
      <c r="BU32" s="309"/>
      <c r="BV32" s="309"/>
      <c r="BW32" s="309"/>
      <c r="BX32" s="309"/>
      <c r="BY32" s="309"/>
      <c r="BZ32" s="309"/>
      <c r="CA32" s="309"/>
      <c r="CB32" s="309"/>
      <c r="CC32" s="309"/>
      <c r="CD32" s="309"/>
      <c r="CE32" s="309"/>
      <c r="CF32" s="309"/>
      <c r="CG32" s="309"/>
      <c r="CH32" s="309"/>
      <c r="CI32" s="309"/>
      <c r="CJ32" s="309"/>
      <c r="CK32" s="309"/>
      <c r="CL32" s="309"/>
      <c r="CM32" s="309"/>
      <c r="CN32" s="309"/>
      <c r="CO32" s="309"/>
      <c r="CP32" s="309"/>
      <c r="CQ32" s="309"/>
      <c r="CR32" s="309"/>
      <c r="CS32" s="309"/>
      <c r="CT32" s="309"/>
      <c r="CU32" s="309"/>
      <c r="CV32" s="309"/>
      <c r="CW32" s="309"/>
      <c r="CX32" s="310"/>
      <c r="CY32" s="92"/>
      <c r="CZ32" s="351"/>
      <c r="DA32" s="309"/>
      <c r="DB32" s="309"/>
      <c r="DC32" s="309"/>
      <c r="DD32" s="309"/>
      <c r="DE32" s="309"/>
      <c r="DF32" s="309"/>
      <c r="DG32" s="309"/>
      <c r="DH32" s="309"/>
      <c r="DI32" s="309"/>
      <c r="DJ32" s="309"/>
      <c r="DK32" s="309"/>
      <c r="DL32" s="309"/>
      <c r="DM32" s="309"/>
      <c r="DN32" s="309"/>
      <c r="DO32" s="309"/>
      <c r="DP32" s="309"/>
      <c r="DQ32" s="309"/>
      <c r="DR32" s="309"/>
      <c r="DS32" s="309"/>
      <c r="DT32" s="309"/>
      <c r="DU32" s="309"/>
      <c r="DV32" s="309"/>
      <c r="DW32" s="309"/>
      <c r="DX32" s="309"/>
      <c r="DY32" s="309"/>
      <c r="DZ32" s="309"/>
      <c r="EA32" s="309"/>
      <c r="EB32" s="309"/>
      <c r="EC32" s="309"/>
      <c r="ED32" s="132" t="s">
        <v>85</v>
      </c>
      <c r="EE32" s="132"/>
      <c r="EF32" s="132" t="s">
        <v>86</v>
      </c>
      <c r="EG32" s="357"/>
      <c r="EH32" s="92"/>
      <c r="EI32" s="348"/>
      <c r="EJ32" s="349"/>
      <c r="EK32" s="349"/>
      <c r="EL32" s="349"/>
      <c r="EM32" s="349"/>
      <c r="EN32" s="349"/>
      <c r="EO32" s="349"/>
      <c r="EP32" s="349"/>
      <c r="EQ32" s="349"/>
      <c r="ER32" s="349"/>
      <c r="ES32" s="349"/>
      <c r="ET32" s="349"/>
      <c r="EU32" s="349"/>
      <c r="EV32" s="349"/>
      <c r="EW32" s="349"/>
      <c r="EX32" s="349"/>
      <c r="EY32" s="350"/>
      <c r="EZ32" s="77"/>
    </row>
    <row r="33" customHeight="1" spans="1:156">
      <c r="A33" s="92"/>
      <c r="B33" s="301" t="s">
        <v>59</v>
      </c>
      <c r="C33" s="302"/>
      <c r="D33" s="303" t="s">
        <v>99</v>
      </c>
      <c r="E33" s="303"/>
      <c r="F33" s="303"/>
      <c r="G33" s="303"/>
      <c r="H33" s="303"/>
      <c r="I33" s="303"/>
      <c r="J33" s="303"/>
      <c r="K33" s="303"/>
      <c r="L33" s="303"/>
      <c r="M33" s="303"/>
      <c r="N33" s="303"/>
      <c r="O33" s="303"/>
      <c r="P33" s="304">
        <f ca="1" t="shared" si="0"/>
        <v>20</v>
      </c>
      <c r="Q33" s="304"/>
      <c r="R33" s="304"/>
      <c r="S33" s="305">
        <v>20</v>
      </c>
      <c r="T33" s="305"/>
      <c r="U33" s="305"/>
      <c r="V33" s="139" t="str">
        <f ca="1">IF(职业选项!V78&gt;0,职业选项!V78,"")</f>
        <v/>
      </c>
      <c r="W33" s="139"/>
      <c r="X33" s="139"/>
      <c r="Y33" s="139" t="str">
        <f ca="1">规则数据!H39</f>
        <v/>
      </c>
      <c r="Z33" s="139"/>
      <c r="AA33" s="139"/>
      <c r="AB33" s="139"/>
      <c r="AC33" s="139"/>
      <c r="AD33" s="306"/>
      <c r="AE33" s="307" t="s">
        <v>59</v>
      </c>
      <c r="AF33" s="302"/>
      <c r="AG33" s="303" t="s">
        <v>100</v>
      </c>
      <c r="AH33" s="303"/>
      <c r="AI33" s="303"/>
      <c r="AJ33" s="303"/>
      <c r="AK33" s="303"/>
      <c r="AL33" s="303"/>
      <c r="AM33" s="303"/>
      <c r="AN33" s="303"/>
      <c r="AO33" s="303"/>
      <c r="AP33" s="303"/>
      <c r="AQ33" s="303"/>
      <c r="AR33" s="303"/>
      <c r="AS33" s="304">
        <f ca="1" t="shared" si="1"/>
        <v>0</v>
      </c>
      <c r="AT33" s="304"/>
      <c r="AU33" s="304"/>
      <c r="AV33" s="305">
        <v>0</v>
      </c>
      <c r="AW33" s="305"/>
      <c r="AX33" s="305"/>
      <c r="AY33" s="139" t="str">
        <f ca="1">IF(职业选项!V79&gt;0,职业选项!V79,"")</f>
        <v/>
      </c>
      <c r="AZ33" s="139"/>
      <c r="BA33" s="139"/>
      <c r="BB33" s="139" t="str">
        <f ca="1">规则数据!H69</f>
        <v/>
      </c>
      <c r="BC33" s="139"/>
      <c r="BD33" s="139"/>
      <c r="BE33" s="139"/>
      <c r="BF33" s="139"/>
      <c r="BG33" s="308"/>
      <c r="BH33" s="359"/>
      <c r="BI33" s="358"/>
      <c r="BJ33" s="309"/>
      <c r="BK33" s="309"/>
      <c r="BL33" s="309"/>
      <c r="BM33" s="309"/>
      <c r="BN33" s="309"/>
      <c r="BO33" s="309"/>
      <c r="BP33" s="309"/>
      <c r="BQ33" s="309"/>
      <c r="BR33" s="309"/>
      <c r="BS33" s="309"/>
      <c r="BT33" s="309"/>
      <c r="BU33" s="309"/>
      <c r="BV33" s="309"/>
      <c r="BW33" s="309"/>
      <c r="BX33" s="309"/>
      <c r="BY33" s="309"/>
      <c r="BZ33" s="309"/>
      <c r="CA33" s="309"/>
      <c r="CB33" s="309"/>
      <c r="CC33" s="309"/>
      <c r="CD33" s="309"/>
      <c r="CE33" s="309"/>
      <c r="CF33" s="309"/>
      <c r="CG33" s="309"/>
      <c r="CH33" s="309"/>
      <c r="CI33" s="309"/>
      <c r="CJ33" s="309"/>
      <c r="CK33" s="309"/>
      <c r="CL33" s="309"/>
      <c r="CM33" s="309"/>
      <c r="CN33" s="309"/>
      <c r="CO33" s="309"/>
      <c r="CP33" s="309"/>
      <c r="CQ33" s="309"/>
      <c r="CR33" s="309"/>
      <c r="CS33" s="309"/>
      <c r="CT33" s="309"/>
      <c r="CU33" s="309"/>
      <c r="CV33" s="309"/>
      <c r="CW33" s="309"/>
      <c r="CX33" s="310"/>
      <c r="CY33" s="92"/>
      <c r="CZ33" s="351"/>
      <c r="DA33" s="309"/>
      <c r="DB33" s="309"/>
      <c r="DC33" s="309"/>
      <c r="DD33" s="309"/>
      <c r="DE33" s="309"/>
      <c r="DF33" s="309"/>
      <c r="DG33" s="309"/>
      <c r="DH33" s="309"/>
      <c r="DI33" s="309"/>
      <c r="DJ33" s="309"/>
      <c r="DK33" s="309"/>
      <c r="DL33" s="309"/>
      <c r="DM33" s="309"/>
      <c r="DN33" s="309"/>
      <c r="DO33" s="309"/>
      <c r="DP33" s="309"/>
      <c r="DQ33" s="309"/>
      <c r="DR33" s="309"/>
      <c r="DS33" s="309"/>
      <c r="DT33" s="309"/>
      <c r="DU33" s="309"/>
      <c r="DV33" s="309"/>
      <c r="DW33" s="309"/>
      <c r="DX33" s="309"/>
      <c r="DY33" s="309"/>
      <c r="DZ33" s="309"/>
      <c r="EA33" s="309"/>
      <c r="EB33" s="309"/>
      <c r="EC33" s="309"/>
      <c r="ED33" s="352" t="str">
        <f>IF(CZ32="","",IF(AND($DF$46="艰苦经历",IFERROR(VALUE($DF$55),0)=4),0,EF$22))</f>
        <v/>
      </c>
      <c r="EE33" s="353"/>
      <c r="EF33" s="312" t="s">
        <v>89</v>
      </c>
      <c r="EG33" s="354"/>
      <c r="EH33" s="92"/>
      <c r="EI33" s="348"/>
      <c r="EJ33" s="349"/>
      <c r="EK33" s="349"/>
      <c r="EL33" s="349"/>
      <c r="EM33" s="349"/>
      <c r="EN33" s="349"/>
      <c r="EO33" s="349"/>
      <c r="EP33" s="349"/>
      <c r="EQ33" s="349"/>
      <c r="ER33" s="349"/>
      <c r="ES33" s="349"/>
      <c r="ET33" s="349"/>
      <c r="EU33" s="349"/>
      <c r="EV33" s="349"/>
      <c r="EW33" s="349"/>
      <c r="EX33" s="349"/>
      <c r="EY33" s="350"/>
      <c r="EZ33" s="77"/>
    </row>
    <row r="34" customHeight="1" spans="1:156">
      <c r="A34" s="92"/>
      <c r="B34" s="301" t="s">
        <v>59</v>
      </c>
      <c r="C34" s="302"/>
      <c r="D34" s="303" t="s">
        <v>101</v>
      </c>
      <c r="E34" s="303"/>
      <c r="F34" s="303"/>
      <c r="G34" s="303"/>
      <c r="H34" s="303"/>
      <c r="I34" s="303"/>
      <c r="J34" s="303"/>
      <c r="K34" s="303"/>
      <c r="L34" s="303"/>
      <c r="M34" s="303"/>
      <c r="N34" s="303"/>
      <c r="O34" s="303"/>
      <c r="P34" s="304">
        <f ca="1" t="shared" si="0"/>
        <v>20</v>
      </c>
      <c r="Q34" s="304"/>
      <c r="R34" s="304"/>
      <c r="S34" s="305">
        <v>20</v>
      </c>
      <c r="T34" s="305"/>
      <c r="U34" s="305"/>
      <c r="V34" s="139" t="str">
        <f ca="1">IF(职业选项!V80&gt;0,职业选项!V80,"")</f>
        <v/>
      </c>
      <c r="W34" s="139"/>
      <c r="X34" s="139"/>
      <c r="Y34" s="139" t="str">
        <f ca="1">规则数据!H40</f>
        <v/>
      </c>
      <c r="Z34" s="139"/>
      <c r="AA34" s="139"/>
      <c r="AB34" s="139"/>
      <c r="AC34" s="139"/>
      <c r="AD34" s="306"/>
      <c r="AE34" s="307" t="s">
        <v>59</v>
      </c>
      <c r="AF34" s="302"/>
      <c r="AG34" s="303" t="s">
        <v>102</v>
      </c>
      <c r="AH34" s="303"/>
      <c r="AI34" s="303"/>
      <c r="AJ34" s="303"/>
      <c r="AK34" s="303"/>
      <c r="AL34" s="303"/>
      <c r="AM34" s="303"/>
      <c r="AN34" s="303"/>
      <c r="AO34" s="303"/>
      <c r="AP34" s="303"/>
      <c r="AQ34" s="303"/>
      <c r="AR34" s="303"/>
      <c r="AS34" s="304">
        <f ca="1" t="shared" si="1"/>
        <v>10</v>
      </c>
      <c r="AT34" s="304"/>
      <c r="AU34" s="304"/>
      <c r="AV34" s="305">
        <v>10</v>
      </c>
      <c r="AW34" s="305"/>
      <c r="AX34" s="305"/>
      <c r="AY34" s="139" t="str">
        <f ca="1">IF(职业选项!V81&gt;0,职业选项!V81,"")</f>
        <v/>
      </c>
      <c r="AZ34" s="139"/>
      <c r="BA34" s="139"/>
      <c r="BB34" s="139" t="str">
        <f ca="1">规则数据!H70</f>
        <v/>
      </c>
      <c r="BC34" s="139"/>
      <c r="BD34" s="139"/>
      <c r="BE34" s="139"/>
      <c r="BF34" s="139"/>
      <c r="BG34" s="308"/>
      <c r="BH34" s="359"/>
      <c r="BI34" s="358"/>
      <c r="BJ34" s="309"/>
      <c r="BK34" s="309"/>
      <c r="BL34" s="309"/>
      <c r="BM34" s="309"/>
      <c r="BN34" s="309"/>
      <c r="BO34" s="309"/>
      <c r="BP34" s="309"/>
      <c r="BQ34" s="309"/>
      <c r="BR34" s="309"/>
      <c r="BS34" s="309"/>
      <c r="BT34" s="309"/>
      <c r="BU34" s="309"/>
      <c r="BV34" s="309"/>
      <c r="BW34" s="309"/>
      <c r="BX34" s="309"/>
      <c r="BY34" s="309"/>
      <c r="BZ34" s="309"/>
      <c r="CA34" s="309"/>
      <c r="CB34" s="309"/>
      <c r="CC34" s="309"/>
      <c r="CD34" s="309"/>
      <c r="CE34" s="309"/>
      <c r="CF34" s="309"/>
      <c r="CG34" s="309"/>
      <c r="CH34" s="309"/>
      <c r="CI34" s="309"/>
      <c r="CJ34" s="309"/>
      <c r="CK34" s="309"/>
      <c r="CL34" s="309"/>
      <c r="CM34" s="309"/>
      <c r="CN34" s="309"/>
      <c r="CO34" s="309"/>
      <c r="CP34" s="309"/>
      <c r="CQ34" s="309"/>
      <c r="CR34" s="309"/>
      <c r="CS34" s="309"/>
      <c r="CT34" s="309"/>
      <c r="CU34" s="309"/>
      <c r="CV34" s="309"/>
      <c r="CW34" s="309"/>
      <c r="CX34" s="310"/>
      <c r="CY34" s="92"/>
      <c r="CZ34" s="351"/>
      <c r="DA34" s="309"/>
      <c r="DB34" s="309"/>
      <c r="DC34" s="309"/>
      <c r="DD34" s="309"/>
      <c r="DE34" s="309"/>
      <c r="DF34" s="309"/>
      <c r="DG34" s="309"/>
      <c r="DH34" s="309"/>
      <c r="DI34" s="309"/>
      <c r="DJ34" s="309"/>
      <c r="DK34" s="309"/>
      <c r="DL34" s="309"/>
      <c r="DM34" s="309"/>
      <c r="DN34" s="309"/>
      <c r="DO34" s="309"/>
      <c r="DP34" s="309"/>
      <c r="DQ34" s="309"/>
      <c r="DR34" s="309"/>
      <c r="DS34" s="309"/>
      <c r="DT34" s="309"/>
      <c r="DU34" s="309"/>
      <c r="DV34" s="309"/>
      <c r="DW34" s="309"/>
      <c r="DX34" s="309"/>
      <c r="DY34" s="309"/>
      <c r="DZ34" s="309"/>
      <c r="EA34" s="309"/>
      <c r="EB34" s="309"/>
      <c r="EC34" s="309"/>
      <c r="ED34" s="355"/>
      <c r="EE34" s="356"/>
      <c r="EF34" s="312"/>
      <c r="EG34" s="354"/>
      <c r="EH34" s="92"/>
      <c r="EI34" s="348"/>
      <c r="EJ34" s="349"/>
      <c r="EK34" s="349"/>
      <c r="EL34" s="349"/>
      <c r="EM34" s="349"/>
      <c r="EN34" s="349"/>
      <c r="EO34" s="349"/>
      <c r="EP34" s="349"/>
      <c r="EQ34" s="349"/>
      <c r="ER34" s="349"/>
      <c r="ES34" s="349"/>
      <c r="ET34" s="349"/>
      <c r="EU34" s="349"/>
      <c r="EV34" s="349"/>
      <c r="EW34" s="349"/>
      <c r="EX34" s="349"/>
      <c r="EY34" s="350"/>
      <c r="EZ34" s="77"/>
    </row>
    <row r="35" customHeight="1" spans="1:156">
      <c r="A35" s="92"/>
      <c r="B35" s="301" t="s">
        <v>59</v>
      </c>
      <c r="C35" s="302"/>
      <c r="D35" s="303" t="s">
        <v>103</v>
      </c>
      <c r="E35" s="303"/>
      <c r="F35" s="303"/>
      <c r="G35" s="303"/>
      <c r="H35" s="303"/>
      <c r="I35" s="303"/>
      <c r="J35" s="303"/>
      <c r="K35" s="303"/>
      <c r="L35" s="303"/>
      <c r="M35" s="303"/>
      <c r="N35" s="303"/>
      <c r="O35" s="303"/>
      <c r="P35" s="304">
        <f ca="1" t="shared" si="0"/>
        <v>10</v>
      </c>
      <c r="Q35" s="304"/>
      <c r="R35" s="304"/>
      <c r="S35" s="305">
        <v>10</v>
      </c>
      <c r="T35" s="305"/>
      <c r="U35" s="305"/>
      <c r="V35" s="139" t="str">
        <f ca="1">IF(职业选项!V82&gt;0,职业选项!V82,"")</f>
        <v/>
      </c>
      <c r="W35" s="139"/>
      <c r="X35" s="139"/>
      <c r="Y35" s="139" t="str">
        <f ca="1">规则数据!H41</f>
        <v/>
      </c>
      <c r="Z35" s="139"/>
      <c r="AA35" s="139"/>
      <c r="AB35" s="139"/>
      <c r="AC35" s="139"/>
      <c r="AD35" s="306"/>
      <c r="AE35" s="307" t="s">
        <v>59</v>
      </c>
      <c r="AF35" s="302"/>
      <c r="AG35" s="303" t="s">
        <v>104</v>
      </c>
      <c r="AH35" s="303"/>
      <c r="AI35" s="303"/>
      <c r="AJ35" s="303"/>
      <c r="AK35" s="303"/>
      <c r="AL35" s="303"/>
      <c r="AM35" s="303"/>
      <c r="AN35" s="303"/>
      <c r="AO35" s="303"/>
      <c r="AP35" s="303"/>
      <c r="AQ35" s="303"/>
      <c r="AR35" s="303"/>
      <c r="AS35" s="304">
        <f ca="1" t="shared" si="1"/>
        <v>0</v>
      </c>
      <c r="AT35" s="304"/>
      <c r="AU35" s="304"/>
      <c r="AV35" s="305">
        <v>0</v>
      </c>
      <c r="AW35" s="305"/>
      <c r="AX35" s="305"/>
      <c r="AY35" s="139" t="str">
        <f ca="1">IF(职业选项!V83&gt;0,职业选项!V83,"")</f>
        <v/>
      </c>
      <c r="AZ35" s="139"/>
      <c r="BA35" s="139"/>
      <c r="BB35" s="139" t="str">
        <f ca="1">规则数据!H71</f>
        <v/>
      </c>
      <c r="BC35" s="139"/>
      <c r="BD35" s="139"/>
      <c r="BE35" s="139"/>
      <c r="BF35" s="139"/>
      <c r="BG35" s="308"/>
      <c r="BH35" s="359"/>
      <c r="BI35" s="358"/>
      <c r="BJ35" s="309"/>
      <c r="BK35" s="309"/>
      <c r="BL35" s="309"/>
      <c r="BM35" s="309"/>
      <c r="BN35" s="309"/>
      <c r="BO35" s="309"/>
      <c r="BP35" s="309"/>
      <c r="BQ35" s="309"/>
      <c r="BR35" s="309"/>
      <c r="BS35" s="309"/>
      <c r="BT35" s="309"/>
      <c r="BU35" s="309"/>
      <c r="BV35" s="309"/>
      <c r="BW35" s="309"/>
      <c r="BX35" s="309"/>
      <c r="BY35" s="309"/>
      <c r="BZ35" s="309"/>
      <c r="CA35" s="309"/>
      <c r="CB35" s="309"/>
      <c r="CC35" s="309"/>
      <c r="CD35" s="309"/>
      <c r="CE35" s="309"/>
      <c r="CF35" s="309"/>
      <c r="CG35" s="309"/>
      <c r="CH35" s="309"/>
      <c r="CI35" s="309"/>
      <c r="CJ35" s="309"/>
      <c r="CK35" s="309"/>
      <c r="CL35" s="309"/>
      <c r="CM35" s="309"/>
      <c r="CN35" s="309"/>
      <c r="CO35" s="309"/>
      <c r="CP35" s="309"/>
      <c r="CQ35" s="309"/>
      <c r="CR35" s="309"/>
      <c r="CS35" s="309"/>
      <c r="CT35" s="309"/>
      <c r="CU35" s="309"/>
      <c r="CV35" s="309"/>
      <c r="CW35" s="309"/>
      <c r="CX35" s="310"/>
      <c r="CY35" s="92"/>
      <c r="CZ35" s="351"/>
      <c r="DA35" s="309"/>
      <c r="DB35" s="309"/>
      <c r="DC35" s="309"/>
      <c r="DD35" s="309"/>
      <c r="DE35" s="309"/>
      <c r="DF35" s="309"/>
      <c r="DG35" s="309"/>
      <c r="DH35" s="309"/>
      <c r="DI35" s="309"/>
      <c r="DJ35" s="309"/>
      <c r="DK35" s="309"/>
      <c r="DL35" s="309"/>
      <c r="DM35" s="309"/>
      <c r="DN35" s="309"/>
      <c r="DO35" s="309"/>
      <c r="DP35" s="309"/>
      <c r="DQ35" s="309"/>
      <c r="DR35" s="309"/>
      <c r="DS35" s="309"/>
      <c r="DT35" s="309"/>
      <c r="DU35" s="309"/>
      <c r="DV35" s="309"/>
      <c r="DW35" s="309"/>
      <c r="DX35" s="309"/>
      <c r="DY35" s="309"/>
      <c r="DZ35" s="309"/>
      <c r="EA35" s="309"/>
      <c r="EB35" s="309"/>
      <c r="EC35" s="309"/>
      <c r="ED35" s="132" t="s">
        <v>85</v>
      </c>
      <c r="EE35" s="132"/>
      <c r="EF35" s="132" t="s">
        <v>86</v>
      </c>
      <c r="EG35" s="357"/>
      <c r="EH35" s="92"/>
      <c r="EI35" s="348"/>
      <c r="EJ35" s="349"/>
      <c r="EK35" s="349"/>
      <c r="EL35" s="349"/>
      <c r="EM35" s="349"/>
      <c r="EN35" s="349"/>
      <c r="EO35" s="349"/>
      <c r="EP35" s="349"/>
      <c r="EQ35" s="349"/>
      <c r="ER35" s="349"/>
      <c r="ES35" s="349"/>
      <c r="ET35" s="349"/>
      <c r="EU35" s="349"/>
      <c r="EV35" s="349"/>
      <c r="EW35" s="349"/>
      <c r="EX35" s="349"/>
      <c r="EY35" s="350"/>
      <c r="EZ35" s="77"/>
    </row>
    <row r="36" customHeight="1" spans="1:156">
      <c r="A36" s="92"/>
      <c r="B36" s="301" t="s">
        <v>59</v>
      </c>
      <c r="C36" s="302"/>
      <c r="D36" s="330" t="s">
        <v>105</v>
      </c>
      <c r="E36" s="331"/>
      <c r="F36" s="331"/>
      <c r="G36" s="331"/>
      <c r="H36" s="331"/>
      <c r="I36" s="331"/>
      <c r="J36" s="332" t="str">
        <f>IF(COUNTIF(职业选项!$I$2:$I$28,"外语1")&gt;0,IFERROR(INDEX(职业选项!$F$2:$F$28,MATCH("外语1",职业选项!$I$2:$I$28,0)),""),IFERROR(MID(IFERROR(INDEX(规则数据!$C$2:$C$9,SMALL(规则数据!$AT$2:$AT$9,1-COUNTIF(职业选项!$C$2:$C$28,"外语"))),""),LEN("外语")+2,LEN(IFERROR(INDEX(规则数据!$C$2:$C$9,SMALL(规则数据!$AT$2:$AT$9,1-COUNTIF(职业选项!$C$2:$C$28,"外语"))),""))-LEN("外语")-2),""))</f>
        <v/>
      </c>
      <c r="K36" s="332"/>
      <c r="L36" s="332"/>
      <c r="M36" s="332"/>
      <c r="N36" s="332"/>
      <c r="O36" s="333"/>
      <c r="P36" s="304">
        <f ca="1" t="shared" si="0"/>
        <v>0</v>
      </c>
      <c r="Q36" s="304"/>
      <c r="R36" s="304"/>
      <c r="S36" s="305">
        <v>0</v>
      </c>
      <c r="T36" s="305"/>
      <c r="U36" s="305"/>
      <c r="V36" s="139" t="str">
        <f ca="1">IF(职业选项!V84&gt;0,职业选项!V84,"")</f>
        <v/>
      </c>
      <c r="W36" s="139"/>
      <c r="X36" s="139"/>
      <c r="Y36" s="139" t="str">
        <f ca="1">规则数据!H42</f>
        <v/>
      </c>
      <c r="Z36" s="139"/>
      <c r="AA36" s="139"/>
      <c r="AB36" s="139"/>
      <c r="AC36" s="139"/>
      <c r="AD36" s="306"/>
      <c r="AE36" s="307" t="s">
        <v>59</v>
      </c>
      <c r="AF36" s="302"/>
      <c r="AG36" s="303" t="s">
        <v>106</v>
      </c>
      <c r="AH36" s="303"/>
      <c r="AI36" s="303"/>
      <c r="AJ36" s="303"/>
      <c r="AK36" s="303"/>
      <c r="AL36" s="303"/>
      <c r="AM36" s="303"/>
      <c r="AN36" s="303"/>
      <c r="AO36" s="303"/>
      <c r="AP36" s="303"/>
      <c r="AQ36" s="303"/>
      <c r="AR36" s="303"/>
      <c r="AS36" s="304">
        <f ca="1" t="shared" si="1"/>
        <v>10</v>
      </c>
      <c r="AT36" s="304"/>
      <c r="AU36" s="304"/>
      <c r="AV36" s="305">
        <v>10</v>
      </c>
      <c r="AW36" s="305"/>
      <c r="AX36" s="305"/>
      <c r="AY36" s="139" t="str">
        <f ca="1">IF(职业选项!V85&gt;0,职业选项!V85,"")</f>
        <v/>
      </c>
      <c r="AZ36" s="139"/>
      <c r="BA36" s="139"/>
      <c r="BB36" s="139" t="str">
        <f ca="1">规则数据!H72</f>
        <v/>
      </c>
      <c r="BC36" s="139"/>
      <c r="BD36" s="139"/>
      <c r="BE36" s="139"/>
      <c r="BF36" s="139"/>
      <c r="BG36" s="308"/>
      <c r="BH36" s="359"/>
      <c r="BI36" s="358"/>
      <c r="BJ36" s="309"/>
      <c r="BK36" s="309"/>
      <c r="BL36" s="309"/>
      <c r="BM36" s="309"/>
      <c r="BN36" s="309"/>
      <c r="BO36" s="309"/>
      <c r="BP36" s="309"/>
      <c r="BQ36" s="309"/>
      <c r="BR36" s="309"/>
      <c r="BS36" s="309"/>
      <c r="BT36" s="309"/>
      <c r="BU36" s="309"/>
      <c r="BV36" s="309"/>
      <c r="BW36" s="309"/>
      <c r="BX36" s="309"/>
      <c r="BY36" s="309"/>
      <c r="BZ36" s="309"/>
      <c r="CA36" s="309"/>
      <c r="CB36" s="309"/>
      <c r="CC36" s="309"/>
      <c r="CD36" s="309"/>
      <c r="CE36" s="309"/>
      <c r="CF36" s="309"/>
      <c r="CG36" s="309"/>
      <c r="CH36" s="309"/>
      <c r="CI36" s="309"/>
      <c r="CJ36" s="309"/>
      <c r="CK36" s="309"/>
      <c r="CL36" s="309"/>
      <c r="CM36" s="309"/>
      <c r="CN36" s="309"/>
      <c r="CO36" s="309"/>
      <c r="CP36" s="309"/>
      <c r="CQ36" s="309"/>
      <c r="CR36" s="309"/>
      <c r="CS36" s="309"/>
      <c r="CT36" s="309"/>
      <c r="CU36" s="309"/>
      <c r="CV36" s="309"/>
      <c r="CW36" s="309"/>
      <c r="CX36" s="310"/>
      <c r="CY36" s="92"/>
      <c r="CZ36" s="351"/>
      <c r="DA36" s="309"/>
      <c r="DB36" s="309"/>
      <c r="DC36" s="309"/>
      <c r="DD36" s="309"/>
      <c r="DE36" s="309"/>
      <c r="DF36" s="309"/>
      <c r="DG36" s="309"/>
      <c r="DH36" s="309"/>
      <c r="DI36" s="309"/>
      <c r="DJ36" s="309"/>
      <c r="DK36" s="309"/>
      <c r="DL36" s="309"/>
      <c r="DM36" s="309"/>
      <c r="DN36" s="309"/>
      <c r="DO36" s="309"/>
      <c r="DP36" s="309"/>
      <c r="DQ36" s="309"/>
      <c r="DR36" s="309"/>
      <c r="DS36" s="309"/>
      <c r="DT36" s="309"/>
      <c r="DU36" s="309"/>
      <c r="DV36" s="309"/>
      <c r="DW36" s="309"/>
      <c r="DX36" s="309"/>
      <c r="DY36" s="309"/>
      <c r="DZ36" s="309"/>
      <c r="EA36" s="309"/>
      <c r="EB36" s="309"/>
      <c r="EC36" s="309"/>
      <c r="ED36" s="352" t="str">
        <f>IF(CZ35="","",IF(AND($DF$46="艰苦经历",IFERROR(VALUE($DF$55),0)=5),0,EF$22))</f>
        <v/>
      </c>
      <c r="EE36" s="353"/>
      <c r="EF36" s="312" t="s">
        <v>89</v>
      </c>
      <c r="EG36" s="354"/>
      <c r="EH36" s="92"/>
      <c r="EI36" s="348"/>
      <c r="EJ36" s="349"/>
      <c r="EK36" s="349"/>
      <c r="EL36" s="349"/>
      <c r="EM36" s="349"/>
      <c r="EN36" s="349"/>
      <c r="EO36" s="349"/>
      <c r="EP36" s="349"/>
      <c r="EQ36" s="349"/>
      <c r="ER36" s="349"/>
      <c r="ES36" s="349"/>
      <c r="ET36" s="349"/>
      <c r="EU36" s="349"/>
      <c r="EV36" s="349"/>
      <c r="EW36" s="349"/>
      <c r="EX36" s="349"/>
      <c r="EY36" s="350"/>
      <c r="EZ36" s="77"/>
    </row>
    <row r="37" customHeight="1" spans="1:156">
      <c r="A37" s="92"/>
      <c r="B37" s="301" t="s">
        <v>59</v>
      </c>
      <c r="C37" s="302"/>
      <c r="D37" s="321" t="s">
        <v>105</v>
      </c>
      <c r="E37" s="322"/>
      <c r="F37" s="322"/>
      <c r="G37" s="322"/>
      <c r="H37" s="322"/>
      <c r="I37" s="322"/>
      <c r="J37" s="323" t="str">
        <f>IF(COUNTIF(职业选项!$I$2:$I$28,"外语2")&gt;0,IFERROR(INDEX(职业选项!$F$2:$F$28,MATCH("外语2",职业选项!$I$2:$I$28,0)),""),IFERROR(MID(IFERROR(INDEX(规则数据!$C$2:$C$9,SMALL(规则数据!$AT$2:$AT$9,2-COUNTIF(职业选项!$C$2:$C$28,"外语"))),""),LEN("外语")+2,LEN(IFERROR(INDEX(规则数据!$C$2:$C$9,SMALL(规则数据!$AT$2:$AT$9,2-COUNTIF(职业选项!$C$2:$C$28,"外语"))),""))-LEN("外语")-2),""))</f>
        <v/>
      </c>
      <c r="K37" s="323"/>
      <c r="L37" s="323"/>
      <c r="M37" s="323"/>
      <c r="N37" s="323"/>
      <c r="O37" s="324"/>
      <c r="P37" s="304">
        <f ca="1" t="shared" si="0"/>
        <v>0</v>
      </c>
      <c r="Q37" s="304"/>
      <c r="R37" s="304"/>
      <c r="S37" s="305">
        <v>0</v>
      </c>
      <c r="T37" s="305"/>
      <c r="U37" s="305"/>
      <c r="V37" s="139" t="str">
        <f ca="1">IF(职业选项!V86&gt;0,职业选项!V86,"")</f>
        <v/>
      </c>
      <c r="W37" s="139"/>
      <c r="X37" s="139"/>
      <c r="Y37" s="139" t="str">
        <f ca="1">规则数据!H43</f>
        <v/>
      </c>
      <c r="Z37" s="139"/>
      <c r="AA37" s="139"/>
      <c r="AB37" s="139"/>
      <c r="AC37" s="139"/>
      <c r="AD37" s="306"/>
      <c r="AE37" s="307" t="s">
        <v>59</v>
      </c>
      <c r="AF37" s="302"/>
      <c r="AG37" s="303" t="s">
        <v>107</v>
      </c>
      <c r="AH37" s="303"/>
      <c r="AI37" s="303"/>
      <c r="AJ37" s="303"/>
      <c r="AK37" s="303"/>
      <c r="AL37" s="303"/>
      <c r="AM37" s="303"/>
      <c r="AN37" s="303"/>
      <c r="AO37" s="303"/>
      <c r="AP37" s="303"/>
      <c r="AQ37" s="303"/>
      <c r="AR37" s="303"/>
      <c r="AS37" s="304">
        <f ca="1" t="shared" si="1"/>
        <v>20</v>
      </c>
      <c r="AT37" s="304"/>
      <c r="AU37" s="304"/>
      <c r="AV37" s="305">
        <v>20</v>
      </c>
      <c r="AW37" s="305"/>
      <c r="AX37" s="305"/>
      <c r="AY37" s="139" t="str">
        <f ca="1">IF(职业选项!V87&gt;0,职业选项!V87,"")</f>
        <v/>
      </c>
      <c r="AZ37" s="139"/>
      <c r="BA37" s="139"/>
      <c r="BB37" s="139" t="str">
        <f ca="1">规则数据!H73</f>
        <v/>
      </c>
      <c r="BC37" s="139"/>
      <c r="BD37" s="139"/>
      <c r="BE37" s="139"/>
      <c r="BF37" s="139"/>
      <c r="BG37" s="308"/>
      <c r="BH37" s="359"/>
      <c r="BI37" s="358"/>
      <c r="BJ37" s="309"/>
      <c r="BK37" s="309"/>
      <c r="BL37" s="309"/>
      <c r="BM37" s="309"/>
      <c r="BN37" s="309"/>
      <c r="BO37" s="309"/>
      <c r="BP37" s="309"/>
      <c r="BQ37" s="309"/>
      <c r="BR37" s="309"/>
      <c r="BS37" s="309"/>
      <c r="BT37" s="309"/>
      <c r="BU37" s="309"/>
      <c r="BV37" s="309"/>
      <c r="BW37" s="309"/>
      <c r="BX37" s="309"/>
      <c r="BY37" s="309"/>
      <c r="BZ37" s="309"/>
      <c r="CA37" s="309"/>
      <c r="CB37" s="309"/>
      <c r="CC37" s="309"/>
      <c r="CD37" s="309"/>
      <c r="CE37" s="309"/>
      <c r="CF37" s="309"/>
      <c r="CG37" s="309"/>
      <c r="CH37" s="309"/>
      <c r="CI37" s="309"/>
      <c r="CJ37" s="309"/>
      <c r="CK37" s="309"/>
      <c r="CL37" s="309"/>
      <c r="CM37" s="309"/>
      <c r="CN37" s="309"/>
      <c r="CO37" s="309"/>
      <c r="CP37" s="309"/>
      <c r="CQ37" s="309"/>
      <c r="CR37" s="309"/>
      <c r="CS37" s="309"/>
      <c r="CT37" s="309"/>
      <c r="CU37" s="309"/>
      <c r="CV37" s="309"/>
      <c r="CW37" s="309"/>
      <c r="CX37" s="310"/>
      <c r="CY37" s="92"/>
      <c r="CZ37" s="351"/>
      <c r="DA37" s="309"/>
      <c r="DB37" s="309"/>
      <c r="DC37" s="309"/>
      <c r="DD37" s="309"/>
      <c r="DE37" s="309"/>
      <c r="DF37" s="309"/>
      <c r="DG37" s="309"/>
      <c r="DH37" s="309"/>
      <c r="DI37" s="309"/>
      <c r="DJ37" s="309"/>
      <c r="DK37" s="309"/>
      <c r="DL37" s="309"/>
      <c r="DM37" s="309"/>
      <c r="DN37" s="309"/>
      <c r="DO37" s="309"/>
      <c r="DP37" s="309"/>
      <c r="DQ37" s="309"/>
      <c r="DR37" s="309"/>
      <c r="DS37" s="309"/>
      <c r="DT37" s="309"/>
      <c r="DU37" s="309"/>
      <c r="DV37" s="309"/>
      <c r="DW37" s="309"/>
      <c r="DX37" s="309"/>
      <c r="DY37" s="309"/>
      <c r="DZ37" s="309"/>
      <c r="EA37" s="309"/>
      <c r="EB37" s="309"/>
      <c r="EC37" s="309"/>
      <c r="ED37" s="355"/>
      <c r="EE37" s="356"/>
      <c r="EF37" s="312"/>
      <c r="EG37" s="354"/>
      <c r="EH37" s="92"/>
      <c r="EI37" s="348"/>
      <c r="EJ37" s="349"/>
      <c r="EK37" s="349"/>
      <c r="EL37" s="349"/>
      <c r="EM37" s="349"/>
      <c r="EN37" s="349"/>
      <c r="EO37" s="349"/>
      <c r="EP37" s="349"/>
      <c r="EQ37" s="349"/>
      <c r="ER37" s="349"/>
      <c r="ES37" s="349"/>
      <c r="ET37" s="349"/>
      <c r="EU37" s="349"/>
      <c r="EV37" s="349"/>
      <c r="EW37" s="349"/>
      <c r="EX37" s="349"/>
      <c r="EY37" s="350"/>
      <c r="EZ37" s="77"/>
    </row>
    <row r="38" customHeight="1" spans="1:156">
      <c r="A38" s="92"/>
      <c r="B38" s="301" t="s">
        <v>59</v>
      </c>
      <c r="C38" s="302"/>
      <c r="D38" s="330" t="s">
        <v>105</v>
      </c>
      <c r="E38" s="331"/>
      <c r="F38" s="331"/>
      <c r="G38" s="331"/>
      <c r="H38" s="331"/>
      <c r="I38" s="331"/>
      <c r="J38" s="332" t="str">
        <f ca="1">IF(COUNTIF(职业选项!$I$2:$I$28,"外语3")&gt;0,IFERROR(INDEX(职业选项!$F$2:$F$28,MATCH("外语3",职业选项!$I$2:$I$28,0)),""),IFERROR(MID(IFERROR(INDEX(规则数据!$C$2:$C$9,SMALL(规则数据!$AT$2:$AT$9,3-COUNTIF(职业选项!$C$2:$C$28,"外语"))),""),LEN("外语")+2,LEN(IFERROR(INDEX(规则数据!$C$2:$C$9,SMALL(规则数据!$AT$2:$AT$9,3-COUNTIF(职业选项!$C$2:$C$28,"外语"))),""))-LEN("外语")-2),""))</f>
        <v/>
      </c>
      <c r="K38" s="332"/>
      <c r="L38" s="332"/>
      <c r="M38" s="332"/>
      <c r="N38" s="332"/>
      <c r="O38" s="333"/>
      <c r="P38" s="304">
        <f ca="1" t="shared" si="0"/>
        <v>0</v>
      </c>
      <c r="Q38" s="304"/>
      <c r="R38" s="304"/>
      <c r="S38" s="305">
        <v>0</v>
      </c>
      <c r="T38" s="305"/>
      <c r="U38" s="305"/>
      <c r="V38" s="139" t="str">
        <f ca="1">IF(职业选项!V88&gt;0,职业选项!V88,"")</f>
        <v/>
      </c>
      <c r="W38" s="139"/>
      <c r="X38" s="139"/>
      <c r="Y38" s="139" t="str">
        <f ca="1">规则数据!H44</f>
        <v/>
      </c>
      <c r="Z38" s="139"/>
      <c r="AA38" s="139"/>
      <c r="AB38" s="139"/>
      <c r="AC38" s="139"/>
      <c r="AD38" s="306"/>
      <c r="AE38" s="307" t="s">
        <v>59</v>
      </c>
      <c r="AF38" s="302"/>
      <c r="AG38" s="303" t="s">
        <v>108</v>
      </c>
      <c r="AH38" s="303"/>
      <c r="AI38" s="303"/>
      <c r="AJ38" s="303"/>
      <c r="AK38" s="303"/>
      <c r="AL38" s="303"/>
      <c r="AM38" s="303"/>
      <c r="AN38" s="303"/>
      <c r="AO38" s="303"/>
      <c r="AP38" s="303"/>
      <c r="AQ38" s="303"/>
      <c r="AR38" s="303"/>
      <c r="AS38" s="304">
        <f ca="1" t="shared" si="1"/>
        <v>40</v>
      </c>
      <c r="AT38" s="304"/>
      <c r="AU38" s="304"/>
      <c r="AV38" s="305">
        <v>40</v>
      </c>
      <c r="AW38" s="305"/>
      <c r="AX38" s="305"/>
      <c r="AY38" s="139" t="str">
        <f ca="1">IF(职业选项!V89&gt;0,职业选项!V89,"")</f>
        <v/>
      </c>
      <c r="AZ38" s="139"/>
      <c r="BA38" s="139"/>
      <c r="BB38" s="139" t="str">
        <f ca="1">规则数据!H74</f>
        <v/>
      </c>
      <c r="BC38" s="139"/>
      <c r="BD38" s="139"/>
      <c r="BE38" s="139"/>
      <c r="BF38" s="139"/>
      <c r="BG38" s="308"/>
      <c r="BH38" s="359"/>
      <c r="BI38" s="358"/>
      <c r="BJ38" s="309"/>
      <c r="BK38" s="309"/>
      <c r="BL38" s="309"/>
      <c r="BM38" s="309"/>
      <c r="BN38" s="309"/>
      <c r="BO38" s="309"/>
      <c r="BP38" s="309"/>
      <c r="BQ38" s="309"/>
      <c r="BR38" s="309"/>
      <c r="BS38" s="309"/>
      <c r="BT38" s="309"/>
      <c r="BU38" s="309"/>
      <c r="BV38" s="309"/>
      <c r="BW38" s="309"/>
      <c r="BX38" s="309"/>
      <c r="BY38" s="309"/>
      <c r="BZ38" s="309"/>
      <c r="CA38" s="309"/>
      <c r="CB38" s="309"/>
      <c r="CC38" s="309"/>
      <c r="CD38" s="309"/>
      <c r="CE38" s="309"/>
      <c r="CF38" s="309"/>
      <c r="CG38" s="309"/>
      <c r="CH38" s="309"/>
      <c r="CI38" s="309"/>
      <c r="CJ38" s="309"/>
      <c r="CK38" s="309"/>
      <c r="CL38" s="309"/>
      <c r="CM38" s="309"/>
      <c r="CN38" s="309"/>
      <c r="CO38" s="309"/>
      <c r="CP38" s="309"/>
      <c r="CQ38" s="309"/>
      <c r="CR38" s="309"/>
      <c r="CS38" s="309"/>
      <c r="CT38" s="309"/>
      <c r="CU38" s="309"/>
      <c r="CV38" s="309"/>
      <c r="CW38" s="309"/>
      <c r="CX38" s="310"/>
      <c r="CY38" s="92"/>
      <c r="CZ38" s="351"/>
      <c r="DA38" s="309"/>
      <c r="DB38" s="309"/>
      <c r="DC38" s="309"/>
      <c r="DD38" s="309"/>
      <c r="DE38" s="309"/>
      <c r="DF38" s="309"/>
      <c r="DG38" s="309"/>
      <c r="DH38" s="309"/>
      <c r="DI38" s="309"/>
      <c r="DJ38" s="309"/>
      <c r="DK38" s="309"/>
      <c r="DL38" s="309"/>
      <c r="DM38" s="309"/>
      <c r="DN38" s="309"/>
      <c r="DO38" s="309"/>
      <c r="DP38" s="309"/>
      <c r="DQ38" s="309"/>
      <c r="DR38" s="309"/>
      <c r="DS38" s="309"/>
      <c r="DT38" s="309"/>
      <c r="DU38" s="309"/>
      <c r="DV38" s="309"/>
      <c r="DW38" s="309"/>
      <c r="DX38" s="309"/>
      <c r="DY38" s="309"/>
      <c r="DZ38" s="309"/>
      <c r="EA38" s="309"/>
      <c r="EB38" s="309"/>
      <c r="EC38" s="309"/>
      <c r="ED38" s="132" t="s">
        <v>85</v>
      </c>
      <c r="EE38" s="132"/>
      <c r="EF38" s="132" t="s">
        <v>86</v>
      </c>
      <c r="EG38" s="357"/>
      <c r="EH38" s="92"/>
      <c r="EI38" s="348"/>
      <c r="EJ38" s="349"/>
      <c r="EK38" s="349"/>
      <c r="EL38" s="349"/>
      <c r="EM38" s="349"/>
      <c r="EN38" s="349"/>
      <c r="EO38" s="349"/>
      <c r="EP38" s="349"/>
      <c r="EQ38" s="349"/>
      <c r="ER38" s="349"/>
      <c r="ES38" s="349"/>
      <c r="ET38" s="349"/>
      <c r="EU38" s="349"/>
      <c r="EV38" s="349"/>
      <c r="EW38" s="349"/>
      <c r="EX38" s="349"/>
      <c r="EY38" s="350"/>
      <c r="EZ38" s="77"/>
    </row>
    <row r="39" customHeight="1" spans="1:156">
      <c r="A39" s="92"/>
      <c r="B39" s="301" t="s">
        <v>59</v>
      </c>
      <c r="C39" s="302"/>
      <c r="D39" s="303" t="s">
        <v>109</v>
      </c>
      <c r="E39" s="303"/>
      <c r="F39" s="303"/>
      <c r="G39" s="303"/>
      <c r="H39" s="303"/>
      <c r="I39" s="303"/>
      <c r="J39" s="303"/>
      <c r="K39" s="303"/>
      <c r="L39" s="303"/>
      <c r="M39" s="303"/>
      <c r="N39" s="303"/>
      <c r="O39" s="303"/>
      <c r="P39" s="304">
        <f ca="1" t="shared" si="0"/>
        <v>0</v>
      </c>
      <c r="Q39" s="304"/>
      <c r="R39" s="304"/>
      <c r="S39" s="305">
        <v>0</v>
      </c>
      <c r="T39" s="305"/>
      <c r="U39" s="305"/>
      <c r="V39" s="139" t="str">
        <f ca="1">IF(职业选项!V90&gt;0,职业选项!V90,"")</f>
        <v/>
      </c>
      <c r="W39" s="139"/>
      <c r="X39" s="139"/>
      <c r="Y39" s="139" t="str">
        <f ca="1">规则数据!H45</f>
        <v/>
      </c>
      <c r="Z39" s="139"/>
      <c r="AA39" s="139"/>
      <c r="AB39" s="139"/>
      <c r="AC39" s="139"/>
      <c r="AD39" s="306"/>
      <c r="AE39" s="360"/>
      <c r="AF39" s="361"/>
      <c r="AG39" s="303" t="s">
        <v>110</v>
      </c>
      <c r="AH39" s="303"/>
      <c r="AI39" s="303"/>
      <c r="AJ39" s="303"/>
      <c r="AK39" s="303"/>
      <c r="AL39" s="303"/>
      <c r="AM39" s="303"/>
      <c r="AN39" s="303"/>
      <c r="AO39" s="303"/>
      <c r="AP39" s="303"/>
      <c r="AQ39" s="303"/>
      <c r="AR39" s="303"/>
      <c r="AS39" s="304">
        <f>N(BB39)+N(BE39)</f>
        <v>0</v>
      </c>
      <c r="AT39" s="304"/>
      <c r="AU39" s="304"/>
      <c r="AV39" s="305">
        <v>0</v>
      </c>
      <c r="AW39" s="305"/>
      <c r="AX39" s="305"/>
      <c r="AY39" s="305" t="s">
        <v>111</v>
      </c>
      <c r="AZ39" s="305"/>
      <c r="BA39" s="305"/>
      <c r="BB39" s="305">
        <f>IF(DF46="人类不应知道之事",10,0)</f>
        <v>0</v>
      </c>
      <c r="BC39" s="305"/>
      <c r="BD39" s="305"/>
      <c r="BE39" s="139"/>
      <c r="BF39" s="139"/>
      <c r="BG39" s="308"/>
      <c r="BH39" s="359"/>
      <c r="BI39" s="358"/>
      <c r="BJ39" s="309"/>
      <c r="BK39" s="309"/>
      <c r="BL39" s="309"/>
      <c r="BM39" s="309"/>
      <c r="BN39" s="309"/>
      <c r="BO39" s="309"/>
      <c r="BP39" s="309"/>
      <c r="BQ39" s="309"/>
      <c r="BR39" s="309"/>
      <c r="BS39" s="309"/>
      <c r="BT39" s="309"/>
      <c r="BU39" s="309"/>
      <c r="BV39" s="309"/>
      <c r="BW39" s="309"/>
      <c r="BX39" s="309"/>
      <c r="BY39" s="309"/>
      <c r="BZ39" s="309"/>
      <c r="CA39" s="309"/>
      <c r="CB39" s="309"/>
      <c r="CC39" s="309"/>
      <c r="CD39" s="309"/>
      <c r="CE39" s="309"/>
      <c r="CF39" s="309"/>
      <c r="CG39" s="309"/>
      <c r="CH39" s="309"/>
      <c r="CI39" s="309"/>
      <c r="CJ39" s="309"/>
      <c r="CK39" s="309"/>
      <c r="CL39" s="309"/>
      <c r="CM39" s="309"/>
      <c r="CN39" s="309"/>
      <c r="CO39" s="309"/>
      <c r="CP39" s="309"/>
      <c r="CQ39" s="309"/>
      <c r="CR39" s="309"/>
      <c r="CS39" s="309"/>
      <c r="CT39" s="309"/>
      <c r="CU39" s="309"/>
      <c r="CV39" s="309"/>
      <c r="CW39" s="309"/>
      <c r="CX39" s="310"/>
      <c r="CY39" s="92"/>
      <c r="CZ39" s="351"/>
      <c r="DA39" s="309"/>
      <c r="DB39" s="309"/>
      <c r="DC39" s="309"/>
      <c r="DD39" s="309"/>
      <c r="DE39" s="309"/>
      <c r="DF39" s="309"/>
      <c r="DG39" s="309"/>
      <c r="DH39" s="309"/>
      <c r="DI39" s="309"/>
      <c r="DJ39" s="309"/>
      <c r="DK39" s="309"/>
      <c r="DL39" s="309"/>
      <c r="DM39" s="309"/>
      <c r="DN39" s="309"/>
      <c r="DO39" s="309"/>
      <c r="DP39" s="309"/>
      <c r="DQ39" s="309"/>
      <c r="DR39" s="309"/>
      <c r="DS39" s="309"/>
      <c r="DT39" s="309"/>
      <c r="DU39" s="309"/>
      <c r="DV39" s="309"/>
      <c r="DW39" s="309"/>
      <c r="DX39" s="309"/>
      <c r="DY39" s="309"/>
      <c r="DZ39" s="309"/>
      <c r="EA39" s="309"/>
      <c r="EB39" s="309"/>
      <c r="EC39" s="309"/>
      <c r="ED39" s="352" t="str">
        <f>IF(CZ38="","",IF(AND($DF$46="艰苦经历",IFERROR(VALUE($DF$55),0)=6),0,EF$22))</f>
        <v/>
      </c>
      <c r="EE39" s="353"/>
      <c r="EF39" s="312" t="s">
        <v>89</v>
      </c>
      <c r="EG39" s="354"/>
      <c r="EH39" s="92"/>
      <c r="EI39" s="348"/>
      <c r="EJ39" s="349"/>
      <c r="EK39" s="349"/>
      <c r="EL39" s="349"/>
      <c r="EM39" s="349"/>
      <c r="EN39" s="349"/>
      <c r="EO39" s="349"/>
      <c r="EP39" s="349"/>
      <c r="EQ39" s="349"/>
      <c r="ER39" s="349"/>
      <c r="ES39" s="349"/>
      <c r="ET39" s="349"/>
      <c r="EU39" s="349"/>
      <c r="EV39" s="349"/>
      <c r="EW39" s="349"/>
      <c r="EX39" s="349"/>
      <c r="EY39" s="350"/>
      <c r="EZ39" s="77"/>
    </row>
    <row r="40" customHeight="1" spans="1:156">
      <c r="A40" s="92"/>
      <c r="B40" s="301" t="s">
        <v>59</v>
      </c>
      <c r="C40" s="302"/>
      <c r="D40" s="303" t="s">
        <v>112</v>
      </c>
      <c r="E40" s="303"/>
      <c r="F40" s="303"/>
      <c r="G40" s="303"/>
      <c r="H40" s="303"/>
      <c r="I40" s="303"/>
      <c r="J40" s="303"/>
      <c r="K40" s="303"/>
      <c r="L40" s="303"/>
      <c r="M40" s="303"/>
      <c r="N40" s="303"/>
      <c r="O40" s="303"/>
      <c r="P40" s="304">
        <f ca="1" t="shared" si="0"/>
        <v>10</v>
      </c>
      <c r="Q40" s="304"/>
      <c r="R40" s="304"/>
      <c r="S40" s="305">
        <v>10</v>
      </c>
      <c r="T40" s="305"/>
      <c r="U40" s="305"/>
      <c r="V40" s="139" t="str">
        <f ca="1">IF(职业选项!V91&gt;0,职业选项!V91,"")</f>
        <v/>
      </c>
      <c r="W40" s="139"/>
      <c r="X40" s="139"/>
      <c r="Y40" s="139" t="str">
        <f ca="1">规则数据!H46</f>
        <v/>
      </c>
      <c r="Z40" s="139"/>
      <c r="AA40" s="139"/>
      <c r="AB40" s="139"/>
      <c r="AC40" s="139"/>
      <c r="AD40" s="306"/>
      <c r="AE40" s="307" t="s">
        <v>59</v>
      </c>
      <c r="AF40" s="302"/>
      <c r="AG40" s="362" t="str">
        <f ca="1">IFERROR(INDEX(规则数据!$C$2:$C$9,SMALL(规则数据!$AX$2:$AX$9,1)),"")</f>
        <v/>
      </c>
      <c r="AH40" s="362"/>
      <c r="AI40" s="362"/>
      <c r="AJ40" s="362"/>
      <c r="AK40" s="362"/>
      <c r="AL40" s="362"/>
      <c r="AM40" s="362"/>
      <c r="AN40" s="362"/>
      <c r="AO40" s="362"/>
      <c r="AP40" s="362"/>
      <c r="AQ40" s="362"/>
      <c r="AR40" s="362"/>
      <c r="AS40" s="363">
        <f ca="1">IF(AY40="",N(AV40),N(AY40))+N(BB40)+N(BE40)</f>
        <v>0</v>
      </c>
      <c r="AT40" s="363"/>
      <c r="AU40" s="363"/>
      <c r="AV40" s="139"/>
      <c r="AW40" s="139"/>
      <c r="AX40" s="139"/>
      <c r="AY40" s="139"/>
      <c r="AZ40" s="139"/>
      <c r="BA40" s="139"/>
      <c r="BB40" s="139" t="str">
        <f ca="1">规则数据!H75</f>
        <v/>
      </c>
      <c r="BC40" s="139"/>
      <c r="BD40" s="139"/>
      <c r="BE40" s="139"/>
      <c r="BF40" s="139"/>
      <c r="BG40" s="308"/>
      <c r="BH40" s="359"/>
      <c r="BI40" s="358"/>
      <c r="BJ40" s="309"/>
      <c r="BK40" s="309"/>
      <c r="BL40" s="309"/>
      <c r="BM40" s="309"/>
      <c r="BN40" s="309"/>
      <c r="BO40" s="309"/>
      <c r="BP40" s="309"/>
      <c r="BQ40" s="309"/>
      <c r="BR40" s="309"/>
      <c r="BS40" s="309"/>
      <c r="BT40" s="309"/>
      <c r="BU40" s="309"/>
      <c r="BV40" s="309"/>
      <c r="BW40" s="309"/>
      <c r="BX40" s="309"/>
      <c r="BY40" s="309"/>
      <c r="BZ40" s="309"/>
      <c r="CA40" s="309"/>
      <c r="CB40" s="309"/>
      <c r="CC40" s="309"/>
      <c r="CD40" s="309"/>
      <c r="CE40" s="309"/>
      <c r="CF40" s="309"/>
      <c r="CG40" s="309"/>
      <c r="CH40" s="309"/>
      <c r="CI40" s="309"/>
      <c r="CJ40" s="309"/>
      <c r="CK40" s="309"/>
      <c r="CL40" s="309"/>
      <c r="CM40" s="309"/>
      <c r="CN40" s="309"/>
      <c r="CO40" s="309"/>
      <c r="CP40" s="309"/>
      <c r="CQ40" s="309"/>
      <c r="CR40" s="309"/>
      <c r="CS40" s="309"/>
      <c r="CT40" s="309"/>
      <c r="CU40" s="309"/>
      <c r="CV40" s="309"/>
      <c r="CW40" s="309"/>
      <c r="CX40" s="310"/>
      <c r="CY40" s="92"/>
      <c r="CZ40" s="351"/>
      <c r="DA40" s="309"/>
      <c r="DB40" s="309"/>
      <c r="DC40" s="309"/>
      <c r="DD40" s="309"/>
      <c r="DE40" s="309"/>
      <c r="DF40" s="309"/>
      <c r="DG40" s="309"/>
      <c r="DH40" s="309"/>
      <c r="DI40" s="309"/>
      <c r="DJ40" s="309"/>
      <c r="DK40" s="309"/>
      <c r="DL40" s="309"/>
      <c r="DM40" s="309"/>
      <c r="DN40" s="309"/>
      <c r="DO40" s="309"/>
      <c r="DP40" s="309"/>
      <c r="DQ40" s="309"/>
      <c r="DR40" s="309"/>
      <c r="DS40" s="309"/>
      <c r="DT40" s="309"/>
      <c r="DU40" s="309"/>
      <c r="DV40" s="309"/>
      <c r="DW40" s="309"/>
      <c r="DX40" s="309"/>
      <c r="DY40" s="309"/>
      <c r="DZ40" s="309"/>
      <c r="EA40" s="309"/>
      <c r="EB40" s="309"/>
      <c r="EC40" s="309"/>
      <c r="ED40" s="355"/>
      <c r="EE40" s="356"/>
      <c r="EF40" s="312"/>
      <c r="EG40" s="354"/>
      <c r="EH40" s="92"/>
      <c r="EI40" s="348"/>
      <c r="EJ40" s="349"/>
      <c r="EK40" s="349"/>
      <c r="EL40" s="349"/>
      <c r="EM40" s="349"/>
      <c r="EN40" s="349"/>
      <c r="EO40" s="349"/>
      <c r="EP40" s="349"/>
      <c r="EQ40" s="349"/>
      <c r="ER40" s="349"/>
      <c r="ES40" s="349"/>
      <c r="ET40" s="349"/>
      <c r="EU40" s="349"/>
      <c r="EV40" s="349"/>
      <c r="EW40" s="349"/>
      <c r="EX40" s="349"/>
      <c r="EY40" s="350"/>
      <c r="EZ40" s="77"/>
    </row>
    <row r="41" customHeight="1" spans="1:156">
      <c r="A41" s="92"/>
      <c r="B41" s="301" t="s">
        <v>59</v>
      </c>
      <c r="C41" s="302"/>
      <c r="D41" s="303" t="s">
        <v>113</v>
      </c>
      <c r="E41" s="303"/>
      <c r="F41" s="303"/>
      <c r="G41" s="303"/>
      <c r="H41" s="303"/>
      <c r="I41" s="303"/>
      <c r="J41" s="303"/>
      <c r="K41" s="303"/>
      <c r="L41" s="303"/>
      <c r="M41" s="303"/>
      <c r="N41" s="303"/>
      <c r="O41" s="303"/>
      <c r="P41" s="304">
        <f ca="1" t="shared" si="0"/>
        <v>0</v>
      </c>
      <c r="Q41" s="304"/>
      <c r="R41" s="304"/>
      <c r="S41" s="305">
        <v>0</v>
      </c>
      <c r="T41" s="305"/>
      <c r="U41" s="305"/>
      <c r="V41" s="139" t="str">
        <f ca="1">IF(职业选项!V92&gt;0,职业选项!V92,"")</f>
        <v/>
      </c>
      <c r="W41" s="139"/>
      <c r="X41" s="139"/>
      <c r="Y41" s="139" t="str">
        <f ca="1">规则数据!H47</f>
        <v/>
      </c>
      <c r="Z41" s="139"/>
      <c r="AA41" s="139"/>
      <c r="AB41" s="139"/>
      <c r="AC41" s="139"/>
      <c r="AD41" s="306"/>
      <c r="AE41" s="307" t="s">
        <v>59</v>
      </c>
      <c r="AF41" s="302"/>
      <c r="AG41" s="362" t="str">
        <f ca="1">IFERROR(INDEX(规则数据!$C$2:$C$9,SMALL(规则数据!$AX$2:$AX$9,2)),"")</f>
        <v/>
      </c>
      <c r="AH41" s="362"/>
      <c r="AI41" s="362"/>
      <c r="AJ41" s="362"/>
      <c r="AK41" s="362"/>
      <c r="AL41" s="362"/>
      <c r="AM41" s="362"/>
      <c r="AN41" s="362"/>
      <c r="AO41" s="362"/>
      <c r="AP41" s="362"/>
      <c r="AQ41" s="362"/>
      <c r="AR41" s="362"/>
      <c r="AS41" s="363">
        <f ca="1">IF(AY41="",N(AV41),N(AY41))+N(BB41)+N(BE41)</f>
        <v>0</v>
      </c>
      <c r="AT41" s="363"/>
      <c r="AU41" s="363"/>
      <c r="AV41" s="139"/>
      <c r="AW41" s="139"/>
      <c r="AX41" s="139"/>
      <c r="AY41" s="139"/>
      <c r="AZ41" s="139"/>
      <c r="BA41" s="139"/>
      <c r="BB41" s="139" t="str">
        <f ca="1">规则数据!H76</f>
        <v/>
      </c>
      <c r="BC41" s="139"/>
      <c r="BD41" s="139"/>
      <c r="BE41" s="139"/>
      <c r="BF41" s="139"/>
      <c r="BG41" s="308"/>
      <c r="BH41" s="359"/>
      <c r="BI41" s="358"/>
      <c r="BJ41" s="309"/>
      <c r="BK41" s="309"/>
      <c r="BL41" s="309"/>
      <c r="BM41" s="309"/>
      <c r="BN41" s="309"/>
      <c r="BO41" s="309"/>
      <c r="BP41" s="309"/>
      <c r="BQ41" s="309"/>
      <c r="BR41" s="309"/>
      <c r="BS41" s="309"/>
      <c r="BT41" s="309"/>
      <c r="BU41" s="309"/>
      <c r="BV41" s="309"/>
      <c r="BW41" s="309"/>
      <c r="BX41" s="309"/>
      <c r="BY41" s="309"/>
      <c r="BZ41" s="309"/>
      <c r="CA41" s="309"/>
      <c r="CB41" s="309"/>
      <c r="CC41" s="309"/>
      <c r="CD41" s="309"/>
      <c r="CE41" s="309"/>
      <c r="CF41" s="309"/>
      <c r="CG41" s="309"/>
      <c r="CH41" s="309"/>
      <c r="CI41" s="309"/>
      <c r="CJ41" s="309"/>
      <c r="CK41" s="309"/>
      <c r="CL41" s="309"/>
      <c r="CM41" s="309"/>
      <c r="CN41" s="309"/>
      <c r="CO41" s="309"/>
      <c r="CP41" s="309"/>
      <c r="CQ41" s="309"/>
      <c r="CR41" s="309"/>
      <c r="CS41" s="309"/>
      <c r="CT41" s="309"/>
      <c r="CU41" s="309"/>
      <c r="CV41" s="309"/>
      <c r="CW41" s="309"/>
      <c r="CX41" s="310"/>
      <c r="CY41" s="92"/>
      <c r="CZ41" s="351"/>
      <c r="DA41" s="309"/>
      <c r="DB41" s="309"/>
      <c r="DC41" s="309"/>
      <c r="DD41" s="309"/>
      <c r="DE41" s="309"/>
      <c r="DF41" s="309"/>
      <c r="DG41" s="309"/>
      <c r="DH41" s="309"/>
      <c r="DI41" s="309"/>
      <c r="DJ41" s="309"/>
      <c r="DK41" s="309"/>
      <c r="DL41" s="309"/>
      <c r="DM41" s="309"/>
      <c r="DN41" s="309"/>
      <c r="DO41" s="309"/>
      <c r="DP41" s="309"/>
      <c r="DQ41" s="309"/>
      <c r="DR41" s="309"/>
      <c r="DS41" s="309"/>
      <c r="DT41" s="309"/>
      <c r="DU41" s="309"/>
      <c r="DV41" s="309"/>
      <c r="DW41" s="309"/>
      <c r="DX41" s="309"/>
      <c r="DY41" s="309"/>
      <c r="DZ41" s="309"/>
      <c r="EA41" s="309"/>
      <c r="EB41" s="309"/>
      <c r="EC41" s="309"/>
      <c r="ED41" s="132" t="s">
        <v>85</v>
      </c>
      <c r="EE41" s="132"/>
      <c r="EF41" s="132" t="s">
        <v>86</v>
      </c>
      <c r="EG41" s="357"/>
      <c r="EH41" s="92"/>
      <c r="EI41" s="348"/>
      <c r="EJ41" s="349"/>
      <c r="EK41" s="349"/>
      <c r="EL41" s="349"/>
      <c r="EM41" s="349"/>
      <c r="EN41" s="349"/>
      <c r="EO41" s="349"/>
      <c r="EP41" s="349"/>
      <c r="EQ41" s="349"/>
      <c r="ER41" s="349"/>
      <c r="ES41" s="349"/>
      <c r="ET41" s="349"/>
      <c r="EU41" s="349"/>
      <c r="EV41" s="349"/>
      <c r="EW41" s="349"/>
      <c r="EX41" s="349"/>
      <c r="EY41" s="350"/>
      <c r="EZ41" s="77"/>
    </row>
    <row r="42" customHeight="1" spans="1:156">
      <c r="A42" s="92"/>
      <c r="B42" s="301" t="s">
        <v>59</v>
      </c>
      <c r="C42" s="302"/>
      <c r="D42" s="303" t="s">
        <v>114</v>
      </c>
      <c r="E42" s="303"/>
      <c r="F42" s="303"/>
      <c r="G42" s="303"/>
      <c r="H42" s="303"/>
      <c r="I42" s="303"/>
      <c r="J42" s="303"/>
      <c r="K42" s="303"/>
      <c r="L42" s="303"/>
      <c r="M42" s="303"/>
      <c r="N42" s="303"/>
      <c r="O42" s="303"/>
      <c r="P42" s="304">
        <f ca="1" t="shared" si="0"/>
        <v>10</v>
      </c>
      <c r="Q42" s="304"/>
      <c r="R42" s="304"/>
      <c r="S42" s="305">
        <v>10</v>
      </c>
      <c r="T42" s="305"/>
      <c r="U42" s="305"/>
      <c r="V42" s="139" t="str">
        <f ca="1">IF(职业选项!V93&gt;0,职业选项!V93,"")</f>
        <v/>
      </c>
      <c r="W42" s="139"/>
      <c r="X42" s="139"/>
      <c r="Y42" s="139" t="str">
        <f ca="1">规则数据!H48</f>
        <v/>
      </c>
      <c r="Z42" s="139"/>
      <c r="AA42" s="139"/>
      <c r="AB42" s="139"/>
      <c r="AC42" s="139"/>
      <c r="AD42" s="306"/>
      <c r="AE42" s="307" t="s">
        <v>59</v>
      </c>
      <c r="AF42" s="302"/>
      <c r="AG42" s="362" t="str">
        <f ca="1">IFERROR(INDEX(规则数据!$C$2:$C$9,SMALL(规则数据!$AX$2:$AX$9,3)),"")</f>
        <v/>
      </c>
      <c r="AH42" s="362"/>
      <c r="AI42" s="362"/>
      <c r="AJ42" s="362"/>
      <c r="AK42" s="362"/>
      <c r="AL42" s="362"/>
      <c r="AM42" s="362"/>
      <c r="AN42" s="362"/>
      <c r="AO42" s="362"/>
      <c r="AP42" s="362"/>
      <c r="AQ42" s="362"/>
      <c r="AR42" s="362"/>
      <c r="AS42" s="363">
        <f ca="1">IF(AY42="",N(AV42),N(AY42))+N(BB42)+N(BE42)</f>
        <v>0</v>
      </c>
      <c r="AT42" s="363"/>
      <c r="AU42" s="363"/>
      <c r="AV42" s="139"/>
      <c r="AW42" s="139"/>
      <c r="AX42" s="139"/>
      <c r="AY42" s="139"/>
      <c r="AZ42" s="139"/>
      <c r="BA42" s="139"/>
      <c r="BB42" s="139" t="str">
        <f ca="1">规则数据!H77</f>
        <v/>
      </c>
      <c r="BC42" s="139"/>
      <c r="BD42" s="139"/>
      <c r="BE42" s="139"/>
      <c r="BF42" s="139"/>
      <c r="BG42" s="308"/>
      <c r="BH42" s="359"/>
      <c r="BI42" s="358"/>
      <c r="BJ42" s="309"/>
      <c r="BK42" s="309"/>
      <c r="BL42" s="309"/>
      <c r="BM42" s="309"/>
      <c r="BN42" s="309"/>
      <c r="BO42" s="309"/>
      <c r="BP42" s="309"/>
      <c r="BQ42" s="309"/>
      <c r="BR42" s="309"/>
      <c r="BS42" s="309"/>
      <c r="BT42" s="309"/>
      <c r="BU42" s="309"/>
      <c r="BV42" s="309"/>
      <c r="BW42" s="309"/>
      <c r="BX42" s="309"/>
      <c r="BY42" s="309"/>
      <c r="BZ42" s="309"/>
      <c r="CA42" s="309"/>
      <c r="CB42" s="309"/>
      <c r="CC42" s="309"/>
      <c r="CD42" s="309"/>
      <c r="CE42" s="309"/>
      <c r="CF42" s="309"/>
      <c r="CG42" s="309"/>
      <c r="CH42" s="309"/>
      <c r="CI42" s="309"/>
      <c r="CJ42" s="309"/>
      <c r="CK42" s="309"/>
      <c r="CL42" s="309"/>
      <c r="CM42" s="309"/>
      <c r="CN42" s="309"/>
      <c r="CO42" s="309"/>
      <c r="CP42" s="309"/>
      <c r="CQ42" s="309"/>
      <c r="CR42" s="309"/>
      <c r="CS42" s="309"/>
      <c r="CT42" s="309"/>
      <c r="CU42" s="309"/>
      <c r="CV42" s="309"/>
      <c r="CW42" s="309"/>
      <c r="CX42" s="310"/>
      <c r="CY42" s="92"/>
      <c r="CZ42" s="351"/>
      <c r="DA42" s="309"/>
      <c r="DB42" s="309"/>
      <c r="DC42" s="309"/>
      <c r="DD42" s="309"/>
      <c r="DE42" s="309"/>
      <c r="DF42" s="309"/>
      <c r="DG42" s="309"/>
      <c r="DH42" s="309"/>
      <c r="DI42" s="309"/>
      <c r="DJ42" s="309"/>
      <c r="DK42" s="309"/>
      <c r="DL42" s="309"/>
      <c r="DM42" s="309"/>
      <c r="DN42" s="309"/>
      <c r="DO42" s="309"/>
      <c r="DP42" s="309"/>
      <c r="DQ42" s="309"/>
      <c r="DR42" s="309"/>
      <c r="DS42" s="309"/>
      <c r="DT42" s="309"/>
      <c r="DU42" s="309"/>
      <c r="DV42" s="309"/>
      <c r="DW42" s="309"/>
      <c r="DX42" s="309"/>
      <c r="DY42" s="309"/>
      <c r="DZ42" s="309"/>
      <c r="EA42" s="309"/>
      <c r="EB42" s="309"/>
      <c r="EC42" s="309"/>
      <c r="ED42" s="352" t="str">
        <f>IF(CZ41="","",IF(AND($DF$46="艰苦经历",IFERROR(VALUE($DF$55),0)=7),0,EF$22))</f>
        <v/>
      </c>
      <c r="EE42" s="353"/>
      <c r="EF42" s="312" t="s">
        <v>89</v>
      </c>
      <c r="EG42" s="354"/>
      <c r="EH42" s="92"/>
      <c r="EI42" s="348"/>
      <c r="EJ42" s="349"/>
      <c r="EK42" s="349"/>
      <c r="EL42" s="349"/>
      <c r="EM42" s="349"/>
      <c r="EN42" s="349"/>
      <c r="EO42" s="349"/>
      <c r="EP42" s="349"/>
      <c r="EQ42" s="349"/>
      <c r="ER42" s="349"/>
      <c r="ES42" s="349"/>
      <c r="ET42" s="349"/>
      <c r="EU42" s="349"/>
      <c r="EV42" s="349"/>
      <c r="EW42" s="349"/>
      <c r="EX42" s="349"/>
      <c r="EY42" s="350"/>
      <c r="EZ42" s="77"/>
    </row>
    <row r="43" customHeight="1" spans="1:156">
      <c r="A43" s="92"/>
      <c r="B43" s="364" t="s">
        <v>59</v>
      </c>
      <c r="C43" s="365"/>
      <c r="D43" s="366" t="s">
        <v>115</v>
      </c>
      <c r="E43" s="366"/>
      <c r="F43" s="366"/>
      <c r="G43" s="366"/>
      <c r="H43" s="366"/>
      <c r="I43" s="366"/>
      <c r="J43" s="366"/>
      <c r="K43" s="366"/>
      <c r="L43" s="366"/>
      <c r="M43" s="366"/>
      <c r="N43" s="366"/>
      <c r="O43" s="366"/>
      <c r="P43" s="367">
        <f ca="1" t="shared" si="0"/>
        <v>10</v>
      </c>
      <c r="Q43" s="367"/>
      <c r="R43" s="367"/>
      <c r="S43" s="368">
        <v>10</v>
      </c>
      <c r="T43" s="368"/>
      <c r="U43" s="368"/>
      <c r="V43" s="369" t="str">
        <f ca="1">IF(职业选项!V94&gt;0,职业选项!V94,"")</f>
        <v/>
      </c>
      <c r="W43" s="369"/>
      <c r="X43" s="369"/>
      <c r="Y43" s="369" t="str">
        <f ca="1">规则数据!H49</f>
        <v/>
      </c>
      <c r="Z43" s="369"/>
      <c r="AA43" s="369"/>
      <c r="AB43" s="369"/>
      <c r="AC43" s="369"/>
      <c r="AD43" s="370"/>
      <c r="AE43" s="371" t="s">
        <v>59</v>
      </c>
      <c r="AF43" s="365"/>
      <c r="AG43" s="372" t="str">
        <f ca="1">IFERROR(INDEX(规则数据!$C$2:$C$9,SMALL(规则数据!$AX$2:$AX$9,4)),"")</f>
        <v/>
      </c>
      <c r="AH43" s="372"/>
      <c r="AI43" s="372"/>
      <c r="AJ43" s="372"/>
      <c r="AK43" s="372"/>
      <c r="AL43" s="372"/>
      <c r="AM43" s="372"/>
      <c r="AN43" s="372"/>
      <c r="AO43" s="372"/>
      <c r="AP43" s="372"/>
      <c r="AQ43" s="372"/>
      <c r="AR43" s="372"/>
      <c r="AS43" s="373">
        <f ca="1">IF(AY43="",N(AV43),N(AY43))+N(BB43)+N(BE43)</f>
        <v>0</v>
      </c>
      <c r="AT43" s="373"/>
      <c r="AU43" s="373"/>
      <c r="AV43" s="369"/>
      <c r="AW43" s="369"/>
      <c r="AX43" s="369"/>
      <c r="AY43" s="369"/>
      <c r="AZ43" s="369"/>
      <c r="BA43" s="369"/>
      <c r="BB43" s="369" t="str">
        <f ca="1">规则数据!H78</f>
        <v/>
      </c>
      <c r="BC43" s="369"/>
      <c r="BD43" s="369"/>
      <c r="BE43" s="369"/>
      <c r="BF43" s="369"/>
      <c r="BG43" s="374"/>
      <c r="BH43" s="359"/>
      <c r="BI43" s="375"/>
      <c r="BJ43" s="376"/>
      <c r="BK43" s="376"/>
      <c r="BL43" s="376"/>
      <c r="BM43" s="376"/>
      <c r="BN43" s="376"/>
      <c r="BO43" s="376"/>
      <c r="BP43" s="376"/>
      <c r="BQ43" s="376"/>
      <c r="BR43" s="376"/>
      <c r="BS43" s="376"/>
      <c r="BT43" s="376"/>
      <c r="BU43" s="376"/>
      <c r="BV43" s="376"/>
      <c r="BW43" s="376"/>
      <c r="BX43" s="376"/>
      <c r="BY43" s="376"/>
      <c r="BZ43" s="376"/>
      <c r="CA43" s="376"/>
      <c r="CB43" s="376"/>
      <c r="CC43" s="376"/>
      <c r="CD43" s="376"/>
      <c r="CE43" s="376"/>
      <c r="CF43" s="376"/>
      <c r="CG43" s="376"/>
      <c r="CH43" s="376"/>
      <c r="CI43" s="376"/>
      <c r="CJ43" s="376"/>
      <c r="CK43" s="376"/>
      <c r="CL43" s="376"/>
      <c r="CM43" s="376"/>
      <c r="CN43" s="376"/>
      <c r="CO43" s="376"/>
      <c r="CP43" s="376"/>
      <c r="CQ43" s="376"/>
      <c r="CR43" s="376"/>
      <c r="CS43" s="376"/>
      <c r="CT43" s="376"/>
      <c r="CU43" s="376"/>
      <c r="CV43" s="376"/>
      <c r="CW43" s="376"/>
      <c r="CX43" s="377"/>
      <c r="CY43" s="92"/>
      <c r="CZ43" s="378"/>
      <c r="DA43" s="376"/>
      <c r="DB43" s="376"/>
      <c r="DC43" s="376"/>
      <c r="DD43" s="376"/>
      <c r="DE43" s="376"/>
      <c r="DF43" s="376"/>
      <c r="DG43" s="376"/>
      <c r="DH43" s="376"/>
      <c r="DI43" s="376"/>
      <c r="DJ43" s="376"/>
      <c r="DK43" s="376"/>
      <c r="DL43" s="376"/>
      <c r="DM43" s="376"/>
      <c r="DN43" s="376"/>
      <c r="DO43" s="376"/>
      <c r="DP43" s="376"/>
      <c r="DQ43" s="376"/>
      <c r="DR43" s="376"/>
      <c r="DS43" s="376"/>
      <c r="DT43" s="376"/>
      <c r="DU43" s="376"/>
      <c r="DV43" s="376"/>
      <c r="DW43" s="376"/>
      <c r="DX43" s="376"/>
      <c r="DY43" s="376"/>
      <c r="DZ43" s="376"/>
      <c r="EA43" s="376"/>
      <c r="EB43" s="376"/>
      <c r="EC43" s="376"/>
      <c r="ED43" s="379"/>
      <c r="EE43" s="380"/>
      <c r="EF43" s="381"/>
      <c r="EG43" s="382"/>
      <c r="EH43" s="92"/>
      <c r="EI43" s="348"/>
      <c r="EJ43" s="349"/>
      <c r="EK43" s="349"/>
      <c r="EL43" s="349"/>
      <c r="EM43" s="349"/>
      <c r="EN43" s="349"/>
      <c r="EO43" s="349"/>
      <c r="EP43" s="349"/>
      <c r="EQ43" s="349"/>
      <c r="ER43" s="349"/>
      <c r="ES43" s="349"/>
      <c r="ET43" s="349"/>
      <c r="EU43" s="349"/>
      <c r="EV43" s="349"/>
      <c r="EW43" s="349"/>
      <c r="EX43" s="349"/>
      <c r="EY43" s="350"/>
      <c r="EZ43" s="77"/>
    </row>
    <row r="44" customHeight="1" spans="1:156">
      <c r="B44" s="76"/>
      <c r="C44" s="76"/>
      <c r="D44" s="76"/>
      <c r="E44" s="76"/>
      <c r="F44" s="76"/>
      <c r="G44" s="76"/>
      <c r="H44" s="76"/>
      <c r="I44" s="76"/>
      <c r="J44" s="76"/>
      <c r="K44" s="76"/>
      <c r="L44" s="76"/>
      <c r="M44" s="76"/>
      <c r="N44" s="76"/>
      <c r="O44" s="76"/>
      <c r="P44" s="76"/>
      <c r="Q44" s="76"/>
      <c r="R44" s="76"/>
      <c r="S44" s="76"/>
      <c r="T44" s="76"/>
      <c r="U44" s="76"/>
      <c r="V44" s="76"/>
      <c r="W44" s="76"/>
      <c r="X44" s="76"/>
      <c r="Y44" s="76"/>
      <c r="Z44" s="76"/>
      <c r="AA44" s="76"/>
      <c r="AB44" s="76"/>
      <c r="AC44" s="76"/>
      <c r="AD44" s="76"/>
      <c r="AE44" s="76"/>
      <c r="AF44" s="76"/>
      <c r="AG44" s="76"/>
      <c r="AH44" s="76"/>
      <c r="AI44" s="76"/>
      <c r="AJ44" s="76"/>
      <c r="AK44" s="76"/>
      <c r="AL44" s="76"/>
      <c r="AM44" s="76"/>
      <c r="AN44" s="76"/>
      <c r="AO44" s="76"/>
      <c r="AP44" s="76"/>
      <c r="AQ44" s="76"/>
      <c r="AR44" s="76"/>
      <c r="AS44" s="76"/>
      <c r="AT44" s="76"/>
      <c r="AU44" s="76"/>
      <c r="AV44" s="76"/>
      <c r="AW44" s="76"/>
      <c r="AX44" s="76"/>
      <c r="AY44" s="76"/>
      <c r="AZ44" s="76"/>
      <c r="BA44" s="76"/>
      <c r="BB44" s="76"/>
      <c r="BC44" s="76"/>
      <c r="BD44" s="76"/>
      <c r="BE44" s="76"/>
      <c r="BF44" s="76"/>
      <c r="BG44" s="76"/>
      <c r="BI44" s="76"/>
      <c r="BJ44" s="76"/>
      <c r="BK44" s="76"/>
      <c r="BL44" s="76"/>
      <c r="BM44" s="76"/>
      <c r="BN44" s="76"/>
      <c r="BO44" s="76"/>
      <c r="BP44" s="76"/>
      <c r="BQ44" s="76"/>
      <c r="BR44" s="383"/>
      <c r="BS44" s="383"/>
      <c r="BT44" s="383"/>
      <c r="BU44" s="383"/>
      <c r="BV44" s="383"/>
      <c r="BW44" s="383"/>
      <c r="BX44" s="383"/>
      <c r="BY44" s="383"/>
      <c r="BZ44" s="383"/>
      <c r="CA44" s="383"/>
      <c r="CB44" s="383"/>
      <c r="CC44" s="383"/>
      <c r="CD44" s="383"/>
      <c r="CE44" s="383"/>
      <c r="CF44" s="383"/>
      <c r="CG44" s="383"/>
      <c r="CH44" s="383"/>
      <c r="CI44" s="383"/>
      <c r="CJ44" s="383"/>
      <c r="CK44" s="383"/>
      <c r="CL44" s="383"/>
      <c r="CM44" s="383"/>
      <c r="CN44" s="76"/>
      <c r="CO44" s="76"/>
      <c r="CP44" s="76"/>
      <c r="CQ44" s="76"/>
      <c r="CR44" s="76"/>
      <c r="CS44" s="76"/>
      <c r="CT44" s="76"/>
      <c r="CU44" s="76"/>
      <c r="CV44" s="76"/>
      <c r="CW44" s="76"/>
      <c r="CX44" s="76"/>
      <c r="CZ44" s="76"/>
      <c r="DA44" s="76"/>
      <c r="DB44" s="76"/>
      <c r="DC44" s="76"/>
      <c r="DD44" s="76"/>
      <c r="DE44" s="76"/>
      <c r="DF44" s="76"/>
      <c r="DG44" s="76"/>
      <c r="DH44" s="76"/>
      <c r="DI44" s="76"/>
      <c r="DJ44" s="76"/>
      <c r="DK44" s="76"/>
      <c r="DL44" s="76"/>
      <c r="DM44" s="76"/>
      <c r="DN44" s="76"/>
      <c r="DO44" s="76"/>
      <c r="DP44" s="76"/>
      <c r="DQ44" s="76"/>
      <c r="DR44" s="76"/>
      <c r="DS44" s="76"/>
      <c r="DT44" s="76"/>
      <c r="DU44" s="76"/>
      <c r="DV44" s="76"/>
      <c r="DW44" s="76"/>
      <c r="DX44" s="76"/>
      <c r="DY44" s="76"/>
      <c r="DZ44" s="76"/>
      <c r="EA44" s="76"/>
      <c r="EB44" s="76"/>
      <c r="EC44" s="76"/>
      <c r="ED44" s="76"/>
      <c r="EE44" s="76"/>
      <c r="EF44" s="76"/>
      <c r="EG44" s="76"/>
      <c r="EI44" s="76"/>
      <c r="EJ44" s="76"/>
      <c r="EK44" s="76"/>
      <c r="EL44" s="76"/>
      <c r="EM44" s="76"/>
      <c r="EN44" s="76"/>
      <c r="EO44" s="76"/>
      <c r="EP44" s="76"/>
      <c r="EQ44" s="76"/>
      <c r="ER44" s="76"/>
      <c r="ES44" s="76"/>
      <c r="ET44" s="76"/>
      <c r="EU44" s="76"/>
      <c r="EV44" s="76"/>
      <c r="EW44" s="76"/>
      <c r="EX44" s="76"/>
      <c r="EY44" s="76"/>
    </row>
    <row r="45" customHeight="1" spans="1:156">
      <c r="B45" s="384"/>
      <c r="C45" s="384"/>
      <c r="D45" s="384"/>
      <c r="E45" s="384"/>
      <c r="F45" s="384"/>
      <c r="G45" s="384"/>
      <c r="H45" s="384"/>
      <c r="I45" s="384"/>
      <c r="J45" s="384"/>
      <c r="K45" s="384"/>
      <c r="L45" s="384"/>
      <c r="M45" s="384"/>
      <c r="N45" s="384"/>
      <c r="O45" s="384"/>
      <c r="P45" s="384"/>
      <c r="Q45" s="384"/>
      <c r="R45" s="384"/>
      <c r="S45" s="384"/>
      <c r="T45" s="384"/>
      <c r="U45" s="384"/>
      <c r="V45" s="384"/>
      <c r="W45" s="384"/>
      <c r="X45" s="384"/>
      <c r="Y45" s="384"/>
      <c r="Z45" s="384"/>
      <c r="AA45" s="384"/>
      <c r="AB45" s="384"/>
      <c r="AC45" s="384"/>
      <c r="AD45" s="384"/>
      <c r="AE45" s="384"/>
      <c r="AF45" s="384"/>
      <c r="AG45" s="384"/>
      <c r="AH45" s="384"/>
      <c r="AI45" s="384"/>
      <c r="AJ45" s="384"/>
      <c r="AK45" s="384"/>
      <c r="AL45" s="384"/>
      <c r="AM45" s="384"/>
      <c r="AN45" s="384"/>
      <c r="AO45" s="384"/>
      <c r="AP45" s="384"/>
      <c r="AQ45" s="384"/>
      <c r="AR45" s="384"/>
      <c r="AS45" s="384"/>
      <c r="AT45" s="384"/>
      <c r="AU45" s="384"/>
      <c r="AV45" s="384"/>
      <c r="AW45" s="384"/>
      <c r="AX45" s="384"/>
      <c r="AY45" s="384"/>
      <c r="AZ45" s="384"/>
      <c r="BA45" s="384"/>
      <c r="BB45" s="384"/>
      <c r="BC45" s="384"/>
      <c r="BD45" s="384"/>
      <c r="BE45" s="384"/>
      <c r="BF45" s="384"/>
      <c r="BG45" s="384"/>
      <c r="BH45" s="384"/>
      <c r="BI45" s="384"/>
      <c r="BJ45" s="384"/>
      <c r="BK45" s="384"/>
      <c r="BL45" s="384"/>
      <c r="BM45" s="384"/>
      <c r="BN45" s="384"/>
      <c r="BO45" s="384"/>
      <c r="BP45" s="384"/>
      <c r="BQ45" s="384"/>
      <c r="BR45" s="385"/>
      <c r="BS45" s="385"/>
      <c r="BT45" s="385"/>
      <c r="BU45" s="338"/>
      <c r="BV45" s="383"/>
      <c r="BW45" s="383"/>
      <c r="BX45" s="383"/>
      <c r="BY45" s="383"/>
      <c r="BZ45" s="383"/>
      <c r="CA45" s="383"/>
      <c r="CB45" s="383"/>
      <c r="CC45" s="383"/>
      <c r="CD45" s="383"/>
      <c r="CE45" s="383"/>
      <c r="CF45" s="383"/>
      <c r="CG45" s="383"/>
      <c r="CH45" s="383"/>
      <c r="CI45" s="383"/>
      <c r="CJ45" s="383"/>
      <c r="CK45" s="383"/>
      <c r="CL45" s="383"/>
      <c r="CM45" s="383"/>
      <c r="CN45" s="76"/>
      <c r="CO45" s="76"/>
      <c r="CP45" s="76"/>
      <c r="CQ45" s="76"/>
      <c r="CR45" s="76"/>
      <c r="CS45" s="76"/>
      <c r="CT45" s="76"/>
      <c r="CU45" s="76"/>
      <c r="CV45" s="76"/>
      <c r="CW45" s="76"/>
      <c r="CX45" s="76"/>
      <c r="CZ45" s="76"/>
      <c r="DA45" s="76"/>
      <c r="DB45" s="76"/>
      <c r="DC45" s="76"/>
      <c r="DD45" s="76"/>
      <c r="DE45" s="76"/>
      <c r="DF45" s="80"/>
      <c r="DG45" s="80"/>
      <c r="DH45" s="80"/>
      <c r="DI45" s="80"/>
      <c r="DJ45" s="80"/>
      <c r="DK45" s="80"/>
      <c r="DL45" s="80"/>
      <c r="DM45" s="80"/>
      <c r="DN45" s="80"/>
      <c r="DO45" s="80"/>
      <c r="DP45" s="80"/>
      <c r="DQ45" s="80"/>
      <c r="DR45" s="80"/>
      <c r="DS45" s="76"/>
      <c r="DT45" s="76"/>
      <c r="DU45" s="76"/>
      <c r="DV45" s="76"/>
      <c r="DW45" s="76"/>
      <c r="DX45" s="76"/>
      <c r="DY45" s="76"/>
      <c r="DZ45" s="76"/>
      <c r="EA45" s="76"/>
      <c r="EB45" s="76"/>
      <c r="EC45" s="76"/>
      <c r="ED45" s="76"/>
      <c r="EE45" s="76"/>
      <c r="EF45" s="76"/>
      <c r="EG45" s="76"/>
      <c r="EI45" s="76"/>
      <c r="EJ45" s="76"/>
      <c r="EK45" s="76"/>
      <c r="EL45" s="76"/>
      <c r="EM45" s="76"/>
      <c r="EN45" s="76"/>
      <c r="EO45" s="76"/>
      <c r="EP45" s="76"/>
      <c r="EQ45" s="76"/>
      <c r="ER45" s="76"/>
      <c r="ES45" s="76"/>
      <c r="ET45" s="76"/>
      <c r="EU45" s="76"/>
      <c r="EV45" s="76"/>
      <c r="EW45" s="76"/>
      <c r="EX45" s="76"/>
      <c r="EY45" s="76"/>
    </row>
    <row r="46" customHeight="1" spans="1:156">
      <c r="A46" s="92"/>
      <c r="B46" s="386" t="s">
        <v>116</v>
      </c>
      <c r="C46" s="387"/>
      <c r="D46" s="387"/>
      <c r="E46" s="387"/>
      <c r="F46" s="387"/>
      <c r="G46" s="388"/>
      <c r="H46" s="389" t="inlineStr">
        <is>
          <t xml:space="preserve">（创建新职业）</t>
        </is>
      </c>
      <c r="I46" s="390"/>
      <c r="J46" s="390"/>
      <c r="K46" s="390"/>
      <c r="L46" s="390"/>
      <c r="M46" s="390"/>
      <c r="N46" s="390"/>
      <c r="O46" s="390"/>
      <c r="P46" s="390"/>
      <c r="Q46" s="390"/>
      <c r="R46" s="390"/>
      <c r="S46" s="390"/>
      <c r="T46" s="390"/>
      <c r="U46" s="390"/>
      <c r="V46" s="390"/>
      <c r="W46" s="390"/>
      <c r="X46" s="390"/>
      <c r="Y46" s="390"/>
      <c r="Z46" s="390"/>
      <c r="AA46" s="390"/>
      <c r="AB46" s="390"/>
      <c r="AC46" s="390"/>
      <c r="AD46" s="390"/>
      <c r="AE46" s="390"/>
      <c r="AF46" s="390"/>
      <c r="AG46" s="390"/>
      <c r="AH46" s="390"/>
      <c r="AI46" s="390"/>
      <c r="AJ46" s="391"/>
      <c r="AK46" s="392"/>
      <c r="AL46" s="393"/>
      <c r="AM46" s="393"/>
      <c r="AN46" s="393"/>
      <c r="AO46" s="393"/>
      <c r="AP46" s="393"/>
      <c r="AQ46" s="393"/>
      <c r="AR46" s="393"/>
      <c r="AS46" s="393"/>
      <c r="AT46" s="393"/>
      <c r="AU46" s="393"/>
      <c r="AV46" s="393"/>
      <c r="AW46" s="393"/>
      <c r="AX46" s="393"/>
      <c r="AY46" s="393"/>
      <c r="AZ46" s="393"/>
      <c r="BA46" s="393"/>
      <c r="BB46" s="393"/>
      <c r="BC46" s="394"/>
      <c r="BD46" s="77"/>
      <c r="BN46" s="395" t="s">
        <v>118</v>
      </c>
      <c r="BO46" s="396"/>
      <c r="BP46" s="396"/>
      <c r="BQ46" s="396"/>
      <c r="BR46" s="396"/>
      <c r="BS46" s="396"/>
      <c r="BT46" s="396"/>
      <c r="BU46" s="396"/>
      <c r="BV46" s="397"/>
      <c r="BW46" s="398" t="inlineStr">
        <is>
          <t xml:space="preserve">（自选）</t>
        </is>
      </c>
      <c r="BX46" s="398"/>
      <c r="BY46" s="398"/>
      <c r="BZ46" s="398"/>
      <c r="CA46" s="398"/>
      <c r="CB46" s="398"/>
      <c r="CC46" s="398"/>
      <c r="CD46" s="398"/>
      <c r="CE46" s="398"/>
      <c r="CF46" s="398"/>
      <c r="CG46" s="398"/>
      <c r="CH46" s="398"/>
      <c r="CI46" s="398"/>
      <c r="CJ46" s="398"/>
      <c r="CK46" s="398"/>
      <c r="CL46" s="398"/>
      <c r="CM46" s="398"/>
      <c r="CN46" s="398"/>
      <c r="CO46" s="398"/>
      <c r="CP46" s="398"/>
      <c r="CQ46" s="399"/>
      <c r="CZ46" s="395" t="s">
        <v>120</v>
      </c>
      <c r="DA46" s="396"/>
      <c r="DB46" s="396"/>
      <c r="DC46" s="396"/>
      <c r="DD46" s="396"/>
      <c r="DE46" s="396"/>
      <c r="DF46" s="400" t="inlineStr">
        <is>
          <t xml:space="preserve">（无）</t>
        </is>
      </c>
      <c r="DG46" s="401"/>
      <c r="DH46" s="401"/>
      <c r="DI46" s="401"/>
      <c r="DJ46" s="401"/>
      <c r="DK46" s="401"/>
      <c r="DL46" s="401"/>
      <c r="DM46" s="401"/>
      <c r="DN46" s="401"/>
      <c r="DO46" s="401"/>
      <c r="DP46" s="401"/>
      <c r="DQ46" s="401"/>
      <c r="DR46" s="402"/>
      <c r="DS46" s="77"/>
    </row>
    <row r="47" customHeight="1" spans="1:156">
      <c r="A47" s="92"/>
      <c r="B47" s="403" t="s">
        <v>122</v>
      </c>
      <c r="C47" s="404"/>
      <c r="D47" s="404"/>
      <c r="E47" s="404"/>
      <c r="F47" s="404"/>
      <c r="G47" s="405"/>
      <c r="H47" s="406"/>
      <c r="I47" s="407"/>
      <c r="J47" s="407"/>
      <c r="K47" s="407"/>
      <c r="L47" s="407"/>
      <c r="M47" s="407"/>
      <c r="N47" s="407"/>
      <c r="O47" s="407"/>
      <c r="P47" s="407"/>
      <c r="Q47" s="407"/>
      <c r="R47" s="407"/>
      <c r="S47" s="407"/>
      <c r="T47" s="407"/>
      <c r="U47" s="408"/>
      <c r="V47" s="409" t="str">
        <f>IF(附表!I12=FALSE,"←请选择子模板","")</f>
        <v/>
      </c>
      <c r="W47" s="409"/>
      <c r="X47" s="409"/>
      <c r="Y47" s="409"/>
      <c r="Z47" s="409"/>
      <c r="AA47" s="409"/>
      <c r="AB47" s="409"/>
      <c r="AC47" s="409"/>
      <c r="AD47" s="409"/>
      <c r="AE47" s="409"/>
      <c r="AF47" s="409"/>
      <c r="AG47" s="409"/>
      <c r="AH47" s="409"/>
      <c r="AI47" s="409"/>
      <c r="AJ47" s="409"/>
      <c r="AK47" s="76"/>
      <c r="AL47" s="410"/>
      <c r="AM47" s="410"/>
      <c r="AN47" s="410"/>
      <c r="AO47" s="410"/>
      <c r="AP47" s="410"/>
      <c r="AQ47" s="410"/>
      <c r="AR47" s="410"/>
      <c r="AS47" s="410"/>
      <c r="AT47" s="410"/>
      <c r="AU47" s="410"/>
      <c r="AV47" s="410"/>
      <c r="AW47" s="410"/>
      <c r="AX47" s="410"/>
      <c r="AY47" s="410"/>
      <c r="AZ47" s="410"/>
      <c r="BA47" s="410"/>
      <c r="BB47" s="410"/>
      <c r="BC47" s="411"/>
      <c r="BD47" s="412"/>
      <c r="BE47" s="413"/>
      <c r="BN47" s="414" t="inlineStr">
        <is>
          <t>右栏可替换固定项；留空沿用模板。</t>
        </is>
      </c>
      <c r="BO47" s="415"/>
      <c r="BP47" s="415"/>
      <c r="BQ47" s="415"/>
      <c r="BR47" s="415"/>
      <c r="BS47" s="415"/>
      <c r="BT47" s="415"/>
      <c r="BU47" s="415"/>
      <c r="BV47" s="415"/>
      <c r="BW47" s="415"/>
      <c r="BX47" s="415"/>
      <c r="BY47" s="415"/>
      <c r="BZ47" s="415"/>
      <c r="CA47" s="415"/>
      <c r="CB47" s="415"/>
      <c r="CC47" s="415"/>
      <c r="CD47" s="415"/>
      <c r="CE47" s="415"/>
      <c r="CF47" s="415"/>
      <c r="CG47" s="415"/>
      <c r="CH47" s="415"/>
      <c r="CI47" s="415"/>
      <c r="CJ47" s="415"/>
      <c r="CK47" s="415"/>
      <c r="CL47" s="415"/>
      <c r="CM47" s="415"/>
      <c r="CN47" s="415"/>
      <c r="CO47" s="415"/>
      <c r="CP47" s="415"/>
      <c r="CQ47" s="416"/>
      <c r="CY47" s="220"/>
      <c r="CZ47" s="417" t="str">
        <f>IFERROR(IF(INDEX(附表!$B$84:$G$88,MATCH($DF$46,附表!$A$84:$A$88,0),1)=0,"",INDEX(附表!$B$84:$G$88,MATCH($DF$46,附表!$A$84:$A$88,0),1)),"")</f>
        <v> </v>
      </c>
      <c r="DA47" s="418"/>
      <c r="DB47" s="418"/>
      <c r="DC47" s="418"/>
      <c r="DD47" s="418"/>
      <c r="DE47" s="418"/>
      <c r="DF47" s="418"/>
      <c r="DG47" s="418"/>
      <c r="DH47" s="418"/>
      <c r="DI47" s="418"/>
      <c r="DJ47" s="418"/>
      <c r="DK47" s="418"/>
      <c r="DL47" s="418"/>
      <c r="DM47" s="418"/>
      <c r="DN47" s="418"/>
      <c r="DO47" s="418"/>
      <c r="DP47" s="418"/>
      <c r="DQ47" s="418"/>
      <c r="DR47" s="419"/>
      <c r="DS47" s="77"/>
    </row>
    <row r="48" customHeight="1" spans="1:156">
      <c r="A48" s="92"/>
      <c r="B48" s="420" t="str">
        <f>IF(附表!$I$12,IF(附表!A20=0,"",附表!A20),"")</f>
        <v>任选10个本职技能，分配350</v>
      </c>
      <c r="C48" s="421"/>
      <c r="D48" s="421"/>
      <c r="E48" s="421"/>
      <c r="F48" s="421"/>
      <c r="G48" s="421"/>
      <c r="H48" s="421"/>
      <c r="I48" s="421"/>
      <c r="J48" s="421"/>
      <c r="K48" s="421"/>
      <c r="L48" s="421"/>
      <c r="M48" s="421"/>
      <c r="N48" s="421"/>
      <c r="O48" s="421"/>
      <c r="P48" s="422" t="str">
        <f>IF(职业选项!$T$3&gt;0,"下拉选"&amp;职业选项!$T$3&amp;"·已选"&amp;职业选项!$T$4,"无任选项")</f>
        <v>无任选项</v>
      </c>
      <c r="Q48" s="422"/>
      <c r="R48" s="422"/>
      <c r="S48" s="422"/>
      <c r="T48" s="422"/>
      <c r="U48" s="422"/>
      <c r="V48" s="422"/>
      <c r="W48" s="422"/>
      <c r="X48" s="422"/>
      <c r="Y48" s="422"/>
      <c r="Z48" s="423"/>
      <c r="AA48" s="424" t="s">
        <v>124</v>
      </c>
      <c r="AB48" s="425"/>
      <c r="AC48" s="425"/>
      <c r="AD48" s="425"/>
      <c r="AE48" s="425"/>
      <c r="AF48" s="425"/>
      <c r="AG48" s="425"/>
      <c r="AH48" s="426" t="str">
        <f>附表!C16</f>
        <v>≤4</v>
      </c>
      <c r="AI48" s="427"/>
      <c r="AJ48" s="427"/>
      <c r="AK48" s="428" t="str">
        <f>IF(附表!AN15=0,"","装备：")</f>
        <v/>
      </c>
      <c r="AL48" s="428"/>
      <c r="AM48" s="428"/>
      <c r="AN48" s="428"/>
      <c r="AO48" s="428"/>
      <c r="AP48" s="428"/>
      <c r="AQ48" s="428"/>
      <c r="AR48" s="428"/>
      <c r="AS48" s="428"/>
      <c r="AT48" s="428"/>
      <c r="AU48" s="428"/>
      <c r="AV48" s="428"/>
      <c r="AW48" s="428"/>
      <c r="AX48" s="428"/>
      <c r="AY48" s="428"/>
      <c r="AZ48" s="428"/>
      <c r="BA48" s="428"/>
      <c r="BB48" s="428"/>
      <c r="BC48" s="429"/>
      <c r="BD48" s="412"/>
      <c r="BE48" s="413"/>
      <c r="BN48" s="430" t="s">
        <v>125</v>
      </c>
      <c r="BO48" s="428"/>
      <c r="BP48" s="428"/>
      <c r="BQ48" s="428"/>
      <c r="BR48" s="428"/>
      <c r="BS48" s="428"/>
      <c r="BT48" s="428"/>
      <c r="BU48" s="428"/>
      <c r="BV48" s="428"/>
      <c r="BZ48" s="430" t="inlineStr">
        <is>
          <t>替换／任选</t>
        </is>
      </c>
      <c r="CQ48" s="431"/>
      <c r="CY48" s="220"/>
      <c r="CZ48" s="432" t="str">
        <f>IFERROR(IF(INDEX(附表!$B$84:$G$88,MATCH($DF$46,附表!$A$84:$A$88,0),2)=0,"",INDEX(附表!$B$84:$G$88,MATCH($DF$46,附表!$A$84:$A$88,0),2)),"")</f>
        <v> </v>
      </c>
      <c r="DR48" s="433"/>
      <c r="DS48" s="77"/>
    </row>
    <row r="49" customHeight="1" spans="1:123">
      <c r="A49" s="92"/>
      <c r="B49" s="420" t="str">
        <f>IF(附表!$I$12,IF(附表!A21=0,"",附表!A21),"")</f>
        <v>技能点，额外加在基础值上，</v>
      </c>
      <c r="C49" s="421"/>
      <c r="D49" s="421"/>
      <c r="E49" s="421"/>
      <c r="F49" s="421"/>
      <c r="G49" s="421"/>
      <c r="H49" s="421"/>
      <c r="I49" s="421"/>
      <c r="J49" s="421"/>
      <c r="K49" s="421"/>
      <c r="L49" s="421"/>
      <c r="M49" s="421"/>
      <c r="N49" s="421"/>
      <c r="O49" s="421"/>
      <c r="P49" s="491" t="inlineStr">
        <is>
          <t xml:space="preserve">☐</t>
        </is>
      </c>
      <c r="Q49" s="427"/>
      <c r="R49" s="492" t="str">
        <f>IF(AND(附表!$I$12,职业选项!A18&lt;&gt;""),职业选项!A18,"")</f>
        <v/>
      </c>
      <c r="S49" s="427"/>
      <c r="T49" s="427"/>
      <c r="U49" s="427"/>
      <c r="V49" s="427"/>
      <c r="W49" s="427"/>
      <c r="X49" s="427"/>
      <c r="Y49" s="427"/>
      <c r="Z49" s="434"/>
      <c r="AA49" s="435" t="str">
        <f>IF(附表!B16=0,"","推荐属性：")</f>
        <v/>
      </c>
      <c r="AB49" s="435"/>
      <c r="AC49" s="435"/>
      <c r="AD49" s="435"/>
      <c r="AE49" s="435"/>
      <c r="AF49" s="435"/>
      <c r="AG49" s="436"/>
      <c r="AH49" s="436"/>
      <c r="AI49" s="436"/>
      <c r="AJ49" s="437"/>
      <c r="AK49" s="438" t="str">
        <f>IF(附表!AN15=0,"",附表!AN15)</f>
        <v/>
      </c>
      <c r="AL49" s="438"/>
      <c r="AM49" s="438"/>
      <c r="AN49" s="438"/>
      <c r="AO49" s="438"/>
      <c r="AP49" s="438"/>
      <c r="AQ49" s="438"/>
      <c r="AR49" s="438"/>
      <c r="AS49" s="438"/>
      <c r="AT49" s="438"/>
      <c r="AU49" s="438"/>
      <c r="AV49" s="438"/>
      <c r="AW49" s="438"/>
      <c r="AX49" s="438"/>
      <c r="AY49" s="438"/>
      <c r="AZ49" s="438"/>
      <c r="BA49" s="438"/>
      <c r="BB49" s="438"/>
      <c r="BC49" s="439"/>
      <c r="BD49" s="412"/>
      <c r="BE49" s="413"/>
      <c r="BN49" s="430" t="str">
        <f ca="1">规则数据!A2</f>
        <v>自选技能1（+20）</v>
      </c>
      <c r="BO49" s="440"/>
      <c r="BP49" s="440"/>
      <c r="BQ49" s="440"/>
      <c r="BR49" s="440"/>
      <c r="BS49" s="440"/>
      <c r="BT49" s="440"/>
      <c r="BU49" s="440"/>
      <c r="BV49" s="440"/>
      <c r="BW49" s="440"/>
      <c r="BX49" s="440"/>
      <c r="BY49" s="440"/>
      <c r="BZ49" s="441"/>
      <c r="CA49" s="440"/>
      <c r="CB49" s="440"/>
      <c r="CC49" s="440"/>
      <c r="CD49" s="440"/>
      <c r="CE49" s="440"/>
      <c r="CF49" s="440"/>
      <c r="CG49" s="440"/>
      <c r="CH49" s="440"/>
      <c r="CI49" s="440"/>
      <c r="CJ49" s="440"/>
      <c r="CK49" s="440"/>
      <c r="CQ49" s="431"/>
      <c r="CY49" s="220"/>
      <c r="CZ49" s="432" t="str">
        <f>IFERROR(IF(INDEX(附表!$B$84:$G$88,MATCH($DF$46,附表!$A$84:$A$88,0),3)=0,"",INDEX(附表!$B$84:$G$88,MATCH($DF$46,附表!$A$84:$A$88,0),3)),"")</f>
        <v> </v>
      </c>
      <c r="DR49" s="433"/>
      <c r="DS49" s="77"/>
    </row>
    <row r="50" customHeight="1" spans="1:123">
      <c r="A50" s="92"/>
      <c r="B50" s="420" t="str">
        <f>IF(附表!$I$12,IF(附表!A22=0,"",附表!A22),"")</f>
        <v>最高至60%。重要关系自4个开</v>
      </c>
      <c r="C50" s="421"/>
      <c r="D50" s="421"/>
      <c r="E50" s="421"/>
      <c r="F50" s="421"/>
      <c r="G50" s="421"/>
      <c r="H50" s="421"/>
      <c r="I50" s="421"/>
      <c r="J50" s="421"/>
      <c r="K50" s="421"/>
      <c r="L50" s="421"/>
      <c r="M50" s="421"/>
      <c r="N50" s="421"/>
      <c r="O50" s="421"/>
      <c r="P50" s="493" t="inlineStr">
        <is>
          <t xml:space="preserve">☐</t>
        </is>
      </c>
      <c r="Q50" s="427"/>
      <c r="R50" s="494" t="str">
        <f>IF(AND(附表!$I$12,职业选项!A19&lt;&gt;""),职业选项!A19,"")</f>
        <v/>
      </c>
      <c r="S50" s="427"/>
      <c r="T50" s="427"/>
      <c r="U50" s="427"/>
      <c r="V50" s="427"/>
      <c r="W50" s="427"/>
      <c r="X50" s="427"/>
      <c r="Y50" s="427"/>
      <c r="Z50" s="434"/>
      <c r="AA50" s="442" t="str">
        <f>IF(附表!B16=0,"",附表!B16)</f>
        <v/>
      </c>
      <c r="AB50" s="443"/>
      <c r="AC50" s="443"/>
      <c r="AD50" s="443"/>
      <c r="AE50" s="443"/>
      <c r="AF50" s="443"/>
      <c r="AG50" s="443"/>
      <c r="AH50" s="443"/>
      <c r="AI50" s="443"/>
      <c r="AJ50" s="443"/>
      <c r="AK50" s="438"/>
      <c r="AL50" s="438"/>
      <c r="AM50" s="438"/>
      <c r="AN50" s="438"/>
      <c r="AO50" s="438"/>
      <c r="AP50" s="438"/>
      <c r="AQ50" s="438"/>
      <c r="AR50" s="438"/>
      <c r="AS50" s="438"/>
      <c r="AT50" s="438"/>
      <c r="AU50" s="438"/>
      <c r="AV50" s="438"/>
      <c r="AW50" s="438"/>
      <c r="AX50" s="438"/>
      <c r="AY50" s="438"/>
      <c r="AZ50" s="438"/>
      <c r="BA50" s="438"/>
      <c r="BB50" s="438"/>
      <c r="BC50" s="439"/>
      <c r="BD50" s="412"/>
      <c r="BE50" s="413"/>
      <c r="BN50" s="430" t="str">
        <f ca="1">规则数据!A3</f>
        <v>自选技能2（+20）</v>
      </c>
      <c r="BO50" s="440"/>
      <c r="BP50" s="440"/>
      <c r="BQ50" s="440"/>
      <c r="BR50" s="440"/>
      <c r="BS50" s="440"/>
      <c r="BT50" s="440"/>
      <c r="BU50" s="440"/>
      <c r="BV50" s="440"/>
      <c r="BW50" s="440"/>
      <c r="BX50" s="440"/>
      <c r="BY50" s="440"/>
      <c r="BZ50" s="441"/>
      <c r="CA50" s="440"/>
      <c r="CB50" s="440"/>
      <c r="CC50" s="440"/>
      <c r="CD50" s="440"/>
      <c r="CE50" s="440"/>
      <c r="CF50" s="440"/>
      <c r="CG50" s="440"/>
      <c r="CH50" s="440"/>
      <c r="CI50" s="440"/>
      <c r="CJ50" s="440"/>
      <c r="CK50" s="440"/>
      <c r="CQ50" s="431"/>
      <c r="CY50" s="220"/>
      <c r="CZ50" s="432" t="str">
        <f>IFERROR(IF(INDEX(附表!$B$84:$G$88,MATCH($DF$46,附表!$A$84:$A$88,0),4)=0,"",INDEX(附表!$B$84:$G$88,MATCH($DF$46,附表!$A$84:$A$88,0),4)),"")</f>
        <v> </v>
      </c>
      <c r="DR50" s="433"/>
      <c r="DS50" s="77"/>
    </row>
    <row r="51" customHeight="1" spans="1:123">
      <c r="A51" s="92"/>
      <c r="B51" s="420" t="str">
        <f>IF(附表!$I$12,IF(附表!A23=0,"",附表!A23),"")</f>
        <v>始每少一个（最少1个），增</v>
      </c>
      <c r="C51" s="421"/>
      <c r="D51" s="421"/>
      <c r="E51" s="421"/>
      <c r="F51" s="421"/>
      <c r="G51" s="421"/>
      <c r="H51" s="421"/>
      <c r="I51" s="421"/>
      <c r="J51" s="421"/>
      <c r="K51" s="421"/>
      <c r="L51" s="421"/>
      <c r="M51" s="421"/>
      <c r="N51" s="421"/>
      <c r="O51" s="421"/>
      <c r="P51" s="495" t="inlineStr">
        <is>
          <t xml:space="preserve">☐</t>
        </is>
      </c>
      <c r="Q51" s="427"/>
      <c r="R51" s="496" t="str">
        <f>IF(AND(附表!$I$12,职业选项!A20&lt;&gt;""),职业选项!A20,"")</f>
        <v/>
      </c>
      <c r="S51" s="427"/>
      <c r="T51" s="427"/>
      <c r="U51" s="427"/>
      <c r="V51" s="427"/>
      <c r="W51" s="427"/>
      <c r="X51" s="427"/>
      <c r="Y51" s="427"/>
      <c r="Z51" s="434"/>
      <c r="AA51" s="444" t="str">
        <f>IF(附表!F20=0,"","建议额外技能：")</f>
        <v/>
      </c>
      <c r="AB51" s="445"/>
      <c r="AC51" s="445"/>
      <c r="AD51" s="445"/>
      <c r="AE51" s="445"/>
      <c r="AF51" s="445"/>
      <c r="AG51" s="445"/>
      <c r="AH51" s="445"/>
      <c r="AI51" s="445"/>
      <c r="AJ51" s="445"/>
      <c r="AK51" s="438"/>
      <c r="AL51" s="438"/>
      <c r="AM51" s="438"/>
      <c r="AN51" s="438"/>
      <c r="AO51" s="438"/>
      <c r="AP51" s="438"/>
      <c r="AQ51" s="438"/>
      <c r="AR51" s="438"/>
      <c r="AS51" s="438"/>
      <c r="AT51" s="438"/>
      <c r="AU51" s="438"/>
      <c r="AV51" s="438"/>
      <c r="AW51" s="438"/>
      <c r="AX51" s="438"/>
      <c r="AY51" s="438"/>
      <c r="AZ51" s="438"/>
      <c r="BA51" s="438"/>
      <c r="BB51" s="438"/>
      <c r="BC51" s="439"/>
      <c r="BD51" s="77"/>
      <c r="BN51" s="430" t="str">
        <f ca="1">规则数据!A4</f>
        <v>自选技能3（+20）</v>
      </c>
      <c r="BO51" s="440"/>
      <c r="BP51" s="440"/>
      <c r="BQ51" s="440"/>
      <c r="BR51" s="440"/>
      <c r="BS51" s="440"/>
      <c r="BT51" s="440"/>
      <c r="BU51" s="440"/>
      <c r="BV51" s="440"/>
      <c r="BW51" s="440"/>
      <c r="BX51" s="440"/>
      <c r="BY51" s="440"/>
      <c r="BZ51" s="441"/>
      <c r="CA51" s="440"/>
      <c r="CB51" s="440"/>
      <c r="CC51" s="440"/>
      <c r="CD51" s="440"/>
      <c r="CE51" s="440"/>
      <c r="CF51" s="440"/>
      <c r="CG51" s="440"/>
      <c r="CH51" s="440"/>
      <c r="CI51" s="440"/>
      <c r="CJ51" s="440"/>
      <c r="CK51" s="440"/>
      <c r="CQ51" s="431"/>
      <c r="CY51" s="220"/>
      <c r="CZ51" s="432" t="str">
        <f>IFERROR(IF(INDEX(附表!$B$84:$G$88,MATCH($DF$46,附表!$A$84:$A$88,0),5)=0,"",INDEX(附表!$B$84:$G$88,MATCH($DF$46,附表!$A$84:$A$88,0),5)),"")</f>
        <v> </v>
      </c>
      <c r="DR51" s="433"/>
      <c r="DS51" s="77"/>
    </row>
    <row r="52" customHeight="1" spans="1:123">
      <c r="A52" s="92"/>
      <c r="B52" s="420" t="str">
        <f>IF(附表!$I$12,IF(附表!A24=0,"",附表!A24),"")</f>
        <v>加50本职技能点。</v>
      </c>
      <c r="C52" s="421"/>
      <c r="D52" s="421"/>
      <c r="E52" s="421"/>
      <c r="F52" s="421"/>
      <c r="G52" s="421"/>
      <c r="H52" s="421"/>
      <c r="I52" s="421"/>
      <c r="J52" s="421"/>
      <c r="K52" s="421"/>
      <c r="L52" s="421"/>
      <c r="M52" s="421"/>
      <c r="N52" s="421"/>
      <c r="O52" s="421"/>
      <c r="P52" s="497" t="inlineStr">
        <is>
          <t xml:space="preserve">☐</t>
        </is>
      </c>
      <c r="Q52" s="427"/>
      <c r="R52" s="498" t="str">
        <f>IF(AND(附表!$I$12,职业选项!A21&lt;&gt;""),职业选项!A21,"")</f>
        <v/>
      </c>
      <c r="S52" s="427"/>
      <c r="T52" s="427"/>
      <c r="U52" s="427"/>
      <c r="V52" s="427"/>
      <c r="W52" s="427"/>
      <c r="X52" s="427"/>
      <c r="Y52" s="427"/>
      <c r="Z52" s="434"/>
      <c r="AA52" s="442" t="str">
        <f>IF(附表!F20=0,"",附表!F20)</f>
        <v/>
      </c>
      <c r="AB52" s="443"/>
      <c r="AC52" s="443"/>
      <c r="AD52" s="443"/>
      <c r="AE52" s="443"/>
      <c r="AF52" s="443"/>
      <c r="AG52" s="443"/>
      <c r="AH52" s="443"/>
      <c r="AI52" s="443"/>
      <c r="AJ52" s="443"/>
      <c r="AK52" s="438"/>
      <c r="AL52" s="438"/>
      <c r="AM52" s="438"/>
      <c r="AN52" s="438"/>
      <c r="AO52" s="438"/>
      <c r="AP52" s="438"/>
      <c r="AQ52" s="438"/>
      <c r="AR52" s="438"/>
      <c r="AS52" s="438"/>
      <c r="AT52" s="438"/>
      <c r="AU52" s="438"/>
      <c r="AV52" s="438"/>
      <c r="AW52" s="438"/>
      <c r="AX52" s="438"/>
      <c r="AY52" s="438"/>
      <c r="AZ52" s="438"/>
      <c r="BA52" s="438"/>
      <c r="BB52" s="438"/>
      <c r="BC52" s="439"/>
      <c r="BD52" s="77"/>
      <c r="BN52" s="430" t="str">
        <f ca="1">规则数据!A5</f>
        <v>自选技能4（+20）</v>
      </c>
      <c r="BO52" s="440"/>
      <c r="BP52" s="440"/>
      <c r="BQ52" s="440"/>
      <c r="BR52" s="440"/>
      <c r="BS52" s="440"/>
      <c r="BT52" s="440"/>
      <c r="BU52" s="440"/>
      <c r="BV52" s="440"/>
      <c r="BW52" s="440"/>
      <c r="BX52" s="440"/>
      <c r="BY52" s="440"/>
      <c r="BZ52" s="441"/>
      <c r="CA52" s="440"/>
      <c r="CB52" s="440"/>
      <c r="CC52" s="440"/>
      <c r="CD52" s="440"/>
      <c r="CE52" s="440"/>
      <c r="CF52" s="440"/>
      <c r="CG52" s="440"/>
      <c r="CH52" s="440"/>
      <c r="CI52" s="440"/>
      <c r="CJ52" s="440"/>
      <c r="CK52" s="440"/>
      <c r="CQ52" s="431"/>
      <c r="CY52" s="220"/>
      <c r="CZ52" s="446" t="str">
        <f>IFERROR(IF(INDEX(附表!$B$84:$G$88,MATCH($DF$46,附表!$A$84:$A$88,0),6)=0,"",INDEX(附表!$B$84:$G$88,MATCH($DF$46,附表!$A$84:$A$88,0),6)),"")</f>
        <v> </v>
      </c>
      <c r="DA52" s="447"/>
      <c r="DB52" s="447"/>
      <c r="DC52" s="447"/>
      <c r="DD52" s="447"/>
      <c r="DE52" s="447"/>
      <c r="DF52" s="447"/>
      <c r="DG52" s="447"/>
      <c r="DH52" s="447"/>
      <c r="DI52" s="447"/>
      <c r="DJ52" s="447"/>
      <c r="DK52" s="447"/>
      <c r="DL52" s="447"/>
      <c r="DM52" s="447"/>
      <c r="DN52" s="447"/>
      <c r="DO52" s="447"/>
      <c r="DP52" s="447"/>
      <c r="DQ52" s="447"/>
      <c r="DR52" s="448"/>
      <c r="DS52" s="77"/>
    </row>
    <row r="53" customHeight="1" spans="1:123">
      <c r="A53" s="92"/>
      <c r="B53" s="420" t="str">
        <f>IF(附表!$I$12,IF(附表!A25=0,"",附表!A25),"")</f>
        <v/>
      </c>
      <c r="C53" s="421"/>
      <c r="D53" s="421"/>
      <c r="E53" s="421"/>
      <c r="F53" s="421"/>
      <c r="G53" s="421"/>
      <c r="H53" s="421"/>
      <c r="I53" s="421"/>
      <c r="J53" s="421"/>
      <c r="K53" s="421"/>
      <c r="L53" s="421"/>
      <c r="M53" s="421"/>
      <c r="N53" s="421"/>
      <c r="O53" s="421"/>
      <c r="P53" s="499" t="inlineStr">
        <is>
          <t xml:space="preserve">☐</t>
        </is>
      </c>
      <c r="Q53" s="427"/>
      <c r="R53" s="500" t="str">
        <f>IF(AND(附表!$I$12,职业选项!A22&lt;&gt;""),职业选项!A22,"")</f>
        <v/>
      </c>
      <c r="S53" s="427"/>
      <c r="T53" s="427"/>
      <c r="U53" s="427"/>
      <c r="V53" s="427"/>
      <c r="W53" s="427"/>
      <c r="X53" s="427"/>
      <c r="Y53" s="427"/>
      <c r="Z53" s="434"/>
      <c r="AA53" s="442" t="str">
        <f>IF(附表!F21=0,"",附表!F21)</f>
        <v/>
      </c>
      <c r="AB53" s="443"/>
      <c r="AC53" s="443"/>
      <c r="AD53" s="443"/>
      <c r="AE53" s="443"/>
      <c r="AF53" s="443"/>
      <c r="AG53" s="443"/>
      <c r="AH53" s="443"/>
      <c r="AI53" s="443"/>
      <c r="AJ53" s="443"/>
      <c r="AK53" s="438"/>
      <c r="AL53" s="438"/>
      <c r="AM53" s="438"/>
      <c r="AN53" s="438"/>
      <c r="AO53" s="438"/>
      <c r="AP53" s="438"/>
      <c r="AQ53" s="438"/>
      <c r="AR53" s="438"/>
      <c r="AS53" s="438"/>
      <c r="AT53" s="438"/>
      <c r="AU53" s="438"/>
      <c r="AV53" s="438"/>
      <c r="AW53" s="438"/>
      <c r="AX53" s="438"/>
      <c r="AY53" s="438"/>
      <c r="AZ53" s="438"/>
      <c r="BA53" s="438"/>
      <c r="BB53" s="438"/>
      <c r="BC53" s="439"/>
      <c r="BD53" s="77"/>
      <c r="BN53" s="430" t="str">
        <f ca="1">规则数据!A6</f>
        <v>自选技能5（+20）</v>
      </c>
      <c r="BO53" s="440"/>
      <c r="BP53" s="440"/>
      <c r="BQ53" s="440"/>
      <c r="BR53" s="440"/>
      <c r="BS53" s="440"/>
      <c r="BT53" s="440"/>
      <c r="BU53" s="440"/>
      <c r="BV53" s="440"/>
      <c r="BW53" s="440"/>
      <c r="BX53" s="440"/>
      <c r="BY53" s="440"/>
      <c r="BZ53" s="441"/>
      <c r="CA53" s="440"/>
      <c r="CB53" s="440"/>
      <c r="CC53" s="440"/>
      <c r="CD53" s="440"/>
      <c r="CE53" s="440"/>
      <c r="CF53" s="440"/>
      <c r="CG53" s="440"/>
      <c r="CH53" s="440"/>
      <c r="CI53" s="440"/>
      <c r="CJ53" s="440"/>
      <c r="CK53" s="440"/>
      <c r="CQ53" s="431"/>
      <c r="CZ53" s="76"/>
      <c r="DA53" s="76"/>
      <c r="DB53" s="76"/>
      <c r="DC53" s="76"/>
      <c r="DD53" s="76"/>
      <c r="DE53" s="76"/>
      <c r="DF53" s="76"/>
      <c r="DG53" s="76"/>
      <c r="DH53" s="76"/>
      <c r="DI53" s="76"/>
      <c r="DJ53" s="76"/>
      <c r="DK53" s="76"/>
      <c r="DL53" s="76"/>
      <c r="DM53" s="76"/>
      <c r="DN53" s="76"/>
      <c r="DO53" s="76"/>
      <c r="DP53" s="76"/>
      <c r="DQ53" s="76"/>
      <c r="DR53" s="76"/>
    </row>
    <row r="54" customHeight="1" spans="1:123">
      <c r="A54" s="92"/>
      <c r="B54" s="420" t="str">
        <f>IF(附表!$I$12,IF(附表!A26=0,"",附表!A26),"")</f>
        <v/>
      </c>
      <c r="C54" s="421"/>
      <c r="D54" s="421"/>
      <c r="E54" s="421"/>
      <c r="F54" s="421"/>
      <c r="G54" s="421"/>
      <c r="H54" s="421"/>
      <c r="I54" s="421"/>
      <c r="J54" s="421"/>
      <c r="K54" s="421"/>
      <c r="L54" s="421"/>
      <c r="M54" s="421"/>
      <c r="N54" s="421"/>
      <c r="O54" s="421"/>
      <c r="P54" s="501" t="inlineStr">
        <is>
          <t xml:space="preserve">☐</t>
        </is>
      </c>
      <c r="Q54" s="427"/>
      <c r="R54" s="502" t="str">
        <f>IF(AND(附表!$I$12,职业选项!A23&lt;&gt;""),职业选项!A23,"")</f>
        <v/>
      </c>
      <c r="S54" s="427"/>
      <c r="T54" s="427"/>
      <c r="U54" s="427"/>
      <c r="V54" s="427"/>
      <c r="W54" s="427"/>
      <c r="X54" s="427"/>
      <c r="Y54" s="427"/>
      <c r="Z54" s="434"/>
      <c r="AA54" s="442" t="str">
        <f>IF(附表!F22=0,"",附表!F22)</f>
        <v/>
      </c>
      <c r="AB54" s="443"/>
      <c r="AC54" s="443"/>
      <c r="AD54" s="443"/>
      <c r="AE54" s="443"/>
      <c r="AF54" s="443"/>
      <c r="AG54" s="443"/>
      <c r="AH54" s="443"/>
      <c r="AI54" s="443"/>
      <c r="AJ54" s="443"/>
      <c r="AK54" s="438"/>
      <c r="AL54" s="438"/>
      <c r="AM54" s="438"/>
      <c r="AN54" s="438"/>
      <c r="AO54" s="438"/>
      <c r="AP54" s="438"/>
      <c r="AQ54" s="438"/>
      <c r="AR54" s="438"/>
      <c r="AS54" s="438"/>
      <c r="AT54" s="438"/>
      <c r="AU54" s="438"/>
      <c r="AV54" s="438"/>
      <c r="AW54" s="438"/>
      <c r="AX54" s="438"/>
      <c r="AY54" s="438"/>
      <c r="AZ54" s="438"/>
      <c r="BA54" s="438"/>
      <c r="BB54" s="438"/>
      <c r="BC54" s="439"/>
      <c r="BD54" s="77"/>
      <c r="BN54" s="430" t="str">
        <f ca="1">规则数据!A7</f>
        <v>自选技能6（+20）</v>
      </c>
      <c r="BO54" s="440"/>
      <c r="BP54" s="440"/>
      <c r="BQ54" s="440"/>
      <c r="BR54" s="440"/>
      <c r="BS54" s="440"/>
      <c r="BT54" s="440"/>
      <c r="BU54" s="440"/>
      <c r="BV54" s="440"/>
      <c r="BW54" s="440"/>
      <c r="BX54" s="440"/>
      <c r="BY54" s="440"/>
      <c r="BZ54" s="441"/>
      <c r="CA54" s="440"/>
      <c r="CB54" s="440"/>
      <c r="CC54" s="440"/>
      <c r="CD54" s="440"/>
      <c r="CE54" s="440"/>
      <c r="CF54" s="440"/>
      <c r="CG54" s="440"/>
      <c r="CH54" s="440"/>
      <c r="CI54" s="440"/>
      <c r="CJ54" s="440"/>
      <c r="CK54" s="440"/>
      <c r="CQ54" s="431"/>
      <c r="CZ54" s="430" t="s">
        <v>127</v>
      </c>
      <c r="DF54" s="441"/>
      <c r="DK54" s="430" t="s">
        <v>128</v>
      </c>
      <c r="DR54" s="441"/>
    </row>
    <row r="55" customHeight="1" spans="1:123">
      <c r="A55" s="92"/>
      <c r="B55" s="420" t="str">
        <f>IF(附表!$I$12,IF(附表!A27=0,"",附表!A27),"")</f>
        <v/>
      </c>
      <c r="C55" s="421"/>
      <c r="D55" s="421"/>
      <c r="E55" s="421"/>
      <c r="F55" s="421"/>
      <c r="G55" s="421"/>
      <c r="H55" s="421"/>
      <c r="I55" s="421"/>
      <c r="J55" s="421"/>
      <c r="K55" s="421"/>
      <c r="L55" s="421"/>
      <c r="M55" s="421"/>
      <c r="N55" s="421"/>
      <c r="O55" s="421"/>
      <c r="P55" s="503" t="inlineStr">
        <is>
          <t xml:space="preserve">☐</t>
        </is>
      </c>
      <c r="Q55" s="427"/>
      <c r="R55" s="504" t="str">
        <f>IF(AND(附表!$I$12,职业选项!A24&lt;&gt;""),职业选项!A24,"")</f>
        <v/>
      </c>
      <c r="S55" s="427"/>
      <c r="T55" s="427"/>
      <c r="U55" s="427"/>
      <c r="V55" s="427"/>
      <c r="W55" s="427"/>
      <c r="X55" s="427"/>
      <c r="Y55" s="427"/>
      <c r="Z55" s="434"/>
      <c r="AA55" s="442" t="str">
        <f>IF(附表!F23=0,"",附表!F23)</f>
        <v/>
      </c>
      <c r="AB55" s="443"/>
      <c r="AC55" s="443"/>
      <c r="AD55" s="443"/>
      <c r="AE55" s="443"/>
      <c r="AF55" s="443"/>
      <c r="AG55" s="443"/>
      <c r="AH55" s="443"/>
      <c r="AI55" s="443"/>
      <c r="AJ55" s="443"/>
      <c r="AK55" s="438"/>
      <c r="AL55" s="438"/>
      <c r="AM55" s="438"/>
      <c r="AN55" s="438"/>
      <c r="AO55" s="438"/>
      <c r="AP55" s="438"/>
      <c r="AQ55" s="438"/>
      <c r="AR55" s="438"/>
      <c r="AS55" s="438"/>
      <c r="AT55" s="438"/>
      <c r="AU55" s="438"/>
      <c r="AV55" s="438"/>
      <c r="AW55" s="438"/>
      <c r="AX55" s="438"/>
      <c r="AY55" s="438"/>
      <c r="AZ55" s="438"/>
      <c r="BA55" s="438"/>
      <c r="BB55" s="438"/>
      <c r="BC55" s="439"/>
      <c r="BD55" s="77"/>
      <c r="BN55" s="430" t="str">
        <f ca="1">规则数据!A8</f>
        <v>自选技能7（+20）</v>
      </c>
      <c r="BO55" s="440"/>
      <c r="BP55" s="440"/>
      <c r="BQ55" s="440"/>
      <c r="BR55" s="440"/>
      <c r="BS55" s="440"/>
      <c r="BT55" s="440"/>
      <c r="BU55" s="440"/>
      <c r="BV55" s="440"/>
      <c r="BW55" s="440"/>
      <c r="BX55" s="440"/>
      <c r="BY55" s="440"/>
      <c r="BZ55" s="441"/>
      <c r="CA55" s="440"/>
      <c r="CB55" s="440"/>
      <c r="CC55" s="440"/>
      <c r="CD55" s="440"/>
      <c r="CE55" s="440"/>
      <c r="CF55" s="440"/>
      <c r="CG55" s="440"/>
      <c r="CH55" s="440"/>
      <c r="CI55" s="440"/>
      <c r="CJ55" s="440"/>
      <c r="CK55" s="440"/>
      <c r="CQ55" s="431"/>
      <c r="CZ55" s="430" t="s">
        <v>129</v>
      </c>
      <c r="DF55" s="441"/>
      <c r="DK55" s="430" t="s">
        <v>130</v>
      </c>
      <c r="DR55" s="441"/>
    </row>
    <row r="56" customHeight="1" spans="1:123">
      <c r="A56" s="92"/>
      <c r="B56" s="420" t="str">
        <f>IF(附表!$I$12,IF(附表!A28=0,"",附表!A28),"")</f>
        <v/>
      </c>
      <c r="C56" s="421"/>
      <c r="D56" s="421"/>
      <c r="E56" s="421"/>
      <c r="F56" s="421"/>
      <c r="G56" s="421"/>
      <c r="H56" s="421"/>
      <c r="I56" s="421"/>
      <c r="J56" s="421"/>
      <c r="K56" s="421"/>
      <c r="L56" s="421"/>
      <c r="M56" s="421"/>
      <c r="N56" s="421"/>
      <c r="O56" s="421"/>
      <c r="P56" s="505" t="inlineStr">
        <is>
          <t xml:space="preserve">☐</t>
        </is>
      </c>
      <c r="Q56" s="427"/>
      <c r="R56" s="506" t="str">
        <f>IF(AND(附表!$I$12,职业选项!A25&lt;&gt;""),职业选项!A25,"")</f>
        <v/>
      </c>
      <c r="S56" s="427"/>
      <c r="T56" s="427"/>
      <c r="U56" s="427"/>
      <c r="V56" s="427"/>
      <c r="W56" s="427"/>
      <c r="X56" s="427"/>
      <c r="Y56" s="427"/>
      <c r="Z56" s="434"/>
      <c r="AJ56" s="220"/>
      <c r="AK56" s="438"/>
      <c r="AL56" s="438"/>
      <c r="AM56" s="438"/>
      <c r="AN56" s="438"/>
      <c r="AO56" s="438"/>
      <c r="AP56" s="438"/>
      <c r="AQ56" s="438"/>
      <c r="AR56" s="438"/>
      <c r="AS56" s="438"/>
      <c r="AT56" s="438"/>
      <c r="AU56" s="438"/>
      <c r="AV56" s="438"/>
      <c r="AW56" s="438"/>
      <c r="AX56" s="438"/>
      <c r="AY56" s="438"/>
      <c r="AZ56" s="438"/>
      <c r="BA56" s="438"/>
      <c r="BB56" s="438"/>
      <c r="BC56" s="439"/>
      <c r="BD56" s="77"/>
      <c r="BN56" s="430" t="str">
        <f ca="1">规则数据!A9</f>
        <v>自选技能8（+20）</v>
      </c>
      <c r="BO56" s="449"/>
      <c r="BP56" s="449"/>
      <c r="BQ56" s="449"/>
      <c r="BR56" s="449"/>
      <c r="BS56" s="449"/>
      <c r="BT56" s="449"/>
      <c r="BU56" s="449"/>
      <c r="BV56" s="449"/>
      <c r="BW56" s="449"/>
      <c r="BX56" s="449"/>
      <c r="BY56" s="449"/>
      <c r="BZ56" s="441"/>
      <c r="CA56" s="449"/>
      <c r="CB56" s="449"/>
      <c r="CC56" s="449"/>
      <c r="CD56" s="449"/>
      <c r="CE56" s="449"/>
      <c r="CF56" s="449"/>
      <c r="CG56" s="449"/>
      <c r="CH56" s="449"/>
      <c r="CI56" s="449"/>
      <c r="CJ56" s="449"/>
      <c r="CK56" s="449"/>
      <c r="CL56" s="450"/>
      <c r="CM56" s="450"/>
      <c r="CN56" s="450"/>
      <c r="CO56" s="450"/>
      <c r="CP56" s="450"/>
      <c r="CQ56" s="431"/>
      <c r="CZ56" s="414" t="str">
        <f ca="1">规则数据!S8</f>
        <v>固定效果已计入</v>
      </c>
    </row>
    <row r="57" customHeight="1" spans="1:123">
      <c r="A57" s="92"/>
      <c r="B57" s="420" t="str">
        <f>IF(附表!$I$12,IF(附表!A29=0,"",附表!A29),"")</f>
        <v/>
      </c>
      <c r="C57" s="421"/>
      <c r="D57" s="421"/>
      <c r="E57" s="421"/>
      <c r="F57" s="421"/>
      <c r="G57" s="421"/>
      <c r="H57" s="421"/>
      <c r="I57" s="421"/>
      <c r="J57" s="421"/>
      <c r="K57" s="421"/>
      <c r="L57" s="421"/>
      <c r="M57" s="421"/>
      <c r="N57" s="421"/>
      <c r="O57" s="421"/>
      <c r="P57" s="507" t="inlineStr">
        <is>
          <t xml:space="preserve">☐</t>
        </is>
      </c>
      <c r="Q57" s="427"/>
      <c r="R57" s="508" t="str">
        <f>IF(AND(附表!$I$12,职业选项!A26&lt;&gt;""),职业选项!A26,"")</f>
        <v/>
      </c>
      <c r="S57" s="427"/>
      <c r="T57" s="427"/>
      <c r="U57" s="427"/>
      <c r="V57" s="427"/>
      <c r="W57" s="427"/>
      <c r="X57" s="427"/>
      <c r="Y57" s="427"/>
      <c r="Z57" s="434"/>
      <c r="AJ57" s="220"/>
      <c r="AK57" s="438"/>
      <c r="AL57" s="438"/>
      <c r="AM57" s="438"/>
      <c r="AN57" s="438"/>
      <c r="AO57" s="438"/>
      <c r="AP57" s="438"/>
      <c r="AQ57" s="438"/>
      <c r="AR57" s="438"/>
      <c r="AS57" s="438"/>
      <c r="AT57" s="438"/>
      <c r="AU57" s="438"/>
      <c r="AV57" s="438"/>
      <c r="AW57" s="438"/>
      <c r="AX57" s="438"/>
      <c r="AY57" s="438"/>
      <c r="AZ57" s="438"/>
      <c r="BA57" s="438"/>
      <c r="BB57" s="438"/>
      <c r="BC57" s="439"/>
      <c r="BD57" s="77"/>
      <c r="BN57" s="414" t="str">
        <f ca="1">规则数据!S6</f>
        <v>0/8项；已加0/160点；待填细项／选择</v>
      </c>
      <c r="BO57" s="440"/>
      <c r="BP57" s="440"/>
      <c r="BQ57" s="440"/>
      <c r="BR57" s="440"/>
      <c r="BS57" s="440"/>
      <c r="BT57" s="440"/>
      <c r="BU57" s="440"/>
      <c r="BV57" s="440"/>
      <c r="BW57" s="440"/>
      <c r="BX57" s="440"/>
      <c r="BY57" s="440"/>
      <c r="BZ57" s="440"/>
      <c r="CA57" s="440"/>
      <c r="CB57" s="440"/>
      <c r="CC57" s="440"/>
      <c r="CD57" s="440"/>
      <c r="CE57" s="440"/>
      <c r="CF57" s="440"/>
      <c r="CG57" s="440"/>
      <c r="CH57" s="440"/>
      <c r="CI57" s="440"/>
      <c r="CJ57" s="440"/>
      <c r="CK57" s="440"/>
      <c r="CL57" s="440"/>
      <c r="CM57" s="440"/>
      <c r="CN57" s="440"/>
      <c r="CO57" s="440"/>
      <c r="CP57" s="440"/>
      <c r="CQ57" s="451"/>
      <c r="CZ57" s="430" t="s">
        <v>131</v>
      </c>
      <c r="DF57" s="441"/>
    </row>
    <row r="58" customHeight="1" spans="1:123">
      <c r="B58" s="420" t="str">
        <f>IF(附表!$I$12,IF(附表!A30=0,"",附表!A30),"")</f>
        <v/>
      </c>
      <c r="C58" s="421"/>
      <c r="D58" s="421"/>
      <c r="E58" s="421"/>
      <c r="F58" s="421"/>
      <c r="G58" s="421"/>
      <c r="H58" s="421"/>
      <c r="I58" s="421"/>
      <c r="J58" s="421"/>
      <c r="K58" s="421"/>
      <c r="L58" s="421"/>
      <c r="M58" s="421"/>
      <c r="N58" s="421"/>
      <c r="O58" s="421"/>
      <c r="P58" s="509" t="inlineStr">
        <is>
          <t xml:space="preserve">☐</t>
        </is>
      </c>
      <c r="Q58" s="427"/>
      <c r="R58" s="510" t="str">
        <f>IF(AND(附表!$I$12,职业选项!A27&lt;&gt;""),职业选项!A27,"")</f>
        <v/>
      </c>
      <c r="S58" s="427"/>
      <c r="T58" s="427"/>
      <c r="U58" s="427"/>
      <c r="V58" s="427"/>
      <c r="W58" s="427"/>
      <c r="X58" s="427"/>
      <c r="Y58" s="427"/>
      <c r="Z58" s="434"/>
      <c r="AJ58" s="220"/>
      <c r="AK58" s="438"/>
      <c r="AL58" s="438"/>
      <c r="AM58" s="438"/>
      <c r="AN58" s="438"/>
      <c r="AO58" s="438"/>
      <c r="AP58" s="438"/>
      <c r="AQ58" s="438"/>
      <c r="AR58" s="438"/>
      <c r="AS58" s="438"/>
      <c r="AT58" s="438"/>
      <c r="AU58" s="438"/>
      <c r="AV58" s="438"/>
      <c r="AW58" s="438"/>
      <c r="AX58" s="438"/>
      <c r="AY58" s="438"/>
      <c r="AZ58" s="438"/>
      <c r="BA58" s="438"/>
      <c r="BB58" s="438"/>
      <c r="BC58" s="439"/>
      <c r="BD58" s="79"/>
      <c r="BE58" s="76"/>
      <c r="BF58" s="76"/>
      <c r="BG58" s="76"/>
      <c r="BH58" s="76"/>
      <c r="BI58" s="76"/>
      <c r="BJ58" s="76"/>
      <c r="BK58" s="76"/>
      <c r="BL58" s="76"/>
      <c r="BM58" s="76"/>
      <c r="BN58" s="76"/>
      <c r="BO58" s="76"/>
      <c r="BP58" s="76"/>
      <c r="BQ58" s="76"/>
      <c r="BR58" s="76"/>
      <c r="BS58" s="76"/>
      <c r="BT58" s="76"/>
      <c r="CZ58" s="430" t="s">
        <v>132</v>
      </c>
      <c r="DF58" s="441"/>
    </row>
    <row r="59" customHeight="1" spans="1:123">
      <c r="B59" s="420" t="str">
        <f>IF(附表!$I$12,IF(附表!A31=0,"",附表!A31),"")</f>
        <v/>
      </c>
      <c r="C59" s="421"/>
      <c r="D59" s="421"/>
      <c r="E59" s="421"/>
      <c r="F59" s="421"/>
      <c r="G59" s="421"/>
      <c r="H59" s="421"/>
      <c r="I59" s="421"/>
      <c r="J59" s="421"/>
      <c r="K59" s="421"/>
      <c r="L59" s="421"/>
      <c r="M59" s="421"/>
      <c r="N59" s="421"/>
      <c r="O59" s="421"/>
      <c r="P59" s="511" t="inlineStr">
        <is>
          <t xml:space="preserve">☐</t>
        </is>
      </c>
      <c r="Q59" s="427"/>
      <c r="R59" s="512" t="str">
        <f>IF(AND(附表!$I$12,职业选项!A28&lt;&gt;""),职业选项!A28,"")</f>
        <v/>
      </c>
      <c r="S59" s="427"/>
      <c r="T59" s="427"/>
      <c r="U59" s="427"/>
      <c r="V59" s="427"/>
      <c r="W59" s="427"/>
      <c r="X59" s="427"/>
      <c r="Y59" s="427"/>
      <c r="Z59" s="434"/>
      <c r="AJ59" s="220"/>
      <c r="AK59" s="438"/>
      <c r="AL59" s="438"/>
      <c r="AM59" s="438"/>
      <c r="AN59" s="438"/>
      <c r="AO59" s="438"/>
      <c r="AP59" s="438"/>
      <c r="AQ59" s="438"/>
      <c r="AR59" s="438"/>
      <c r="AS59" s="438"/>
      <c r="AT59" s="438"/>
      <c r="AU59" s="438"/>
      <c r="AV59" s="438"/>
      <c r="AW59" s="438"/>
      <c r="AX59" s="438"/>
      <c r="AY59" s="438"/>
      <c r="AZ59" s="438"/>
      <c r="BA59" s="438"/>
      <c r="BB59" s="438"/>
      <c r="BC59" s="439"/>
      <c r="BD59" s="77"/>
      <c r="CZ59" s="430" t="s">
        <v>133</v>
      </c>
      <c r="DF59" s="441"/>
    </row>
    <row r="60" customHeight="1" spans="1:123">
      <c r="B60" s="420" t="str">
        <f>IF(附表!$I$12,IF(附表!A32=0,"",附表!A32),"")</f>
        <v/>
      </c>
      <c r="C60" s="421"/>
      <c r="D60" s="421"/>
      <c r="E60" s="421"/>
      <c r="F60" s="421"/>
      <c r="G60" s="421"/>
      <c r="H60" s="421"/>
      <c r="I60" s="421"/>
      <c r="J60" s="421"/>
      <c r="K60" s="421"/>
      <c r="L60" s="421"/>
      <c r="M60" s="421"/>
      <c r="N60" s="421"/>
      <c r="O60" s="421"/>
      <c r="AA60" s="452" t="str">
        <f ca="1">职业选项!$T$8</f>
        <v>任选已完成
细项直接填上方</v>
      </c>
      <c r="AB60" s="453"/>
      <c r="AC60" s="453"/>
      <c r="AD60" s="453"/>
      <c r="AE60" s="453"/>
      <c r="AF60" s="453"/>
      <c r="AG60" s="453"/>
      <c r="AH60" s="453"/>
      <c r="AI60" s="453"/>
      <c r="AJ60" s="454"/>
      <c r="AK60" s="438"/>
      <c r="AL60" s="438"/>
      <c r="AM60" s="438"/>
      <c r="AN60" s="438"/>
      <c r="AO60" s="438"/>
      <c r="AP60" s="438"/>
      <c r="AQ60" s="438"/>
      <c r="AR60" s="438"/>
      <c r="AS60" s="438"/>
      <c r="AT60" s="438"/>
      <c r="AU60" s="438"/>
      <c r="AV60" s="438"/>
      <c r="AW60" s="438"/>
      <c r="AX60" s="438"/>
      <c r="AY60" s="438"/>
      <c r="AZ60" s="438"/>
      <c r="BA60" s="438"/>
      <c r="BB60" s="438"/>
      <c r="BC60" s="439"/>
      <c r="BD60" s="77"/>
      <c r="CZ60" s="430" t="s">
        <v>134</v>
      </c>
      <c r="DF60" s="441"/>
    </row>
    <row r="61" customHeight="1" spans="1:123">
      <c r="B61" s="420" t="str">
        <f>IF(附表!$I$12,IF(附表!A33=0,"",附表!A33),"")</f>
        <v/>
      </c>
      <c r="C61" s="421"/>
      <c r="D61" s="421"/>
      <c r="E61" s="421"/>
      <c r="F61" s="421"/>
      <c r="G61" s="421"/>
      <c r="H61" s="421"/>
      <c r="I61" s="421"/>
      <c r="J61" s="421"/>
      <c r="K61" s="421"/>
      <c r="L61" s="421"/>
      <c r="M61" s="421"/>
      <c r="N61" s="421"/>
      <c r="O61" s="421"/>
      <c r="P61" s="421" t="str">
        <f ca="1">IF(COUNTIF(职业选项!$E$2:$E$28,"skill")&gt;0,"固定二选一：","")</f>
        <v/>
      </c>
      <c r="AA61" s="455"/>
      <c r="AB61" s="456"/>
      <c r="AC61" s="456"/>
      <c r="AD61" s="456"/>
      <c r="AE61" s="456"/>
      <c r="AF61" s="456"/>
      <c r="AG61" s="456"/>
      <c r="AH61" s="456"/>
      <c r="AI61" s="456"/>
      <c r="AJ61" s="457"/>
      <c r="AK61" s="438"/>
      <c r="AL61" s="438"/>
      <c r="AM61" s="438"/>
      <c r="AN61" s="438"/>
      <c r="AO61" s="438"/>
      <c r="AP61" s="438"/>
      <c r="AQ61" s="438"/>
      <c r="AR61" s="438"/>
      <c r="AS61" s="438"/>
      <c r="AT61" s="438"/>
      <c r="AU61" s="438"/>
      <c r="AV61" s="438"/>
      <c r="AW61" s="438"/>
      <c r="AX61" s="438"/>
      <c r="AY61" s="438"/>
      <c r="AZ61" s="438"/>
      <c r="BA61" s="438"/>
      <c r="BB61" s="438"/>
      <c r="BC61" s="439"/>
      <c r="BD61" s="77"/>
      <c r="CZ61" s="430" t="s">
        <v>135</v>
      </c>
      <c r="DF61" s="441"/>
    </row>
    <row r="62" customHeight="1" spans="1:123">
      <c r="B62" s="420" t="str">
        <f>IF(附表!$I$12,IF(附表!A34=0,"",附表!A34),"")</f>
        <v/>
      </c>
      <c r="C62" s="421"/>
      <c r="D62" s="421"/>
      <c r="E62" s="421"/>
      <c r="F62" s="421"/>
      <c r="G62" s="421"/>
      <c r="H62" s="421"/>
      <c r="I62" s="421"/>
      <c r="J62" s="421"/>
      <c r="K62" s="421"/>
      <c r="L62" s="421"/>
      <c r="M62" s="421"/>
      <c r="N62" s="421"/>
      <c r="O62" s="421"/>
      <c r="P62" s="421"/>
      <c r="AA62" s="455"/>
      <c r="AB62" s="456"/>
      <c r="AC62" s="456"/>
      <c r="AD62" s="456"/>
      <c r="AE62" s="456"/>
      <c r="AF62" s="456"/>
      <c r="AG62" s="456"/>
      <c r="AH62" s="456"/>
      <c r="AI62" s="456"/>
      <c r="AJ62" s="457"/>
      <c r="AK62" s="438"/>
      <c r="AL62" s="438"/>
      <c r="AM62" s="438"/>
      <c r="AN62" s="438"/>
      <c r="AO62" s="438"/>
      <c r="AP62" s="438"/>
      <c r="AQ62" s="438"/>
      <c r="AR62" s="438"/>
      <c r="AS62" s="438"/>
      <c r="AT62" s="438"/>
      <c r="AU62" s="438"/>
      <c r="AV62" s="438"/>
      <c r="AW62" s="438"/>
      <c r="AX62" s="438"/>
      <c r="AY62" s="438"/>
      <c r="AZ62" s="438"/>
      <c r="BA62" s="438"/>
      <c r="BB62" s="438"/>
      <c r="BC62" s="439"/>
      <c r="BD62" s="77"/>
    </row>
    <row r="63" customHeight="1" spans="1:123">
      <c r="B63" s="458" t="str">
        <f>IF(附表!$I$12,IF(附表!A35=0,"",附表!A35),"")</f>
        <v/>
      </c>
      <c r="C63" s="459"/>
      <c r="D63" s="459"/>
      <c r="E63" s="459"/>
      <c r="F63" s="459"/>
      <c r="G63" s="459"/>
      <c r="H63" s="459"/>
      <c r="I63" s="459"/>
      <c r="J63" s="459"/>
      <c r="K63" s="459"/>
      <c r="L63" s="459"/>
      <c r="M63" s="459"/>
      <c r="N63" s="459"/>
      <c r="O63" s="459"/>
      <c r="P63" s="447"/>
      <c r="Q63" s="447"/>
      <c r="R63" s="447"/>
      <c r="S63" s="447"/>
      <c r="T63" s="447"/>
      <c r="U63" s="447"/>
      <c r="V63" s="447"/>
      <c r="W63" s="447"/>
      <c r="X63" s="447"/>
      <c r="Y63" s="447"/>
      <c r="Z63" s="447"/>
      <c r="AA63" s="460"/>
      <c r="AB63" s="461"/>
      <c r="AC63" s="461"/>
      <c r="AD63" s="461"/>
      <c r="AE63" s="461"/>
      <c r="AF63" s="461"/>
      <c r="AG63" s="461"/>
      <c r="AH63" s="461"/>
      <c r="AI63" s="461"/>
      <c r="AJ63" s="462"/>
      <c r="AK63" s="463"/>
      <c r="AL63" s="463"/>
      <c r="AM63" s="463"/>
      <c r="AN63" s="463"/>
      <c r="AO63" s="463"/>
      <c r="AP63" s="463"/>
      <c r="AQ63" s="463"/>
      <c r="AR63" s="463"/>
      <c r="AS63" s="463"/>
      <c r="AT63" s="463"/>
      <c r="AU63" s="463"/>
      <c r="AV63" s="463"/>
      <c r="AW63" s="463"/>
      <c r="AX63" s="463"/>
      <c r="AY63" s="463"/>
      <c r="AZ63" s="463"/>
      <c r="BA63" s="463"/>
      <c r="BB63" s="463"/>
      <c r="BC63" s="464"/>
      <c r="BD63" s="77"/>
    </row>
    <row r="64" customHeight="1" spans="1:123">
      <c r="B64" s="76"/>
      <c r="C64" s="76"/>
      <c r="D64" s="76"/>
      <c r="E64" s="76"/>
      <c r="F64" s="76"/>
      <c r="G64" s="76"/>
      <c r="H64" s="76"/>
      <c r="I64" s="76"/>
      <c r="J64" s="76"/>
      <c r="K64" s="76"/>
      <c r="L64" s="76"/>
      <c r="M64" s="76"/>
      <c r="N64" s="76"/>
      <c r="O64" s="76"/>
      <c r="P64" s="76"/>
      <c r="Q64" s="76"/>
      <c r="R64" s="76"/>
      <c r="S64" s="76"/>
      <c r="T64" s="76"/>
      <c r="U64" s="76"/>
      <c r="V64" s="76"/>
      <c r="W64" s="76"/>
      <c r="X64" s="76"/>
      <c r="Y64" s="76"/>
      <c r="Z64" s="76"/>
      <c r="AA64" s="76"/>
      <c r="AB64" s="76"/>
      <c r="AC64" s="76"/>
      <c r="AD64" s="76"/>
      <c r="AE64" s="76"/>
      <c r="AF64" s="76"/>
      <c r="AG64" s="76"/>
      <c r="AH64" s="76"/>
      <c r="AI64" s="76"/>
      <c r="AJ64" s="76"/>
      <c r="AK64" s="76"/>
      <c r="AL64" s="76"/>
      <c r="AM64" s="76"/>
      <c r="AN64" s="76"/>
      <c r="AO64" s="76"/>
      <c r="AP64" s="76"/>
      <c r="AQ64" s="76"/>
      <c r="AR64" s="76"/>
      <c r="AS64" s="76"/>
      <c r="AT64" s="76"/>
      <c r="AU64" s="76"/>
      <c r="AV64" s="76"/>
      <c r="AW64" s="76"/>
      <c r="AX64" s="76"/>
      <c r="AY64" s="76"/>
      <c r="AZ64" s="76"/>
      <c r="BA64" s="76"/>
      <c r="BB64" s="76"/>
      <c r="BC64" s="76"/>
    </row>
    <row r="65">
      <c r="B65" s="551" t="inlineStr">
        <is>
          <t xml:space="preserve">模组经历备忘录</t>
        </is>
      </c>
      <c r="AB65" s="551" t="inlineStr">
        <is>
          <t xml:space="preserve">绿箱生成器</t>
        </is>
      </c>
      <c r="BI65" s="551" t="inlineStr">
        <is>
          <t xml:space="preserve">规则速查</t>
        </is>
      </c>
      <c r="BX65" s="551" t="inlineStr">
        <is>
          <t xml:space="preserve">更新记录</t>
        </is>
      </c>
    </row>
    <row r="71" customHeight="1" spans="29:29">
      <c r="AC71" s="465"/>
    </row>
    <row r="72" customHeight="1" spans="29:29">
      <c r="AC72" s="466"/>
    </row>
  </sheetData>
  <sheetProtection selectLockedCells="1" formatCells="0"/>
  <mergeCells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count="770">
    <mergeCell ref="AQ1:BG1"/>
    <mergeCell ref="B2:Z2"/>
    <mergeCell ref="AB2:AG2"/>
    <mergeCell ref="AH2:AJ2"/>
    <mergeCell ref="AK2:AM2"/>
    <mergeCell ref="AN2:AP2"/>
    <mergeCell ref="AQ2:BG2"/>
    <mergeCell ref="BX2:CO2"/>
    <mergeCell ref="CP2:CX2"/>
    <mergeCell ref="CZ2:EY2"/>
    <mergeCell ref="B3:D3"/>
    <mergeCell ref="E3:Z3"/>
    <mergeCell ref="AB3:AD3"/>
    <mergeCell ref="AE3:AG3"/>
    <mergeCell ref="AH3:AJ3"/>
    <mergeCell ref="AK3:AM3"/>
    <mergeCell ref="AN3:AP3"/>
    <mergeCell ref="AQ3:BG3"/>
    <mergeCell ref="BX3:CO3"/>
    <mergeCell ref="CP3:CX3"/>
    <mergeCell ref="B4:D4"/>
    <mergeCell ref="E4:Z4"/>
    <mergeCell ref="AB4:AD4"/>
    <mergeCell ref="AE4:AG4"/>
    <mergeCell ref="AH4:AJ4"/>
    <mergeCell ref="AK4:AM4"/>
    <mergeCell ref="AN4:AP4"/>
    <mergeCell ref="AQ4:BG4"/>
    <mergeCell ref="BX4:CO4"/>
    <mergeCell ref="CP4:CX4"/>
    <mergeCell ref="B5:D5"/>
    <mergeCell ref="E5:M5"/>
    <mergeCell ref="N5:P5"/>
    <mergeCell ref="Q5:Z5"/>
    <mergeCell ref="AB5:AD5"/>
    <mergeCell ref="AE5:AG5"/>
    <mergeCell ref="AH5:AJ5"/>
    <mergeCell ref="AK5:AM5"/>
    <mergeCell ref="AN5:AP5"/>
    <mergeCell ref="AQ5:BG5"/>
    <mergeCell ref="BX5:CO5"/>
    <mergeCell ref="CP5:CX5"/>
    <mergeCell ref="B6:D6"/>
    <mergeCell ref="E6:M6"/>
    <mergeCell ref="N6:P6"/>
    <mergeCell ref="Q6:Z6"/>
    <mergeCell ref="AB6:AD6"/>
    <mergeCell ref="AE6:AG6"/>
    <mergeCell ref="AH6:AJ6"/>
    <mergeCell ref="AK6:AM6"/>
    <mergeCell ref="AN6:AP6"/>
    <mergeCell ref="AQ6:BG6"/>
    <mergeCell ref="BX6:CO6"/>
    <mergeCell ref="CP6:CX6"/>
    <mergeCell ref="B7:D7"/>
    <mergeCell ref="E7:Z7"/>
    <mergeCell ref="AB7:AD7"/>
    <mergeCell ref="AE7:AG7"/>
    <mergeCell ref="AH7:AJ7"/>
    <mergeCell ref="AK7:AM7"/>
    <mergeCell ref="AN7:AP7"/>
    <mergeCell ref="AQ7:BG7"/>
    <mergeCell ref="BX7:CO7"/>
    <mergeCell ref="CP7:CX7"/>
    <mergeCell ref="B8:D8"/>
    <mergeCell ref="E8:Z8"/>
    <mergeCell ref="AB8:AD8"/>
    <mergeCell ref="AE8:AG8"/>
    <mergeCell ref="AH8:AJ8"/>
    <mergeCell ref="AK8:AM8"/>
    <mergeCell ref="AN8:AP8"/>
    <mergeCell ref="AQ8:BG8"/>
    <mergeCell ref="BX8:CO8"/>
    <mergeCell ref="CP8:CX8"/>
    <mergeCell ref="R9:W9"/>
    <mergeCell ref="X9:AA9"/>
    <mergeCell ref="AB9:AH9"/>
    <mergeCell ref="AI9:AK9"/>
    <mergeCell ref="AL9:AS9"/>
    <mergeCell ref="AT9:AV9"/>
    <mergeCell ref="AW9:BC9"/>
    <mergeCell ref="BD9:BG9"/>
    <mergeCell ref="BX9:CO9"/>
    <mergeCell ref="CP9:CX9"/>
    <mergeCell ref="B10:G10"/>
    <mergeCell ref="N10:U10"/>
    <mergeCell ref="AB10:AG10"/>
    <mergeCell ref="AN10:AT10"/>
    <mergeCell ref="AX10:BC10"/>
    <mergeCell ref="BD10:BG10"/>
    <mergeCell ref="BX10:CO10"/>
    <mergeCell ref="CP10:CX10"/>
    <mergeCell ref="B11:G11"/>
    <mergeCell ref="N11:U11"/>
    <mergeCell ref="AB11:AG11"/>
    <mergeCell ref="AN11:AT11"/>
    <mergeCell ref="AX11:BC11"/>
    <mergeCell ref="BD11:BG11"/>
    <mergeCell ref="BX11:CO11"/>
    <mergeCell ref="CP11:CX11"/>
    <mergeCell ref="B13:O13"/>
    <mergeCell ref="P13:R13"/>
    <mergeCell ref="S13:U13"/>
    <mergeCell ref="V13:X13"/>
    <mergeCell ref="Y13:AA13"/>
    <mergeCell ref="AB13:AD13"/>
    <mergeCell ref="AE13:AR13"/>
    <mergeCell ref="AS13:AU13"/>
    <mergeCell ref="AV13:AX13"/>
    <mergeCell ref="AY13:BA13"/>
    <mergeCell ref="BB13:BD13"/>
    <mergeCell ref="BE13:BG13"/>
    <mergeCell ref="CZ13:DL13"/>
    <mergeCell ref="DM13:DP13"/>
    <mergeCell ref="DQ13:DV13"/>
    <mergeCell ref="DW13:DY13"/>
    <mergeCell ref="DZ13:EC13"/>
    <mergeCell ref="ED13:EG13"/>
    <mergeCell ref="EI13:EP13"/>
    <mergeCell ref="B14:C14"/>
    <mergeCell ref="D14:O14"/>
    <mergeCell ref="P14:R14"/>
    <mergeCell ref="S14:U14"/>
    <mergeCell ref="V14:X14"/>
    <mergeCell ref="Y14:AA14"/>
    <mergeCell ref="AB14:AD14"/>
    <mergeCell ref="AE14:AF14"/>
    <mergeCell ref="AG14:AR14"/>
    <mergeCell ref="AS14:AU14"/>
    <mergeCell ref="AV14:AX14"/>
    <mergeCell ref="AY14:BA14"/>
    <mergeCell ref="BB14:BD14"/>
    <mergeCell ref="BE14:BG14"/>
    <mergeCell ref="CZ14:DL14"/>
    <mergeCell ref="DM14:DP14"/>
    <mergeCell ref="DQ14:DV14"/>
    <mergeCell ref="DW14:DY14"/>
    <mergeCell ref="DZ14:EC14"/>
    <mergeCell ref="ED14:EG14"/>
    <mergeCell ref="EI14:EP14"/>
    <mergeCell ref="B15:C15"/>
    <mergeCell ref="D15:O15"/>
    <mergeCell ref="P15:R15"/>
    <mergeCell ref="S15:U15"/>
    <mergeCell ref="V15:X15"/>
    <mergeCell ref="Y15:AA15"/>
    <mergeCell ref="AB15:AD15"/>
    <mergeCell ref="AE15:AF15"/>
    <mergeCell ref="AG15:AR15"/>
    <mergeCell ref="AS15:AU15"/>
    <mergeCell ref="AV15:AX15"/>
    <mergeCell ref="AY15:BA15"/>
    <mergeCell ref="BB15:BD15"/>
    <mergeCell ref="BE15:BG15"/>
    <mergeCell ref="CZ15:DL15"/>
    <mergeCell ref="DM15:DP15"/>
    <mergeCell ref="DQ15:DV15"/>
    <mergeCell ref="DW15:DY15"/>
    <mergeCell ref="DZ15:EC15"/>
    <mergeCell ref="ED15:EG15"/>
    <mergeCell ref="EI15:EY15"/>
    <mergeCell ref="B16:C16"/>
    <mergeCell ref="D16:O16"/>
    <mergeCell ref="P16:R16"/>
    <mergeCell ref="S16:U16"/>
    <mergeCell ref="V16:X16"/>
    <mergeCell ref="Y16:AA16"/>
    <mergeCell ref="AB16:AD16"/>
    <mergeCell ref="AE16:AF16"/>
    <mergeCell ref="AG16:AR16"/>
    <mergeCell ref="AS16:AU16"/>
    <mergeCell ref="AV16:AX16"/>
    <mergeCell ref="AY16:BA16"/>
    <mergeCell ref="BB16:BD16"/>
    <mergeCell ref="BE16:BG16"/>
    <mergeCell ref="CZ16:DL16"/>
    <mergeCell ref="DM16:DP16"/>
    <mergeCell ref="DQ16:DV16"/>
    <mergeCell ref="DW16:DY16"/>
    <mergeCell ref="DZ16:EC16"/>
    <mergeCell ref="ED16:EG16"/>
    <mergeCell ref="EI16:EY16"/>
    <mergeCell ref="B17:C17"/>
    <mergeCell ref="D17:O17"/>
    <mergeCell ref="P17:R17"/>
    <mergeCell ref="S17:U17"/>
    <mergeCell ref="V17:X17"/>
    <mergeCell ref="Y17:AA17"/>
    <mergeCell ref="AB17:AD17"/>
    <mergeCell ref="AE17:AF17"/>
    <mergeCell ref="AG17:AL17"/>
    <mergeCell ref="AM17:AR17"/>
    <mergeCell ref="AS17:AU17"/>
    <mergeCell ref="AV17:AX17"/>
    <mergeCell ref="AY17:BA17"/>
    <mergeCell ref="BB17:BD17"/>
    <mergeCell ref="BE17:BG17"/>
    <mergeCell ref="CZ17:DL17"/>
    <mergeCell ref="DM17:DP17"/>
    <mergeCell ref="DQ17:DV17"/>
    <mergeCell ref="DW17:DY17"/>
    <mergeCell ref="DZ17:EC17"/>
    <mergeCell ref="ED17:EG17"/>
    <mergeCell ref="B18:C18"/>
    <mergeCell ref="D18:I18"/>
    <mergeCell ref="J18:O18"/>
    <mergeCell ref="P18:R18"/>
    <mergeCell ref="S18:U18"/>
    <mergeCell ref="V18:X18"/>
    <mergeCell ref="Y18:AA18"/>
    <mergeCell ref="AB18:AD18"/>
    <mergeCell ref="AE18:AF18"/>
    <mergeCell ref="AG18:AL18"/>
    <mergeCell ref="AM18:AR18"/>
    <mergeCell ref="AS18:AU18"/>
    <mergeCell ref="AV18:AX18"/>
    <mergeCell ref="AY18:BA18"/>
    <mergeCell ref="BB18:BD18"/>
    <mergeCell ref="BE18:BG18"/>
    <mergeCell ref="CZ18:DL18"/>
    <mergeCell ref="DM18:DP18"/>
    <mergeCell ref="DQ18:DV18"/>
    <mergeCell ref="DW18:DY18"/>
    <mergeCell ref="DZ18:EC18"/>
    <mergeCell ref="ED18:EG18"/>
    <mergeCell ref="B19:C19"/>
    <mergeCell ref="D19:I19"/>
    <mergeCell ref="J19:O19"/>
    <mergeCell ref="P19:R19"/>
    <mergeCell ref="S19:U19"/>
    <mergeCell ref="V19:X19"/>
    <mergeCell ref="Y19:AA19"/>
    <mergeCell ref="AB19:AD19"/>
    <mergeCell ref="AE19:AF19"/>
    <mergeCell ref="AG19:AL19"/>
    <mergeCell ref="AM19:AR19"/>
    <mergeCell ref="AS19:AU19"/>
    <mergeCell ref="AV19:AX19"/>
    <mergeCell ref="AY19:BA19"/>
    <mergeCell ref="BB19:BD19"/>
    <mergeCell ref="BE19:BG19"/>
    <mergeCell ref="CZ19:DL19"/>
    <mergeCell ref="DM19:DP19"/>
    <mergeCell ref="DQ19:DV19"/>
    <mergeCell ref="DW19:DY19"/>
    <mergeCell ref="DZ19:EC19"/>
    <mergeCell ref="ED19:EG19"/>
    <mergeCell ref="B20:C20"/>
    <mergeCell ref="D20:I20"/>
    <mergeCell ref="J20:O20"/>
    <mergeCell ref="P20:R20"/>
    <mergeCell ref="S20:U20"/>
    <mergeCell ref="V20:X20"/>
    <mergeCell ref="Y20:AA20"/>
    <mergeCell ref="AB20:AD20"/>
    <mergeCell ref="AE20:AF20"/>
    <mergeCell ref="AG20:AR20"/>
    <mergeCell ref="AS20:AU20"/>
    <mergeCell ref="AV20:AX20"/>
    <mergeCell ref="AY20:BA20"/>
    <mergeCell ref="BB20:BD20"/>
    <mergeCell ref="BE20:BG20"/>
    <mergeCell ref="CZ20:DL20"/>
    <mergeCell ref="DM20:DP20"/>
    <mergeCell ref="DQ20:DV20"/>
    <mergeCell ref="DW20:DY20"/>
    <mergeCell ref="DZ20:EC20"/>
    <mergeCell ref="ED20:EG20"/>
    <mergeCell ref="B21:C21"/>
    <mergeCell ref="D21:O21"/>
    <mergeCell ref="P21:R21"/>
    <mergeCell ref="S21:U21"/>
    <mergeCell ref="V21:X21"/>
    <mergeCell ref="Y21:AA21"/>
    <mergeCell ref="AB21:AD21"/>
    <mergeCell ref="AE21:AF21"/>
    <mergeCell ref="AG21:AR21"/>
    <mergeCell ref="AS21:AU21"/>
    <mergeCell ref="AV21:AX21"/>
    <mergeCell ref="AY21:BA21"/>
    <mergeCell ref="BB21:BD21"/>
    <mergeCell ref="BE21:BG21"/>
    <mergeCell ref="B22:C22"/>
    <mergeCell ref="D22:O22"/>
    <mergeCell ref="P22:R22"/>
    <mergeCell ref="S22:U22"/>
    <mergeCell ref="V22:X22"/>
    <mergeCell ref="Y22:AA22"/>
    <mergeCell ref="AB22:AD22"/>
    <mergeCell ref="AE22:AF22"/>
    <mergeCell ref="AG22:AR22"/>
    <mergeCell ref="AS22:AU22"/>
    <mergeCell ref="AV22:AX22"/>
    <mergeCell ref="AY22:BA22"/>
    <mergeCell ref="BB22:BD22"/>
    <mergeCell ref="BE22:BG22"/>
    <mergeCell ref="DT22:DW22"/>
    <mergeCell ref="DX22:DY22"/>
    <mergeCell ref="DZ22:EA22"/>
    <mergeCell ref="EC22:EE22"/>
    <mergeCell ref="EF22:EG22"/>
    <mergeCell ref="EI22:EY22"/>
    <mergeCell ref="B23:C23"/>
    <mergeCell ref="D23:O23"/>
    <mergeCell ref="P23:R23"/>
    <mergeCell ref="S23:U23"/>
    <mergeCell ref="V23:X23"/>
    <mergeCell ref="Y23:AA23"/>
    <mergeCell ref="AB23:AD23"/>
    <mergeCell ref="AE23:AF23"/>
    <mergeCell ref="AG23:AR23"/>
    <mergeCell ref="AS23:AU23"/>
    <mergeCell ref="AV23:AX23"/>
    <mergeCell ref="AY23:BA23"/>
    <mergeCell ref="BB23:BD23"/>
    <mergeCell ref="BE23:BG23"/>
    <mergeCell ref="ED23:EE23"/>
    <mergeCell ref="EF23:EG23"/>
    <mergeCell ref="B24:C24"/>
    <mergeCell ref="D24:O24"/>
    <mergeCell ref="P24:R24"/>
    <mergeCell ref="S24:U24"/>
    <mergeCell ref="V24:X24"/>
    <mergeCell ref="Y24:AA24"/>
    <mergeCell ref="AB24:AD24"/>
    <mergeCell ref="AE24:AF24"/>
    <mergeCell ref="AG24:AL24"/>
    <mergeCell ref="AM24:AR24"/>
    <mergeCell ref="AS24:AU24"/>
    <mergeCell ref="AV24:AX24"/>
    <mergeCell ref="AY24:BA24"/>
    <mergeCell ref="BB24:BD24"/>
    <mergeCell ref="BE24:BG24"/>
    <mergeCell ref="B25:C25"/>
    <mergeCell ref="D25:I25"/>
    <mergeCell ref="J25:O25"/>
    <mergeCell ref="P25:R25"/>
    <mergeCell ref="S25:U25"/>
    <mergeCell ref="V25:X25"/>
    <mergeCell ref="Y25:AA25"/>
    <mergeCell ref="AB25:AD25"/>
    <mergeCell ref="AE25:AF25"/>
    <mergeCell ref="AG25:AL25"/>
    <mergeCell ref="AM25:AR25"/>
    <mergeCell ref="AS25:AU25"/>
    <mergeCell ref="AV25:AX25"/>
    <mergeCell ref="AY25:BA25"/>
    <mergeCell ref="BB25:BD25"/>
    <mergeCell ref="BE25:BG25"/>
    <mergeCell ref="B26:C26"/>
    <mergeCell ref="D26:I26"/>
    <mergeCell ref="J26:O26"/>
    <mergeCell ref="P26:R26"/>
    <mergeCell ref="S26:U26"/>
    <mergeCell ref="V26:X26"/>
    <mergeCell ref="Y26:AA26"/>
    <mergeCell ref="AB26:AD26"/>
    <mergeCell ref="AE26:AF26"/>
    <mergeCell ref="AG26:AL26"/>
    <mergeCell ref="AM26:AR26"/>
    <mergeCell ref="AS26:AU26"/>
    <mergeCell ref="AV26:AX26"/>
    <mergeCell ref="AY26:BA26"/>
    <mergeCell ref="BB26:BD26"/>
    <mergeCell ref="BE26:BG26"/>
    <mergeCell ref="ED26:EE26"/>
    <mergeCell ref="EF26:EG26"/>
    <mergeCell ref="B27:C27"/>
    <mergeCell ref="D27:I27"/>
    <mergeCell ref="J27:O27"/>
    <mergeCell ref="P27:R27"/>
    <mergeCell ref="S27:U27"/>
    <mergeCell ref="V27:X27"/>
    <mergeCell ref="Y27:AA27"/>
    <mergeCell ref="AB27:AD27"/>
    <mergeCell ref="AE27:AF27"/>
    <mergeCell ref="AG27:AR27"/>
    <mergeCell ref="AS27:AU27"/>
    <mergeCell ref="AV27:AX27"/>
    <mergeCell ref="AY27:BA27"/>
    <mergeCell ref="BB27:BD27"/>
    <mergeCell ref="BE27:BG27"/>
    <mergeCell ref="B28:C28"/>
    <mergeCell ref="D28:I28"/>
    <mergeCell ref="J28:O28"/>
    <mergeCell ref="P28:R28"/>
    <mergeCell ref="S28:U28"/>
    <mergeCell ref="V28:X28"/>
    <mergeCell ref="Y28:AA28"/>
    <mergeCell ref="AB28:AD28"/>
    <mergeCell ref="AE28:AF28"/>
    <mergeCell ref="AG28:AR28"/>
    <mergeCell ref="AS28:AU28"/>
    <mergeCell ref="AV28:AX28"/>
    <mergeCell ref="AY28:BA28"/>
    <mergeCell ref="BB28:BD28"/>
    <mergeCell ref="BE28:BG28"/>
    <mergeCell ref="B29:C29"/>
    <mergeCell ref="D29:O29"/>
    <mergeCell ref="P29:R29"/>
    <mergeCell ref="S29:U29"/>
    <mergeCell ref="V29:X29"/>
    <mergeCell ref="Y29:AA29"/>
    <mergeCell ref="AB29:AD29"/>
    <mergeCell ref="AE29:AF29"/>
    <mergeCell ref="AG29:AL29"/>
    <mergeCell ref="AM29:AR29"/>
    <mergeCell ref="AS29:AU29"/>
    <mergeCell ref="AV29:AX29"/>
    <mergeCell ref="AY29:BA29"/>
    <mergeCell ref="BB29:BD29"/>
    <mergeCell ref="BE29:BG29"/>
    <mergeCell ref="ED29:EE29"/>
    <mergeCell ref="EF29:EG29"/>
    <mergeCell ref="B30:C30"/>
    <mergeCell ref="D30:O30"/>
    <mergeCell ref="P30:R30"/>
    <mergeCell ref="S30:U30"/>
    <mergeCell ref="V30:X30"/>
    <mergeCell ref="Y30:AA30"/>
    <mergeCell ref="AB30:AD30"/>
    <mergeCell ref="AE30:AF30"/>
    <mergeCell ref="AG30:AL30"/>
    <mergeCell ref="AM30:AR30"/>
    <mergeCell ref="AS30:AU30"/>
    <mergeCell ref="AV30:AX30"/>
    <mergeCell ref="AY30:BA30"/>
    <mergeCell ref="BB30:BD30"/>
    <mergeCell ref="BE30:BG30"/>
    <mergeCell ref="B31:C31"/>
    <mergeCell ref="D31:O31"/>
    <mergeCell ref="P31:R31"/>
    <mergeCell ref="S31:U31"/>
    <mergeCell ref="V31:X31"/>
    <mergeCell ref="Y31:AA31"/>
    <mergeCell ref="AB31:AD31"/>
    <mergeCell ref="AE31:AF31"/>
    <mergeCell ref="AG31:AL31"/>
    <mergeCell ref="AM31:AR31"/>
    <mergeCell ref="AS31:AU31"/>
    <mergeCell ref="AV31:AX31"/>
    <mergeCell ref="AY31:BA31"/>
    <mergeCell ref="BB31:BD31"/>
    <mergeCell ref="BE31:BG31"/>
    <mergeCell ref="B32:C32"/>
    <mergeCell ref="D32:O32"/>
    <mergeCell ref="P32:R32"/>
    <mergeCell ref="S32:U32"/>
    <mergeCell ref="V32:X32"/>
    <mergeCell ref="Y32:AA32"/>
    <mergeCell ref="AB32:AD32"/>
    <mergeCell ref="AE32:AF32"/>
    <mergeCell ref="AG32:AR32"/>
    <mergeCell ref="AS32:AU32"/>
    <mergeCell ref="AV32:AX32"/>
    <mergeCell ref="AY32:BA32"/>
    <mergeCell ref="BB32:BD32"/>
    <mergeCell ref="BE32:BG32"/>
    <mergeCell ref="ED32:EE32"/>
    <mergeCell ref="EF32:EG32"/>
    <mergeCell ref="B33:C33"/>
    <mergeCell ref="D33:O33"/>
    <mergeCell ref="P33:R33"/>
    <mergeCell ref="S33:U33"/>
    <mergeCell ref="V33:X33"/>
    <mergeCell ref="Y33:AA33"/>
    <mergeCell ref="AB33:AD33"/>
    <mergeCell ref="AE33:AF33"/>
    <mergeCell ref="AG33:AR33"/>
    <mergeCell ref="AS33:AU33"/>
    <mergeCell ref="AV33:AX33"/>
    <mergeCell ref="AY33:BA33"/>
    <mergeCell ref="BB33:BD33"/>
    <mergeCell ref="BE33:BG33"/>
    <mergeCell ref="B34:C34"/>
    <mergeCell ref="D34:O34"/>
    <mergeCell ref="P34:R34"/>
    <mergeCell ref="S34:U34"/>
    <mergeCell ref="V34:X34"/>
    <mergeCell ref="Y34:AA34"/>
    <mergeCell ref="AB34:AD34"/>
    <mergeCell ref="AE34:AF34"/>
    <mergeCell ref="AG34:AR34"/>
    <mergeCell ref="AS34:AU34"/>
    <mergeCell ref="AV34:AX34"/>
    <mergeCell ref="AY34:BA34"/>
    <mergeCell ref="BB34:BD34"/>
    <mergeCell ref="BE34:BG34"/>
    <mergeCell ref="B35:C35"/>
    <mergeCell ref="D35:O35"/>
    <mergeCell ref="P35:R35"/>
    <mergeCell ref="S35:U35"/>
    <mergeCell ref="V35:X35"/>
    <mergeCell ref="Y35:AA35"/>
    <mergeCell ref="AB35:AD35"/>
    <mergeCell ref="AE35:AF35"/>
    <mergeCell ref="AG35:AR35"/>
    <mergeCell ref="AS35:AU35"/>
    <mergeCell ref="AV35:AX35"/>
    <mergeCell ref="AY35:BA35"/>
    <mergeCell ref="BB35:BD35"/>
    <mergeCell ref="BE35:BG35"/>
    <mergeCell ref="ED35:EE35"/>
    <mergeCell ref="EF35:EG35"/>
    <mergeCell ref="B36:C36"/>
    <mergeCell ref="D36:I36"/>
    <mergeCell ref="J36:O36"/>
    <mergeCell ref="P36:R36"/>
    <mergeCell ref="S36:U36"/>
    <mergeCell ref="V36:X36"/>
    <mergeCell ref="Y36:AA36"/>
    <mergeCell ref="AB36:AD36"/>
    <mergeCell ref="AE36:AF36"/>
    <mergeCell ref="AG36:AR36"/>
    <mergeCell ref="AS36:AU36"/>
    <mergeCell ref="AV36:AX36"/>
    <mergeCell ref="AY36:BA36"/>
    <mergeCell ref="BB36:BD36"/>
    <mergeCell ref="BE36:BG36"/>
    <mergeCell ref="B37:C37"/>
    <mergeCell ref="D37:I37"/>
    <mergeCell ref="J37:O37"/>
    <mergeCell ref="P37:R37"/>
    <mergeCell ref="S37:U37"/>
    <mergeCell ref="V37:X37"/>
    <mergeCell ref="Y37:AA37"/>
    <mergeCell ref="AB37:AD37"/>
    <mergeCell ref="AE37:AF37"/>
    <mergeCell ref="AG37:AR37"/>
    <mergeCell ref="AS37:AU37"/>
    <mergeCell ref="AV37:AX37"/>
    <mergeCell ref="AY37:BA37"/>
    <mergeCell ref="BB37:BD37"/>
    <mergeCell ref="BE37:BG37"/>
    <mergeCell ref="B38:C38"/>
    <mergeCell ref="D38:I38"/>
    <mergeCell ref="J38:O38"/>
    <mergeCell ref="P38:R38"/>
    <mergeCell ref="S38:U38"/>
    <mergeCell ref="V38:X38"/>
    <mergeCell ref="Y38:AA38"/>
    <mergeCell ref="AB38:AD38"/>
    <mergeCell ref="AE38:AF38"/>
    <mergeCell ref="AG38:AR38"/>
    <mergeCell ref="AS38:AU38"/>
    <mergeCell ref="AV38:AX38"/>
    <mergeCell ref="AY38:BA38"/>
    <mergeCell ref="BB38:BD38"/>
    <mergeCell ref="BE38:BG38"/>
    <mergeCell ref="ED38:EE38"/>
    <mergeCell ref="EF38:EG38"/>
    <mergeCell ref="B39:C39"/>
    <mergeCell ref="D39:O39"/>
    <mergeCell ref="P39:R39"/>
    <mergeCell ref="S39:U39"/>
    <mergeCell ref="V39:X39"/>
    <mergeCell ref="Y39:AA39"/>
    <mergeCell ref="AB39:AD39"/>
    <mergeCell ref="AE39:AF39"/>
    <mergeCell ref="AG39:AR39"/>
    <mergeCell ref="AS39:AU39"/>
    <mergeCell ref="AV39:AX39"/>
    <mergeCell ref="AY39:BA39"/>
    <mergeCell ref="BB39:BD39"/>
    <mergeCell ref="BE39:BG39"/>
    <mergeCell ref="B40:C40"/>
    <mergeCell ref="D40:O40"/>
    <mergeCell ref="P40:R40"/>
    <mergeCell ref="S40:U40"/>
    <mergeCell ref="V40:X40"/>
    <mergeCell ref="Y40:AA40"/>
    <mergeCell ref="AB40:AD40"/>
    <mergeCell ref="AE40:AF40"/>
    <mergeCell ref="AG40:AR40"/>
    <mergeCell ref="AS40:AU40"/>
    <mergeCell ref="AV40:AX40"/>
    <mergeCell ref="AY40:BA40"/>
    <mergeCell ref="BB40:BD40"/>
    <mergeCell ref="BE40:BG40"/>
    <mergeCell ref="B41:C41"/>
    <mergeCell ref="D41:O41"/>
    <mergeCell ref="P41:R41"/>
    <mergeCell ref="S41:U41"/>
    <mergeCell ref="V41:X41"/>
    <mergeCell ref="Y41:AA41"/>
    <mergeCell ref="AB41:AD41"/>
    <mergeCell ref="AE41:AF41"/>
    <mergeCell ref="AG41:AR41"/>
    <mergeCell ref="AS41:AU41"/>
    <mergeCell ref="AV41:AX41"/>
    <mergeCell ref="AY41:BA41"/>
    <mergeCell ref="BB41:BD41"/>
    <mergeCell ref="BE41:BG41"/>
    <mergeCell ref="ED41:EE41"/>
    <mergeCell ref="EF41:EG41"/>
    <mergeCell ref="B42:C42"/>
    <mergeCell ref="D42:O42"/>
    <mergeCell ref="P42:R42"/>
    <mergeCell ref="S42:U42"/>
    <mergeCell ref="V42:X42"/>
    <mergeCell ref="Y42:AA42"/>
    <mergeCell ref="AB42:AD42"/>
    <mergeCell ref="AE42:AF42"/>
    <mergeCell ref="AG42:AR42"/>
    <mergeCell ref="AS42:AU42"/>
    <mergeCell ref="AV42:AX42"/>
    <mergeCell ref="AY42:BA42"/>
    <mergeCell ref="BB42:BD42"/>
    <mergeCell ref="BE42:BG42"/>
    <mergeCell ref="B43:C43"/>
    <mergeCell ref="D43:O43"/>
    <mergeCell ref="P43:R43"/>
    <mergeCell ref="S43:U43"/>
    <mergeCell ref="V43:X43"/>
    <mergeCell ref="Y43:AA43"/>
    <mergeCell ref="AB43:AD43"/>
    <mergeCell ref="AE43:AF43"/>
    <mergeCell ref="AG43:AR43"/>
    <mergeCell ref="AS43:AU43"/>
    <mergeCell ref="AV43:AX43"/>
    <mergeCell ref="AY43:BA43"/>
    <mergeCell ref="BB43:BD43"/>
    <mergeCell ref="BE43:BG43"/>
    <mergeCell ref="B46:G46"/>
    <mergeCell ref="H46:AJ46"/>
    <mergeCell ref="BN46:BV46"/>
    <mergeCell ref="BW46:CQ46"/>
    <mergeCell ref="CZ46:DE46"/>
    <mergeCell ref="DF46:DR46"/>
    <mergeCell ref="B47:G47"/>
    <mergeCell ref="H47:U47"/>
    <mergeCell ref="V47:AJ47"/>
    <mergeCell ref="BN47:CQ47"/>
    <mergeCell ref="B48:O48"/>
    <mergeCell ref="P48:Y48"/>
    <mergeCell ref="AA48:AG48"/>
    <mergeCell ref="AH48:AJ48"/>
    <mergeCell ref="AK48:BC48"/>
    <mergeCell ref="BN48:BV48"/>
    <mergeCell ref="BZ48:CK48"/>
    <mergeCell ref="B49:O49"/>
    <mergeCell ref="P49:Q49"/>
    <mergeCell ref="AA49:AF49"/>
    <mergeCell ref="BN49:BY49"/>
    <mergeCell ref="BZ49:CK49"/>
    <mergeCell ref="B50:O50"/>
    <mergeCell ref="P50:Q50"/>
    <mergeCell ref="AA50:AJ50"/>
    <mergeCell ref="BN50:BY50"/>
    <mergeCell ref="BZ50:CK50"/>
    <mergeCell ref="B51:O51"/>
    <mergeCell ref="P51:Q51"/>
    <mergeCell ref="AA51:AJ51"/>
    <mergeCell ref="BN51:BY51"/>
    <mergeCell ref="BZ51:CK51"/>
    <mergeCell ref="B52:O52"/>
    <mergeCell ref="P52:Q52"/>
    <mergeCell ref="AA52:AJ52"/>
    <mergeCell ref="BN52:BY52"/>
    <mergeCell ref="BZ52:CK52"/>
    <mergeCell ref="B53:O53"/>
    <mergeCell ref="P53:Q53"/>
    <mergeCell ref="AA53:AJ53"/>
    <mergeCell ref="BN53:BY53"/>
    <mergeCell ref="BZ53:CK53"/>
    <mergeCell ref="B54:O54"/>
    <mergeCell ref="P54:Q54"/>
    <mergeCell ref="AA54:AJ54"/>
    <mergeCell ref="BN54:BY54"/>
    <mergeCell ref="BZ54:CK54"/>
    <mergeCell ref="CZ54:DE54"/>
    <mergeCell ref="DF54:DI54"/>
    <mergeCell ref="DK54:DQ54"/>
    <mergeCell ref="DR54:DU54"/>
    <mergeCell ref="B55:O55"/>
    <mergeCell ref="P55:Q55"/>
    <mergeCell ref="AA55:AJ55"/>
    <mergeCell ref="BN55:BY55"/>
    <mergeCell ref="BZ55:CK55"/>
    <mergeCell ref="CZ55:DE55"/>
    <mergeCell ref="DF55:DI55"/>
    <mergeCell ref="DK55:DQ55"/>
    <mergeCell ref="DR55:EY55"/>
    <mergeCell ref="B56:O56"/>
    <mergeCell ref="P56:Q56"/>
    <mergeCell ref="BN57:CP57"/>
    <mergeCell ref="CZ56:EY56"/>
    <mergeCell ref="B57:O57"/>
    <mergeCell ref="P57:Q57"/>
    <mergeCell ref="BN56:BY56"/>
    <mergeCell ref="BZ56:CK56"/>
    <mergeCell ref="CZ57:DE57"/>
    <mergeCell ref="DF57:EY57"/>
    <mergeCell ref="B58:O58"/>
    <mergeCell ref="P58:Q58"/>
    <mergeCell ref="CZ58:DE58"/>
    <mergeCell ref="DF58:EY58"/>
    <mergeCell ref="B59:O59"/>
    <mergeCell ref="P59:Q59"/>
    <mergeCell ref="CZ59:DE59"/>
    <mergeCell ref="DF59:EY59"/>
    <mergeCell ref="B60:O60"/>
    <mergeCell ref="CZ60:DE60"/>
    <mergeCell ref="DF60:EY60"/>
    <mergeCell ref="B61:O61"/>
    <mergeCell ref="P61:Z61"/>
    <mergeCell ref="CZ61:DE61"/>
    <mergeCell ref="DF61:EY61"/>
    <mergeCell ref="B62:O62"/>
    <mergeCell ref="P62:Z62"/>
    <mergeCell ref="B63:O63"/>
    <mergeCell ref="EI8:EJ11"/>
    <mergeCell ref="EK8:EY11"/>
    <mergeCell ref="BN17:CX26"/>
    <mergeCell ref="BI17:BM26"/>
    <mergeCell ref="BI27:CX43"/>
    <mergeCell ref="BI14:BM16"/>
    <mergeCell ref="BN14:CX16"/>
    <mergeCell ref="CZ35:EC37"/>
    <mergeCell ref="DR3:EH11"/>
    <mergeCell ref="CZ3:DQ11"/>
    <mergeCell ref="BI2:BV11"/>
    <mergeCell ref="ED42:EE43"/>
    <mergeCell ref="EF42:EG43"/>
    <mergeCell ref="CZ41:EC43"/>
    <mergeCell ref="ED36:EE37"/>
    <mergeCell ref="EF36:EG37"/>
    <mergeCell ref="ED24:EE25"/>
    <mergeCell ref="EF24:EG25"/>
    <mergeCell ref="CZ23:EC25"/>
    <mergeCell ref="CZ26:EC28"/>
    <mergeCell ref="ED27:EE28"/>
    <mergeCell ref="EF27:EG28"/>
    <mergeCell ref="CZ38:EC40"/>
    <mergeCell ref="ED39:EE40"/>
    <mergeCell ref="EF39:EG40"/>
    <mergeCell ref="EQ13:EY14"/>
    <mergeCell ref="EI23:EY43"/>
    <mergeCell ref="EI17:EY20"/>
    <mergeCell ref="CZ29:EC31"/>
    <mergeCell ref="CZ32:EC34"/>
    <mergeCell ref="ED33:EE34"/>
    <mergeCell ref="EF33:EG34"/>
    <mergeCell ref="ED30:EE31"/>
    <mergeCell ref="EF30:EG31"/>
    <mergeCell ref="AK49:BC63"/>
    <mergeCell ref="AA60:AJ63"/>
    <mergeCell ref="V10:X11"/>
    <mergeCell ref="Y10:AA11"/>
    <mergeCell ref="AH10:AJ11"/>
    <mergeCell ref="AK10:AM11"/>
    <mergeCell ref="H10:J11"/>
    <mergeCell ref="K10:M11"/>
    <mergeCell ref="AU10:AW11"/>
    <mergeCell ref="EI3:EY7"/>
    <mergeCell ref="R49:Z49"/>
    <mergeCell ref="R50:Z50"/>
    <mergeCell ref="R51:Z51"/>
    <mergeCell ref="R52:Z52"/>
    <mergeCell ref="R53:Z53"/>
    <mergeCell ref="R54:Z54"/>
    <mergeCell ref="R55:Z55"/>
    <mergeCell ref="R56:Z56"/>
    <mergeCell ref="R57:Z57"/>
    <mergeCell ref="R58:Z58"/>
    <mergeCell ref="R59:Z59"/>
    <mergeCell ref="B65:Z65"/>
    <mergeCell ref="AB65:BG65"/>
    <mergeCell ref="BI65:BW65"/>
    <mergeCell ref="BX65:CX65"/>
  </mergeCells>
  <conditionalFormatting sqref="B47:G47">
    <cfRule type="expression" dxfId="0" priority="461">
      <formula>NOT(附表!$I$11)</formula>
    </cfRule>
  </conditionalFormatting>
  <conditionalFormatting sqref="H47">
    <cfRule type="expression" dxfId="1" priority="459">
      <formula>附表!$I$12=FALSE</formula>
    </cfRule>
  </conditionalFormatting>
  <conditionalFormatting sqref="H47:U47">
    <cfRule type="expression" dxfId="2" priority="462">
      <formula>NOT(附表!$I$11)</formula>
    </cfRule>
  </conditionalFormatting>
  <conditionalFormatting sqref="V47">
    <cfRule type="expression" dxfId="3" priority="460">
      <formula>附表!$I$12=FALSE</formula>
    </cfRule>
  </conditionalFormatting>
  <conditionalFormatting sqref="AB3:BG8 B14:BG43 B3:Z4 BX3:CX11 B5:E6 N5:N6 Q5:Q6 B7:Z8 CZ14:EG20">
    <cfRule type="expression" dxfId="4" priority="458">
      <formula>MOD(ROW(),2)=0</formula>
    </cfRule>
  </conditionalFormatting>
  <conditionalFormatting sqref="AH3:AJ8">
    <cfRule type="cellIs" dxfId="5" priority="3" operator="lessThan">
      <formula>9</formula>
    </cfRule>
    <cfRule type="cellIs" dxfId="6" priority="437" operator="greaterThan">
      <formula>12</formula>
    </cfRule>
    <cfRule type="expression" dxfId="7" priority="440">
      <formula>NOT(ISBLANK(AN3))</formula>
    </cfRule>
  </conditionalFormatting>
  <conditionalFormatting sqref="BD10:BG11">
    <cfRule type="cellIs" dxfId="8" priority="424" operator="equal">
      <formula>"已适应"</formula>
    </cfRule>
    <cfRule type="cellIs" dxfId="9" priority="436" operator="equal">
      <formula>"☐☐☐"</formula>
    </cfRule>
  </conditionalFormatting>
  <conditionalFormatting sqref="B14:C43 AE14:AE43">
    <cfRule type="cellIs" dxfId="10" priority="438" operator="equal">
      <formula>"√"</formula>
    </cfRule>
  </conditionalFormatting>
  <conditionalFormatting sqref="AV14:AX38 S14:U43 AV40:AX43">
    <cfRule type="expression" dxfId="11" priority="2">
      <formula>NOT(ISBLANK(V14))</formula>
    </cfRule>
  </conditionalFormatting>
  <conditionalFormatting sqref="AG17:AL19 D18:I20 AG24:AL26 D25:I28 AG29:AL31 D36:I38">
    <cfRule type="expression" dxfId="12" priority="1">
      <formula>ISBLANK(J18)</formula>
    </cfRule>
  </conditionalFormatting>
  <conditionalFormatting sqref="CZ23:EG43">
    <cfRule type="expression" dxfId="4" priority="447">
      <formula>MOD(FLOOR((ROW()-2)/3,1),2)=1</formula>
    </cfRule>
  </conditionalFormatting>
  <conditionalFormatting sqref="EF24 EF27 EF30 EF33 EF36 EF39 EF42">
    <cfRule type="cellIs" dxfId="13" priority="376" operator="equal">
      <formula>"×"</formula>
    </cfRule>
  </conditionalFormatting>
  <conditionalFormatting sqref="P49:Q59">
    <cfRule type="expression" dxfId="20" priority="463" stopIfTrue="1">
      <formula>$R49=""</formula>
    </cfRule>
  </conditionalFormatting>
  <dataValidations count="42">
    <dataValidation type="list" allowBlank="1" sqref="CZ14:DL14 CZ15:DL15 CZ16:DL16 CZ17:DL17 CZ18:DL18 CZ19:DL19 CZ20:DL20" showInputMessage="0">
      <formula1>武器下拉列表</formula1>
    </dataValidation>
    <dataValidation type="list" allowBlank="1" sqref="AM17 AM18 AM19" showInputMessage="0">
      <formula1>子技能!$E$2:$E$4</formula1>
    </dataValidation>
    <dataValidation type="list" allowBlank="1" sqref="J18 J19 J20" showInputMessage="0">
      <formula1>子技能!$A$2:$A$11</formula1>
    </dataValidation>
    <dataValidation type="list" allowBlank="1" sqref="AM24 AM25 AM26" showInputMessage="0">
      <formula1>子技能!$G$2:$G$9</formula1>
    </dataValidation>
    <dataValidation type="list" allowBlank="1" showErrorMessage="1" sqref="EF24 EF27 EF30 EF33 EF36 EF39 EF42" showInputMessage="0">
      <formula1>"×,√"</formula1>
    </dataValidation>
    <dataValidation type="list" allowBlank="1" sqref="J25 J26 J27 J28" showInputMessage="0">
      <formula1>子技能!$C$2:$C$14</formula1>
    </dataValidation>
    <dataValidation type="list" allowBlank="1" sqref="AM29 AM30 AM31" showInputMessage="0">
      <formula1>子技能!$I$2:$I$27</formula1>
    </dataValidation>
    <dataValidation type="list" allowBlank="1" sqref="J36 J37 J38" showInputMessage="0">
      <formula1>"英语,法语,德语,西班牙语,俄语,日语,阿拉伯语,汉语,韩语,意大利语,葡萄牙语,拉丁语"</formula1>
    </dataValidation>
    <dataValidation type="list" allowBlank="1" showErrorMessage="1" sqref="H46:AJ46" showInputMessage="0">
      <formula1>附表!$A$169:$A$273</formula1>
    </dataValidation>
    <dataValidation type="list" allowBlank="1" showErrorMessage="1" sqref="BW46:CQ46" showInputMessage="0">
      <formula1>额外技能包!$A$2:$A$30</formula1>
    </dataValidation>
    <dataValidation type="list" allowBlank="1" showErrorMessage="1" sqref="DF46:DR46" showInputMessage="0">
      <formula1>附表!$A$84:$A$88</formula1>
    </dataValidation>
    <dataValidation type="list" allowBlank="1" showErrorMessage="1" sqref="H47:U47" showInputMessage="0">
      <formula1>OFFSET(附表!$B$62,0,0,附表!$A$63,1)</formula1>
    </dataValidation>
    <dataValidation type="list" allowBlank="1" sqref="BZ49:CK49" showInputMessage="0">
      <formula1>额外第1项</formula1>
    </dataValidation>
    <dataValidation type="list" allowBlank="1" sqref="BZ50:CK50" showInputMessage="0">
      <formula1>额外第2项</formula1>
    </dataValidation>
    <dataValidation type="list" allowBlank="1" sqref="BZ51:CK51" showInputMessage="0">
      <formula1>额外第3项</formula1>
    </dataValidation>
    <dataValidation type="list" allowBlank="1" sqref="BZ52:CK52" showInputMessage="0">
      <formula1>额外第4项</formula1>
    </dataValidation>
    <dataValidation type="list" allowBlank="1" sqref="BZ53:CK53" showInputMessage="0">
      <formula1>额外第5项</formula1>
    </dataValidation>
    <dataValidation type="list" allowBlank="1" sqref="BZ54:CK54" showInputMessage="0">
      <formula1>额外第6项</formula1>
    </dataValidation>
    <dataValidation type="whole" operator="between" allowBlank="1" showErrorMessage="1" sqref="DF54:DI54" showInputMessage="0">
      <formula1>1</formula1>
      <formula2>18</formula2>
    </dataValidation>
    <dataValidation type="whole" operator="between" allowBlank="1" showErrorMessage="1" sqref="DR54:DU54" showInputMessage="0">
      <formula1>1</formula1>
      <formula2>18</formula2>
    </dataValidation>
    <dataValidation type="list" allowBlank="1" sqref="BZ55:CK55" showInputMessage="0">
      <formula1>额外第7项</formula1>
    </dataValidation>
    <dataValidation type="list" allowBlank="1" showErrorMessage="1" sqref="DF55:DI55" showInputMessage="0">
      <formula1>"1,2,3,4,5,6,7"</formula1>
    </dataValidation>
    <dataValidation type="list" allowBlank="1" sqref="DR55:EY55" showInputMessage="0">
      <formula1>非自然心理疾病</formula1>
    </dataValidation>
    <dataValidation type="list" allowBlank="1" sqref="BZ56:CK56" showInputMessage="0">
      <formula1>额外第8项</formula1>
    </dataValidation>
    <dataValidation type="list" allowBlank="1" sqref="DF57:EY57 DF58:EY58 DF59:EY59 DF60:EY60 DF61:EY61" showInputMessage="0">
      <formula1>主卡技能选项</formula1>
    </dataValidation>
    <dataValidation type="list" allowBlank="1" showErrorMessage="1" sqref="P62:Z62" showInputMessage="0">
      <formula1>"人类学,考古学"</formula1>
    </dataValidation>
    <dataValidation type="list" allowBlank="1" showErrorMessage="1" sqref="AE14:AE43 B14:C43" showInputMessage="0">
      <formula1>"☐,√"</formula1>
    </dataValidation>
    <dataValidation type="list" allowBlank="1" showErrorMessage="1" sqref="BD10:BG11" showInputMessage="0">
      <formula1>"☐☐☐,√☐☐,√√☐,已适应"</formula1>
    </dataValidation>
    <dataValidation type="list" allowBlank="1" sqref="EK8:EY11" showInputMessage="0">
      <formula1>护甲下拉列表</formula1>
    </dataValidation>
    <dataValidation type="list" allowBlank="1" sqref="CP3:CX11" showInputMessage="0">
      <formula1>特训对应项</formula1>
    </dataValidation>
    <s:dataValidation xmlns:s="http://schemas.openxmlformats.org/spreadsheetml/2006/main" type="list" allowBlank="1" showErrorMessage="1" errorTitle="请选择勾选状态" error="请选择☑或☐，或清空。" sqref="P49" showInputMessage="0">
      <s:formula1>IF($R49&lt;&gt;"",任选勾选值,空白选项)</s:formula1>
    </s:dataValidation>
    <s:dataValidation xmlns:s="http://schemas.openxmlformats.org/spreadsheetml/2006/main" type="list" allowBlank="1" showErrorMessage="1" errorTitle="请选择勾选状态" error="请选择☑或☐，或清空。" sqref="P50" showInputMessage="0">
      <s:formula1>IF($R50&lt;&gt;"",任选勾选值,空白选项)</s:formula1>
    </s:dataValidation>
    <s:dataValidation xmlns:s="http://schemas.openxmlformats.org/spreadsheetml/2006/main" type="list" allowBlank="1" showErrorMessage="1" errorTitle="请选择勾选状态" error="请选择☑或☐，或清空。" sqref="P51" showInputMessage="0">
      <s:formula1>IF($R51&lt;&gt;"",任选勾选值,空白选项)</s:formula1>
    </s:dataValidation>
    <s:dataValidation xmlns:s="http://schemas.openxmlformats.org/spreadsheetml/2006/main" type="list" allowBlank="1" showErrorMessage="1" errorTitle="请选择勾选状态" error="请选择☑或☐，或清空。" sqref="P52" showInputMessage="0">
      <s:formula1>IF($R52&lt;&gt;"",任选勾选值,空白选项)</s:formula1>
    </s:dataValidation>
    <s:dataValidation xmlns:s="http://schemas.openxmlformats.org/spreadsheetml/2006/main" type="list" allowBlank="1" showErrorMessage="1" errorTitle="请选择勾选状态" error="请选择☑或☐，或清空。" sqref="P53" showInputMessage="0">
      <s:formula1>IF($R53&lt;&gt;"",任选勾选值,空白选项)</s:formula1>
    </s:dataValidation>
    <s:dataValidation xmlns:s="http://schemas.openxmlformats.org/spreadsheetml/2006/main" type="list" allowBlank="1" showErrorMessage="1" errorTitle="请选择勾选状态" error="请选择☑或☐，或清空。" sqref="P54" showInputMessage="0">
      <s:formula1>IF($R54&lt;&gt;"",任选勾选值,空白选项)</s:formula1>
    </s:dataValidation>
    <s:dataValidation xmlns:s="http://schemas.openxmlformats.org/spreadsheetml/2006/main" type="list" allowBlank="1" showErrorMessage="1" errorTitle="请选择勾选状态" error="请选择☑或☐，或清空。" sqref="P55" showInputMessage="0">
      <s:formula1>IF($R55&lt;&gt;"",任选勾选值,空白选项)</s:formula1>
    </s:dataValidation>
    <s:dataValidation xmlns:s="http://schemas.openxmlformats.org/spreadsheetml/2006/main" type="list" allowBlank="1" showErrorMessage="1" errorTitle="请选择勾选状态" error="请选择☑或☐，或清空。" sqref="P56" showInputMessage="0">
      <s:formula1>IF($R56&lt;&gt;"",任选勾选值,空白选项)</s:formula1>
    </s:dataValidation>
    <s:dataValidation xmlns:s="http://schemas.openxmlformats.org/spreadsheetml/2006/main" type="list" allowBlank="1" showErrorMessage="1" errorTitle="请选择勾选状态" error="请选择☑或☐，或清空。" sqref="P57" showInputMessage="0">
      <s:formula1>IF($R57&lt;&gt;"",任选勾选值,空白选项)</s:formula1>
    </s:dataValidation>
    <s:dataValidation xmlns:s="http://schemas.openxmlformats.org/spreadsheetml/2006/main" type="list" allowBlank="1" showErrorMessage="1" errorTitle="请选择勾选状态" error="请选择☑或☐，或清空。" sqref="P58" showInputMessage="0">
      <s:formula1>IF($R58&lt;&gt;"",任选勾选值,空白选项)</s:formula1>
    </s:dataValidation>
    <s:dataValidation xmlns:s="http://schemas.openxmlformats.org/spreadsheetml/2006/main" type="list" allowBlank="1" showErrorMessage="1" errorTitle="请选择勾选状态" error="请选择☑或☐，或清空。" sqref="P59" showInputMessage="0">
      <s:formula1>IF($R59&lt;&gt;"",任选勾选值,空白选项)</s:formula1>
    </s:dataValidation>
    <s:dataValidation xmlns:s="http://schemas.openxmlformats.org/spreadsheetml/2006/main" type="list" allowBlank="1" showErrorMessage="0" sqref="BX3 BX4 BX5 BX6 BX7 BX8 BX9 BX10 BX11" showInputMessage="0">
      <s:formula1>特训范例</s:formula1>
    </s:dataValidation>
  </dataValidations>
  <hyperlinks>
    <hyperlink ref="B65" location="'模组经历备忘录'!A1"/>
    <hyperlink ref="AB65" r:id="rIdV16Link4"/>
    <hyperlink ref="BI65" location="'规则速查'!A1"/>
    <hyperlink ref="BX65" location="'更新记录'!A1"/>
  </hyperlinks>
  <pageMargins left="0.7" right="0.7" top="0.75" bottom="0.75" header="0.3" footer="0.3"/>
  <pageSetup paperSize="1" orientation="portrait"/>
  <headerFooter/>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B4C6E7"/>
  </sheetPr>
  <dimension ref="A1:D4"/>
  <sheetViews>
    <sheetView workbookViewId="0">
      <selection activeCell="B2" sqref="B2"/>
    </sheetView>
  </sheetViews>
  <sheetFormatPr defaultColWidth="8.86666666666667" defaultRowHeight="14" outlineLevelRow="3" outlineLevelCol="3"/>
  <cols>
    <col min="1" max="1" width="49.6666666666667" style="72" customWidth="1"/>
    <col min="2" max="2" width="38.7333333333333" style="72" customWidth="1"/>
    <col min="3" max="3" width="35.1333333333333" style="72" customWidth="1"/>
    <col min="4" max="16384" width="8.86666666666667" style="72"/>
  </cols>
  <sheetData>
    <row r="1" spans="1:4">
      <c r="A1" s="552" t="s">
        <v>136</v>
      </c>
    </row>
    <row r="2" ht="190.9" customHeight="1" spans="1:4">
      <c r="A2" s="553" t="s">
        <v>137</v>
      </c>
      <c r="B2" s="554" t="str">
        <f ca="1">".st "&amp;_xlfn.CONCAT(附表!E93:E162)</f>
        <v>.st 会计学10警觉20运动30行政10犯罪学10乔装10闪避30机动车驾驶20射击20急救10重型机械10历史10人源情报10近战武器30导航10神秘学10说服20精神治疗10骑术10搜寻20潜藏10生存10游泳20徒手搏斗40</v>
      </c>
      <c r="D2" s="553"/>
    </row>
    <row r="3" spans="1:4">
      <c r="A3" s="552" t="s">
        <v>138</v>
      </c>
    </row>
    <row r="4" spans="1:4">
      <c r="A4" s="555" t="s">
        <v>139</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B4C6E7"/>
  </sheetPr>
  <dimension ref="A1:AO126"/>
  <sheetViews>
    <sheetView zoomScale="55" zoomScaleNormal="55" workbookViewId="0">
      <pane xSplit="1" ySplit="1" topLeftCell="T13" activePane="bottomRight" state="frozen"/>
      <selection/>
      <selection pane="topRight"/>
      <selection pane="bottomLeft"/>
      <selection pane="bottomRight" activeCell="A54" sqref="A54:A55"/>
    </sheetView>
  </sheetViews>
  <sheetFormatPr defaultColWidth="9" defaultRowHeight="14"/>
  <cols>
    <col min="1" max="1" width="58.4" customWidth="1"/>
    <col min="2" max="2" width="17.6" customWidth="1"/>
    <col min="3" max="3" width="11.4" customWidth="1"/>
    <col min="4" max="4" width="27.8666666666667" customWidth="1"/>
    <col min="5" max="5" width="28.2666666666667" customWidth="1"/>
    <col min="6" max="6" width="28.5333333333333" customWidth="1"/>
    <col min="7" max="7" width="24.3333333333333" customWidth="1"/>
    <col min="8" max="8" width="17.8666666666667" customWidth="1"/>
    <col min="9" max="10" width="22.0666666666667" customWidth="1"/>
    <col min="11" max="11" width="19.9333333333333" customWidth="1"/>
    <col min="12" max="19" width="13.7333333333333" customWidth="1"/>
    <col min="20" max="20" width="15.4666666666667" customWidth="1"/>
    <col min="21" max="21" width="17.8666666666667" customWidth="1"/>
    <col min="22" max="22" width="22.0666666666667" customWidth="1"/>
    <col min="23" max="23" width="17.8666666666667" hidden="1" customWidth="1"/>
    <col min="24" max="24" width="22.0666666666667" customWidth="1"/>
    <col min="25" max="25" width="15.6" customWidth="1"/>
    <col min="26" max="26" width="13.7333333333333" customWidth="1"/>
    <col min="27" max="27" width="17.8666666666667" customWidth="1"/>
    <col min="28" max="28" width="11.7333333333333" customWidth="1"/>
    <col min="29" max="29" width="22.0666666666667" customWidth="1"/>
    <col min="30" max="30" width="11.7333333333333" customWidth="1"/>
    <col min="31" max="35" width="17.8666666666667" customWidth="1"/>
    <col min="36" max="37" width="13.2" customWidth="1"/>
    <col min="38" max="38" width="13.4666666666667" customWidth="1"/>
    <col min="39" max="39" width="15.4666666666667" customWidth="1"/>
    <col min="40" max="40" width="125.266666666667" customWidth="1"/>
    <col min="41" max="41" width="9" customWidth="1"/>
  </cols>
  <sheetData>
    <row r="1" s="66" customFormat="1" spans="1:41">
      <c r="A1" s="556" t="s">
        <v>140</v>
      </c>
      <c r="B1" s="556" t="s">
        <v>141</v>
      </c>
      <c r="C1" s="556" t="s">
        <v>142</v>
      </c>
      <c r="D1" s="556" t="s">
        <v>143</v>
      </c>
      <c r="T1" s="556" t="s">
        <v>144</v>
      </c>
      <c r="U1" s="556" t="s">
        <v>145</v>
      </c>
      <c r="AF1" s="556" t="s">
        <v>146</v>
      </c>
      <c r="AJ1" s="556" t="s">
        <v>147</v>
      </c>
      <c r="AN1" s="556" t="s">
        <v>148</v>
      </c>
    </row>
    <row r="2" spans="1:41">
      <c r="A2" t="s" s="557">
        <v>149</v>
      </c>
      <c r="C2" t="s" s="557">
        <v>150</v>
      </c>
      <c r="D2" s="557" t="str">
        <f t="array" ref="D2:H2">TRANSPOSE(附表!A37:A41)</f>
        <v>任选10个本职技能，分配350</v>
      </c>
      <c r="E2" s="557" t="str">
        <v>技能点，额外加在基础值上，</v>
      </c>
      <c r="F2" s="557" t="str">
        <v>最高至60%。重要关系自4个开</v>
      </c>
      <c r="G2" s="557" t="str">
        <v>始每少一个（最少1个），增</v>
      </c>
      <c r="H2" s="557" t="str">
        <v>加50本职技能点。</v>
      </c>
      <c r="AO2" s="557">
        <f>ROW()</f>
        <v>2</v>
      </c>
    </row>
    <row r="3" s="68" customFormat="1" spans="1:41">
      <c r="A3" s="558" t="s">
        <v>151</v>
      </c>
      <c r="B3" s="559"/>
      <c r="C3" s="559"/>
      <c r="D3" s="559"/>
      <c r="E3" s="559"/>
      <c r="F3" s="559"/>
      <c r="G3" s="559"/>
      <c r="H3" s="559"/>
      <c r="I3" s="559"/>
      <c r="J3" s="559"/>
      <c r="K3" s="559"/>
      <c r="L3" s="559"/>
      <c r="M3" s="559"/>
      <c r="N3" s="559"/>
      <c r="O3" s="559"/>
      <c r="P3" s="559"/>
      <c r="Q3" s="559"/>
      <c r="R3" s="559"/>
      <c r="S3" s="559"/>
      <c r="T3" s="559"/>
      <c r="U3" s="559"/>
      <c r="V3" s="559"/>
      <c r="W3" s="559"/>
      <c r="X3" s="559"/>
      <c r="Y3" s="559"/>
      <c r="Z3" s="559"/>
      <c r="AA3" s="559"/>
      <c r="AB3" s="559"/>
      <c r="AC3" s="559"/>
      <c r="AD3" s="559"/>
      <c r="AE3" s="559"/>
      <c r="AF3" s="559"/>
      <c r="AG3" s="559"/>
      <c r="AH3" s="559"/>
      <c r="AI3" s="559"/>
      <c r="AJ3" s="559"/>
      <c r="AK3" s="559"/>
      <c r="AL3" s="559"/>
      <c r="AM3" s="559"/>
      <c r="AN3" s="559"/>
      <c r="AO3" s="560">
        <f>IF(LEFT(TRIM(A3&amp;"$"),1)="（",65536,ROW())</f>
        <v>65536</v>
      </c>
    </row>
    <row r="4" s="68" customFormat="1" spans="1:41">
      <c r="A4" s="558" t="s">
        <v>152</v>
      </c>
      <c r="B4" s="559"/>
      <c r="C4" s="559"/>
      <c r="D4" s="559"/>
      <c r="E4" s="559"/>
      <c r="F4" s="559"/>
      <c r="G4" s="559"/>
      <c r="H4" s="559"/>
      <c r="I4" s="559"/>
      <c r="J4" s="559"/>
      <c r="K4" s="559"/>
      <c r="L4" s="559"/>
      <c r="M4" s="559"/>
      <c r="N4" s="559"/>
      <c r="O4" s="559"/>
      <c r="P4" s="559"/>
      <c r="Q4" s="559"/>
      <c r="R4" s="559"/>
      <c r="S4" s="559"/>
      <c r="T4" s="559"/>
      <c r="U4" s="559"/>
      <c r="V4" s="559"/>
      <c r="W4" s="559"/>
      <c r="X4" s="559"/>
      <c r="Y4" s="559"/>
      <c r="Z4" s="559"/>
      <c r="AA4" s="559"/>
      <c r="AB4" s="559"/>
      <c r="AC4" s="559"/>
      <c r="AD4" s="559"/>
      <c r="AE4" s="559"/>
      <c r="AF4" s="559"/>
      <c r="AG4" s="559"/>
      <c r="AH4" s="559"/>
      <c r="AI4" s="559"/>
      <c r="AJ4" s="559"/>
      <c r="AK4" s="559"/>
      <c r="AL4" s="559"/>
      <c r="AM4" s="559"/>
      <c r="AN4" s="559"/>
      <c r="AO4" s="560">
        <f t="shared" ref="AO4:AO7" si="0">IF(LEFT(TRIM(A4&amp;"$"),1)="（",65536,ROW())</f>
        <v>65536</v>
      </c>
    </row>
    <row r="5" s="68" customFormat="1" spans="1:41">
      <c r="A5" s="558" t="s">
        <v>153</v>
      </c>
      <c r="B5" s="559"/>
      <c r="C5" s="559"/>
      <c r="D5" s="559"/>
      <c r="E5" s="559"/>
      <c r="F5" s="559"/>
      <c r="G5" s="559"/>
      <c r="H5" s="559"/>
      <c r="I5" s="559"/>
      <c r="J5" s="559"/>
      <c r="K5" s="559"/>
      <c r="L5" s="559"/>
      <c r="M5" s="559"/>
      <c r="N5" s="559"/>
      <c r="O5" s="559"/>
      <c r="P5" s="559"/>
      <c r="Q5" s="559"/>
      <c r="R5" s="559"/>
      <c r="S5" s="559"/>
      <c r="T5" s="559"/>
      <c r="U5" s="559"/>
      <c r="V5" s="559"/>
      <c r="W5" s="559"/>
      <c r="X5" s="559"/>
      <c r="Y5" s="559"/>
      <c r="Z5" s="559"/>
      <c r="AA5" s="559"/>
      <c r="AB5" s="559"/>
      <c r="AC5" s="559"/>
      <c r="AD5" s="559"/>
      <c r="AE5" s="559"/>
      <c r="AF5" s="559"/>
      <c r="AG5" s="559"/>
      <c r="AH5" s="559"/>
      <c r="AI5" s="559"/>
      <c r="AJ5" s="559"/>
      <c r="AK5" s="559"/>
      <c r="AL5" s="559"/>
      <c r="AM5" s="559"/>
      <c r="AN5" s="559"/>
      <c r="AO5" s="560">
        <f t="shared" si="0"/>
        <v>65536</v>
      </c>
    </row>
    <row r="6" s="68" customFormat="1" spans="1:41">
      <c r="A6" s="558" t="s">
        <v>154</v>
      </c>
      <c r="B6" s="559"/>
      <c r="C6" s="559"/>
      <c r="D6" s="559"/>
      <c r="E6" s="559"/>
      <c r="F6" s="559"/>
      <c r="G6" s="559"/>
      <c r="H6" s="559"/>
      <c r="I6" s="559"/>
      <c r="J6" s="559"/>
      <c r="K6" s="559"/>
      <c r="L6" s="559"/>
      <c r="M6" s="559"/>
      <c r="N6" s="559"/>
      <c r="O6" s="559"/>
      <c r="P6" s="559"/>
      <c r="Q6" s="559"/>
      <c r="R6" s="559"/>
      <c r="S6" s="559"/>
      <c r="T6" s="559"/>
      <c r="U6" s="559"/>
      <c r="V6" s="559"/>
      <c r="W6" s="559"/>
      <c r="X6" s="559"/>
      <c r="Y6" s="559"/>
      <c r="Z6" s="559"/>
      <c r="AA6" s="559"/>
      <c r="AB6" s="559"/>
      <c r="AC6" s="559"/>
      <c r="AD6" s="559"/>
      <c r="AE6" s="559"/>
      <c r="AF6" s="559"/>
      <c r="AG6" s="559"/>
      <c r="AH6" s="559"/>
      <c r="AI6" s="559"/>
      <c r="AJ6" s="559"/>
      <c r="AK6" s="559"/>
      <c r="AL6" s="559"/>
      <c r="AM6" s="559"/>
      <c r="AN6" s="559"/>
      <c r="AO6" s="560">
        <f t="shared" si="0"/>
        <v>65536</v>
      </c>
    </row>
    <row r="7" s="68" customFormat="1" spans="1:41">
      <c r="A7" s="558" t="s">
        <v>155</v>
      </c>
      <c r="B7" s="559"/>
      <c r="C7" s="559"/>
      <c r="D7" s="559"/>
      <c r="E7" s="559"/>
      <c r="F7" s="559"/>
      <c r="G7" s="559"/>
      <c r="H7" s="559"/>
      <c r="I7" s="559"/>
      <c r="J7" s="559"/>
      <c r="K7" s="559"/>
      <c r="L7" s="559"/>
      <c r="M7" s="559"/>
      <c r="N7" s="559"/>
      <c r="O7" s="559"/>
      <c r="P7" s="559"/>
      <c r="Q7" s="559"/>
      <c r="R7" s="559"/>
      <c r="S7" s="559"/>
      <c r="T7" s="559"/>
      <c r="U7" s="559"/>
      <c r="V7" s="559"/>
      <c r="W7" s="559"/>
      <c r="X7" s="559"/>
      <c r="Y7" s="559"/>
      <c r="Z7" s="559"/>
      <c r="AA7" s="559"/>
      <c r="AB7" s="559"/>
      <c r="AC7" s="559"/>
      <c r="AD7" s="559"/>
      <c r="AE7" s="559"/>
      <c r="AF7" s="559"/>
      <c r="AG7" s="559"/>
      <c r="AH7" s="559"/>
      <c r="AI7" s="559"/>
      <c r="AJ7" s="559"/>
      <c r="AK7" s="559"/>
      <c r="AL7" s="559"/>
      <c r="AM7" s="559"/>
      <c r="AN7" s="559"/>
      <c r="AO7" s="560">
        <f t="shared" si="0"/>
        <v>65536</v>
      </c>
    </row>
    <row r="8" spans="1:41">
      <c r="A8" t="s" s="557">
        <v>156</v>
      </c>
      <c r="B8" t="s" s="557">
        <v>22</v>
      </c>
      <c r="C8" s="557">
        <v>4</v>
      </c>
      <c r="D8" t="s" s="557">
        <v>157</v>
      </c>
      <c r="E8" t="s" s="557">
        <v>158</v>
      </c>
      <c r="F8" t="s" s="557">
        <v>159</v>
      </c>
      <c r="G8" t="s" s="557">
        <v>160</v>
      </c>
      <c r="H8" t="s" s="557">
        <v>161</v>
      </c>
      <c r="I8" t="s" s="557">
        <v>162</v>
      </c>
      <c r="J8" t="s" s="557">
        <v>163</v>
      </c>
      <c r="T8" s="557">
        <v>2</v>
      </c>
      <c r="U8" t="s" s="557">
        <v>164</v>
      </c>
      <c r="V8" t="s" s="557">
        <v>165</v>
      </c>
      <c r="W8" t="s" s="557">
        <v>166</v>
      </c>
      <c r="X8" t="s" s="557">
        <v>167</v>
      </c>
      <c r="Y8" t="s" s="557">
        <v>168</v>
      </c>
      <c r="Z8" t="s" s="557">
        <v>169</v>
      </c>
      <c r="AA8" t="s" s="557">
        <v>170</v>
      </c>
      <c r="AO8" s="560">
        <f t="shared" ref="AO8:AO71" si="1">ROW()</f>
        <v>8</v>
      </c>
    </row>
    <row r="9" spans="1:41">
      <c r="A9" t="s" s="557">
        <v>171</v>
      </c>
      <c r="B9" t="s" s="557">
        <v>22</v>
      </c>
      <c r="C9" s="557">
        <v>3</v>
      </c>
      <c r="D9" t="s" s="557">
        <v>172</v>
      </c>
      <c r="E9" t="s" s="557">
        <v>173</v>
      </c>
      <c r="F9" t="s" s="557">
        <v>174</v>
      </c>
      <c r="G9" t="s" s="557">
        <v>175</v>
      </c>
      <c r="H9" t="s" s="557">
        <v>176</v>
      </c>
      <c r="I9" t="s" s="557">
        <v>177</v>
      </c>
      <c r="T9" s="557">
        <v>4</v>
      </c>
      <c r="U9" t="s" s="557">
        <v>178</v>
      </c>
      <c r="V9" t="s" s="557">
        <v>179</v>
      </c>
      <c r="W9" t="s" s="557">
        <v>180</v>
      </c>
      <c r="X9" t="s" s="557">
        <v>160</v>
      </c>
      <c r="Y9" t="s" s="557">
        <v>181</v>
      </c>
      <c r="Z9" t="s" s="557">
        <v>182</v>
      </c>
      <c r="AA9" t="s" s="557">
        <v>183</v>
      </c>
      <c r="AO9" s="560">
        <f t="shared" si="1"/>
        <v>9</v>
      </c>
    </row>
    <row r="10" spans="1:41">
      <c r="A10" t="s" s="557">
        <v>184</v>
      </c>
      <c r="B10" t="s" s="557">
        <v>185</v>
      </c>
      <c r="C10" s="557">
        <v>3</v>
      </c>
      <c r="D10" t="s" s="557">
        <v>186</v>
      </c>
      <c r="E10" t="s" s="557">
        <v>158</v>
      </c>
      <c r="F10" t="s" s="557">
        <v>187</v>
      </c>
      <c r="G10" t="s" s="557">
        <v>188</v>
      </c>
      <c r="H10" t="s" s="557">
        <v>189</v>
      </c>
      <c r="I10" t="s" s="557">
        <v>190</v>
      </c>
      <c r="J10" t="s" s="557">
        <v>191</v>
      </c>
      <c r="K10" t="s" s="557">
        <v>192</v>
      </c>
      <c r="L10" t="s" s="557">
        <v>193</v>
      </c>
      <c r="M10" t="s" s="557">
        <v>194</v>
      </c>
      <c r="N10" t="s" s="557">
        <v>195</v>
      </c>
      <c r="T10" s="557">
        <v>1</v>
      </c>
      <c r="U10" t="s" s="557">
        <v>196</v>
      </c>
      <c r="V10" t="s" s="557">
        <v>197</v>
      </c>
      <c r="W10" t="s" s="557">
        <v>159</v>
      </c>
      <c r="X10" t="s" s="557">
        <v>198</v>
      </c>
      <c r="Y10" t="s" s="557">
        <v>199</v>
      </c>
      <c r="AO10" s="560">
        <f t="shared" si="1"/>
        <v>10</v>
      </c>
    </row>
    <row r="11" spans="1:41">
      <c r="A11" t="s" s="557">
        <v>200</v>
      </c>
      <c r="B11" t="s" s="557">
        <v>201</v>
      </c>
      <c r="C11" s="557">
        <v>3</v>
      </c>
      <c r="D11" t="s" s="557">
        <v>179</v>
      </c>
      <c r="E11" t="s" s="557">
        <v>202</v>
      </c>
      <c r="F11" t="s" s="557">
        <v>203</v>
      </c>
      <c r="G11" t="s" s="557">
        <v>163</v>
      </c>
      <c r="H11" t="s" s="557">
        <v>199</v>
      </c>
      <c r="I11" t="s" s="557">
        <v>204</v>
      </c>
      <c r="J11" t="s" s="557">
        <v>205</v>
      </c>
      <c r="T11" s="557">
        <v>2</v>
      </c>
      <c r="U11" t="s" s="557">
        <v>206</v>
      </c>
      <c r="V11" t="s" s="557">
        <v>207</v>
      </c>
      <c r="W11" t="s" s="557">
        <v>208</v>
      </c>
      <c r="X11" t="s" s="557">
        <v>209</v>
      </c>
      <c r="AO11" s="560">
        <f t="shared" si="1"/>
        <v>11</v>
      </c>
    </row>
    <row r="12" spans="1:41">
      <c r="A12" t="s" s="557">
        <v>117</v>
      </c>
      <c r="B12" t="s" s="557">
        <v>22</v>
      </c>
      <c r="C12" s="557">
        <v>4</v>
      </c>
      <c r="D12" t="s" s="557">
        <v>158</v>
      </c>
      <c r="E12" t="s" s="557">
        <v>210</v>
      </c>
      <c r="F12" t="s" s="557">
        <v>211</v>
      </c>
      <c r="G12" t="s" s="557">
        <v>208</v>
      </c>
      <c r="H12" t="s" s="557">
        <v>208</v>
      </c>
      <c r="T12" s="557">
        <v>3</v>
      </c>
      <c r="U12" t="s" s="557">
        <v>178</v>
      </c>
      <c r="V12" t="s" s="557">
        <v>180</v>
      </c>
      <c r="W12" t="s" s="557">
        <v>160</v>
      </c>
      <c r="X12" t="s" s="557">
        <v>212</v>
      </c>
      <c r="Y12" t="s" s="557">
        <v>182</v>
      </c>
      <c r="Z12" t="s" s="557">
        <v>213</v>
      </c>
      <c r="AO12" s="560">
        <f t="shared" si="1"/>
        <v>12</v>
      </c>
    </row>
    <row r="13" spans="1:41">
      <c r="A13" t="s" s="557">
        <v>214</v>
      </c>
      <c r="B13" t="s" s="557">
        <v>215</v>
      </c>
      <c r="C13" s="557">
        <v>2</v>
      </c>
      <c r="D13" t="s" s="557">
        <v>216</v>
      </c>
      <c r="E13" t="s" s="557">
        <v>217</v>
      </c>
      <c r="F13" t="s" s="557">
        <v>218</v>
      </c>
      <c r="G13" t="s" s="557">
        <v>219</v>
      </c>
      <c r="H13" t="s" s="557">
        <v>198</v>
      </c>
      <c r="I13" t="s" s="557">
        <v>220</v>
      </c>
      <c r="J13" t="s" s="557">
        <v>221</v>
      </c>
      <c r="K13" t="s" s="557">
        <v>167</v>
      </c>
      <c r="L13" t="s" s="557">
        <v>222</v>
      </c>
      <c r="M13" t="s" s="557">
        <v>170</v>
      </c>
      <c r="N13" t="s" s="557">
        <v>223</v>
      </c>
      <c r="O13" t="s" s="557">
        <v>195</v>
      </c>
      <c r="AO13" s="560">
        <f t="shared" si="1"/>
        <v>13</v>
      </c>
    </row>
    <row r="14" spans="1:41">
      <c r="A14" t="s" s="557">
        <v>224</v>
      </c>
      <c r="B14" t="s" s="557">
        <v>225</v>
      </c>
      <c r="C14" s="557">
        <v>4</v>
      </c>
      <c r="D14" t="s" s="557">
        <v>186</v>
      </c>
      <c r="E14" t="s" s="557">
        <v>226</v>
      </c>
      <c r="F14" t="s" s="557">
        <v>227</v>
      </c>
      <c r="G14" t="s" s="557">
        <v>228</v>
      </c>
      <c r="H14" t="s" s="557">
        <v>188</v>
      </c>
      <c r="I14" t="s" s="557">
        <v>229</v>
      </c>
      <c r="J14" t="s" s="557">
        <v>230</v>
      </c>
      <c r="K14" t="s" s="557">
        <v>231</v>
      </c>
      <c r="L14" t="s" s="557">
        <v>193</v>
      </c>
      <c r="M14" t="s" s="557">
        <v>222</v>
      </c>
      <c r="N14" t="s" s="557">
        <v>232</v>
      </c>
      <c r="T14" s="557">
        <v>2</v>
      </c>
      <c r="U14" t="s" s="557">
        <v>233</v>
      </c>
      <c r="V14" t="s" s="557">
        <v>218</v>
      </c>
      <c r="W14" t="s" s="557">
        <v>234</v>
      </c>
      <c r="X14" t="s" s="557">
        <v>160</v>
      </c>
      <c r="Y14" t="s" s="557">
        <v>212</v>
      </c>
      <c r="Z14" t="s" s="557">
        <v>166</v>
      </c>
      <c r="AA14" t="s" s="557">
        <v>167</v>
      </c>
      <c r="AB14" t="s" s="557">
        <v>235</v>
      </c>
      <c r="AC14" t="s" s="557">
        <v>213</v>
      </c>
      <c r="AO14" s="560">
        <f t="shared" si="1"/>
        <v>14</v>
      </c>
    </row>
    <row r="15" spans="1:41">
      <c r="A15" t="s" s="557">
        <v>236</v>
      </c>
      <c r="B15" t="s" s="557">
        <v>237</v>
      </c>
      <c r="C15" s="557">
        <v>3</v>
      </c>
      <c r="D15" t="s" s="557">
        <v>186</v>
      </c>
      <c r="E15" t="s" s="557">
        <v>217</v>
      </c>
      <c r="F15" t="s" s="557">
        <v>238</v>
      </c>
      <c r="G15" t="s" s="557">
        <v>239</v>
      </c>
      <c r="H15" t="s" s="557">
        <v>240</v>
      </c>
      <c r="I15" t="s" s="557">
        <v>188</v>
      </c>
      <c r="J15" t="s" s="557">
        <v>241</v>
      </c>
      <c r="K15" t="s" s="557">
        <v>212</v>
      </c>
      <c r="L15" t="s" s="557">
        <v>181</v>
      </c>
      <c r="M15" t="s" s="557">
        <v>167</v>
      </c>
      <c r="N15" t="s" s="557">
        <v>205</v>
      </c>
      <c r="AO15" s="560">
        <f t="shared" si="1"/>
        <v>15</v>
      </c>
    </row>
    <row r="16" spans="1:41">
      <c r="A16" t="s" s="557">
        <v>242</v>
      </c>
      <c r="B16" t="s" s="557">
        <v>243</v>
      </c>
      <c r="C16" s="557">
        <v>3</v>
      </c>
      <c r="D16" t="s" s="557">
        <v>244</v>
      </c>
      <c r="E16" t="s" s="557">
        <v>164</v>
      </c>
      <c r="F16" t="s" s="557">
        <v>245</v>
      </c>
      <c r="G16" t="s" s="557">
        <v>159</v>
      </c>
      <c r="H16" t="s" s="557">
        <v>159</v>
      </c>
      <c r="I16" t="s" s="557">
        <v>160</v>
      </c>
      <c r="J16" t="s" s="557">
        <v>246</v>
      </c>
      <c r="K16" t="s" s="557">
        <v>166</v>
      </c>
      <c r="L16" t="s" s="557">
        <v>182</v>
      </c>
      <c r="M16" t="s" s="557">
        <v>193</v>
      </c>
      <c r="AO16" s="560">
        <f t="shared" si="1"/>
        <v>16</v>
      </c>
    </row>
    <row r="17" spans="1:41">
      <c r="A17" t="s" s="557">
        <v>247</v>
      </c>
      <c r="B17" t="s" s="557">
        <v>22</v>
      </c>
      <c r="C17" s="557">
        <v>3</v>
      </c>
      <c r="D17" t="s" s="557">
        <v>164</v>
      </c>
      <c r="E17" t="s" s="557">
        <v>179</v>
      </c>
      <c r="F17" t="s" s="557">
        <v>210</v>
      </c>
      <c r="G17" t="s" s="557">
        <v>248</v>
      </c>
      <c r="H17" t="s" s="557">
        <v>159</v>
      </c>
      <c r="I17" t="s" s="557">
        <v>159</v>
      </c>
      <c r="J17" t="s" s="557">
        <v>160</v>
      </c>
      <c r="K17" t="s" s="557">
        <v>246</v>
      </c>
      <c r="L17" t="s" s="557">
        <v>166</v>
      </c>
      <c r="M17" t="s" s="557">
        <v>177</v>
      </c>
      <c r="AO17" s="560">
        <f t="shared" si="1"/>
        <v>17</v>
      </c>
    </row>
    <row r="18" spans="1:41">
      <c r="A18" t="s" s="557">
        <v>249</v>
      </c>
      <c r="B18" t="s" s="557">
        <v>250</v>
      </c>
      <c r="C18" s="557">
        <v>2</v>
      </c>
      <c r="D18" t="s" s="557">
        <v>186</v>
      </c>
      <c r="E18" t="s" s="557">
        <v>158</v>
      </c>
      <c r="F18" t="s" s="557">
        <v>187</v>
      </c>
      <c r="G18" t="s" s="557">
        <v>234</v>
      </c>
      <c r="H18" t="s" s="557">
        <v>251</v>
      </c>
      <c r="I18" t="s" s="557">
        <v>229</v>
      </c>
      <c r="J18" t="s" s="557">
        <v>159</v>
      </c>
      <c r="K18" t="s" s="557">
        <v>160</v>
      </c>
      <c r="L18" t="s" s="557">
        <v>191</v>
      </c>
      <c r="M18" t="s" s="557">
        <v>252</v>
      </c>
      <c r="N18" t="s" s="557">
        <v>177</v>
      </c>
      <c r="O18" t="s" s="557">
        <v>222</v>
      </c>
      <c r="P18" t="s" s="557">
        <v>232</v>
      </c>
      <c r="AO18" s="560">
        <f t="shared" si="1"/>
        <v>18</v>
      </c>
    </row>
    <row r="19" spans="1:41">
      <c r="A19" t="s" s="557">
        <v>253</v>
      </c>
      <c r="B19" t="s" s="557">
        <v>243</v>
      </c>
      <c r="C19" s="557">
        <v>4</v>
      </c>
      <c r="D19" t="s" s="557">
        <v>178</v>
      </c>
      <c r="E19" t="s" s="557">
        <v>179</v>
      </c>
      <c r="F19" t="s" s="557">
        <v>254</v>
      </c>
      <c r="G19" t="s" s="557">
        <v>252</v>
      </c>
      <c r="T19" s="557">
        <v>4</v>
      </c>
      <c r="U19" t="s" s="557">
        <v>197</v>
      </c>
      <c r="V19" t="s" s="557">
        <v>227</v>
      </c>
      <c r="W19" t="s" s="557">
        <v>159</v>
      </c>
      <c r="X19" t="s" s="557">
        <v>255</v>
      </c>
      <c r="Y19" t="s" s="557">
        <v>199</v>
      </c>
      <c r="AO19" s="560">
        <f t="shared" si="1"/>
        <v>19</v>
      </c>
    </row>
    <row r="20" spans="1:41">
      <c r="A20" t="s" s="557">
        <v>256</v>
      </c>
      <c r="B20" t="s" s="557">
        <v>243</v>
      </c>
      <c r="C20" s="557">
        <v>4</v>
      </c>
      <c r="D20" t="s" s="557">
        <v>257</v>
      </c>
      <c r="E20" t="s" s="557">
        <v>246</v>
      </c>
      <c r="F20" t="s" s="557">
        <v>254</v>
      </c>
      <c r="G20" t="s" s="557">
        <v>193</v>
      </c>
      <c r="T20" s="557">
        <v>5</v>
      </c>
      <c r="U20" t="s" s="557">
        <v>164</v>
      </c>
      <c r="V20" t="s" s="557">
        <v>165</v>
      </c>
      <c r="W20" t="s" s="557">
        <v>258</v>
      </c>
      <c r="X20" t="s" s="557">
        <v>179</v>
      </c>
      <c r="Y20" t="s" s="557">
        <v>210</v>
      </c>
      <c r="Z20" t="s" s="557">
        <v>187</v>
      </c>
      <c r="AA20" t="s" s="557">
        <v>160</v>
      </c>
      <c r="AB20" t="s" s="557">
        <v>182</v>
      </c>
      <c r="AC20" t="s" s="557">
        <v>259</v>
      </c>
      <c r="AD20" t="s" s="557">
        <v>235</v>
      </c>
      <c r="AE20" t="s" s="557">
        <v>183</v>
      </c>
      <c r="AO20" s="560">
        <f t="shared" si="1"/>
        <v>20</v>
      </c>
    </row>
    <row r="21" spans="1:41">
      <c r="A21" t="s" s="557">
        <v>260</v>
      </c>
      <c r="B21" t="s" s="557">
        <v>250</v>
      </c>
      <c r="C21" s="557">
        <v>4</v>
      </c>
      <c r="D21" t="s" s="557">
        <v>261</v>
      </c>
      <c r="E21" t="s" s="557">
        <v>158</v>
      </c>
      <c r="F21" t="s" s="557">
        <v>202</v>
      </c>
      <c r="G21" t="s" s="557">
        <v>254</v>
      </c>
      <c r="H21" t="s" s="557">
        <v>262</v>
      </c>
      <c r="I21" t="s" s="557">
        <v>163</v>
      </c>
      <c r="J21" t="s" s="557">
        <v>213</v>
      </c>
      <c r="K21" t="s" s="557">
        <v>263</v>
      </c>
      <c r="T21" s="557">
        <v>2</v>
      </c>
      <c r="U21" t="s" s="557">
        <v>264</v>
      </c>
      <c r="V21" t="s" s="557">
        <v>212</v>
      </c>
      <c r="W21" t="s" s="557">
        <v>167</v>
      </c>
      <c r="X21" t="s" s="557">
        <v>265</v>
      </c>
      <c r="Y21" t="s" s="557">
        <v>169</v>
      </c>
      <c r="AO21" s="560">
        <f t="shared" si="1"/>
        <v>21</v>
      </c>
    </row>
    <row r="22" spans="1:41">
      <c r="A22" t="s" s="557">
        <v>266</v>
      </c>
      <c r="B22" t="s" s="557">
        <v>267</v>
      </c>
      <c r="C22" s="557">
        <v>3</v>
      </c>
      <c r="D22" t="s" s="557">
        <v>216</v>
      </c>
      <c r="E22" t="s" s="557">
        <v>268</v>
      </c>
      <c r="F22" t="s" s="557">
        <v>238</v>
      </c>
      <c r="G22" t="s" s="557">
        <v>239</v>
      </c>
      <c r="H22" t="s" s="557">
        <v>167</v>
      </c>
      <c r="I22" t="s" s="557">
        <v>269</v>
      </c>
      <c r="J22" t="s" s="557">
        <v>270</v>
      </c>
      <c r="K22" t="s" s="557">
        <v>271</v>
      </c>
      <c r="T22" s="557">
        <v>2</v>
      </c>
      <c r="U22" t="s" s="557">
        <v>159</v>
      </c>
      <c r="V22" t="s" s="557">
        <v>272</v>
      </c>
      <c r="W22" t="s" s="557">
        <v>198</v>
      </c>
      <c r="X22" t="s" s="557">
        <v>273</v>
      </c>
      <c r="AO22" s="560">
        <f t="shared" si="1"/>
        <v>22</v>
      </c>
    </row>
    <row r="23" spans="1:41">
      <c r="A23" t="s" s="557">
        <v>274</v>
      </c>
      <c r="B23" t="s" s="557">
        <v>215</v>
      </c>
      <c r="C23" s="557">
        <v>3</v>
      </c>
      <c r="D23" t="s" s="557">
        <v>216</v>
      </c>
      <c r="E23" t="s" s="557">
        <v>158</v>
      </c>
      <c r="F23" t="s" s="557">
        <v>248</v>
      </c>
      <c r="G23" t="s" s="557">
        <v>188</v>
      </c>
      <c r="H23" t="s" s="557">
        <v>229</v>
      </c>
      <c r="I23" t="s" s="557">
        <v>275</v>
      </c>
      <c r="J23" t="s" s="557">
        <v>166</v>
      </c>
      <c r="K23" t="s" s="557">
        <v>192</v>
      </c>
      <c r="L23" t="s" s="557">
        <v>220</v>
      </c>
      <c r="M23" t="s" s="557">
        <v>276</v>
      </c>
      <c r="N23" t="s" s="557">
        <v>163</v>
      </c>
      <c r="O23" t="s" s="557">
        <v>205</v>
      </c>
      <c r="P23" t="s" s="557">
        <v>195</v>
      </c>
      <c r="T23" s="557">
        <v>1</v>
      </c>
      <c r="U23" t="s" s="557">
        <v>206</v>
      </c>
      <c r="V23" t="s" s="557">
        <v>277</v>
      </c>
      <c r="W23" t="s" s="557">
        <v>198</v>
      </c>
      <c r="X23" t="s" s="557">
        <v>278</v>
      </c>
      <c r="AO23" s="560">
        <f t="shared" si="1"/>
        <v>23</v>
      </c>
    </row>
    <row r="24" spans="1:41">
      <c r="A24" t="s" s="557">
        <v>279</v>
      </c>
      <c r="B24" t="s" s="557">
        <v>243</v>
      </c>
      <c r="C24" s="557">
        <v>4</v>
      </c>
      <c r="D24" t="s" s="557">
        <v>196</v>
      </c>
      <c r="E24" t="s" s="557">
        <v>245</v>
      </c>
      <c r="F24" t="s" s="557">
        <v>197</v>
      </c>
      <c r="G24" t="s" s="557">
        <v>280</v>
      </c>
      <c r="H24" t="s" s="557">
        <v>159</v>
      </c>
      <c r="I24" t="s" s="557">
        <v>246</v>
      </c>
      <c r="J24" t="s" s="557">
        <v>182</v>
      </c>
      <c r="K24" t="s" s="557">
        <v>193</v>
      </c>
      <c r="T24" s="557">
        <v>1</v>
      </c>
      <c r="U24" t="s" s="557">
        <v>281</v>
      </c>
      <c r="V24" t="s" s="557">
        <v>282</v>
      </c>
      <c r="W24" t="s" s="557">
        <v>283</v>
      </c>
      <c r="X24" t="s" s="557">
        <v>284</v>
      </c>
      <c r="AO24" s="560">
        <f t="shared" si="1"/>
        <v>24</v>
      </c>
    </row>
    <row r="25" spans="1:41">
      <c r="A25" t="s" s="557">
        <v>285</v>
      </c>
      <c r="B25" t="s" s="557">
        <v>286</v>
      </c>
      <c r="C25" s="557">
        <v>4</v>
      </c>
      <c r="D25" t="s" s="557">
        <v>186</v>
      </c>
      <c r="E25" t="s" s="557">
        <v>226</v>
      </c>
      <c r="F25" t="s" s="557">
        <v>268</v>
      </c>
      <c r="G25" t="s" s="557">
        <v>251</v>
      </c>
      <c r="H25" t="s" s="557">
        <v>229</v>
      </c>
      <c r="I25" t="s" s="557">
        <v>287</v>
      </c>
      <c r="J25" t="s" s="557">
        <v>288</v>
      </c>
      <c r="K25" t="s" s="557">
        <v>276</v>
      </c>
      <c r="L25" t="s" s="557">
        <v>289</v>
      </c>
      <c r="M25" t="s" s="557">
        <v>232</v>
      </c>
      <c r="T25" s="557">
        <v>3</v>
      </c>
      <c r="U25" t="s" s="557">
        <v>290</v>
      </c>
      <c r="V25" t="s" s="557">
        <v>210</v>
      </c>
      <c r="W25" t="s" s="557">
        <v>180</v>
      </c>
      <c r="X25" t="s" s="557">
        <v>218</v>
      </c>
      <c r="Y25" t="s" s="557">
        <v>160</v>
      </c>
      <c r="Z25" t="s" s="557">
        <v>181</v>
      </c>
      <c r="AA25" t="s" s="557">
        <v>291</v>
      </c>
      <c r="AB25" t="s" s="557">
        <v>169</v>
      </c>
      <c r="AC25" t="s" s="557">
        <v>177</v>
      </c>
      <c r="AD25" t="s" s="557">
        <v>292</v>
      </c>
      <c r="AO25" s="560">
        <f t="shared" si="1"/>
        <v>25</v>
      </c>
    </row>
    <row r="26" spans="1:41">
      <c r="A26" t="s" s="557">
        <v>293</v>
      </c>
      <c r="AF26" t="s" s="557">
        <v>184</v>
      </c>
      <c r="AJ26" t="s" s="557">
        <v>93</v>
      </c>
      <c r="AK26" t="s" s="557">
        <v>84</v>
      </c>
      <c r="AL26" t="s" s="557">
        <v>294</v>
      </c>
      <c r="AM26" t="s" s="557">
        <v>98</v>
      </c>
      <c r="AN26" s="557" t="str">
        <f>附表!$L$62&amp;"。"</f>
        <v>参见《特工手册》的“本职装备：联邦探员”。</v>
      </c>
      <c r="AO26" s="560">
        <f t="shared" si="1"/>
        <v>26</v>
      </c>
    </row>
    <row r="27" spans="1:41">
      <c r="A27" t="s" s="557">
        <v>295</v>
      </c>
      <c r="AF27" t="s" s="557">
        <v>184</v>
      </c>
      <c r="AG27" t="s" s="557">
        <v>123</v>
      </c>
      <c r="AH27" t="s" s="557">
        <v>296</v>
      </c>
      <c r="AJ27" t="s" s="557">
        <v>297</v>
      </c>
      <c r="AK27" t="s" s="557">
        <v>115</v>
      </c>
      <c r="AL27" t="s" s="557">
        <v>100</v>
      </c>
      <c r="AM27" t="s" s="557">
        <v>87</v>
      </c>
      <c r="AN27" s="557" t="str">
        <f>附表!$L$62&amp;"，此外还有一台强固式笔电，加载先进的数据分析软件，化学嗅探器/分析仪。"</f>
        <v>参见《特工手册》的“本职装备：联邦探员”，此外还有一台强固式笔电，加载先进的数据分析软件，化学嗅探器/分析仪。</v>
      </c>
      <c r="AO27" s="560">
        <f t="shared" si="1"/>
        <v>27</v>
      </c>
    </row>
    <row r="28" spans="1:41">
      <c r="A28" t="s" s="557">
        <v>298</v>
      </c>
      <c r="AF28" t="s" s="557">
        <v>299</v>
      </c>
      <c r="AG28" t="s" s="557">
        <v>296</v>
      </c>
      <c r="AH28" t="s" s="557">
        <v>200</v>
      </c>
      <c r="AI28" t="s" s="557">
        <v>117</v>
      </c>
      <c r="AJ28" t="s" s="557">
        <v>87</v>
      </c>
      <c r="AK28" t="s" s="557">
        <v>115</v>
      </c>
      <c r="AL28" t="s" s="557">
        <v>91</v>
      </c>
      <c r="AM28" t="s" s="557">
        <v>300</v>
      </c>
      <c r="AN28" t="s" s="557">
        <v>301</v>
      </c>
      <c r="AO28" s="560">
        <f t="shared" si="1"/>
        <v>28</v>
      </c>
    </row>
    <row r="29" spans="1:41">
      <c r="A29" t="s" s="557">
        <v>302</v>
      </c>
      <c r="AF29" t="s" s="557">
        <v>123</v>
      </c>
      <c r="AG29" t="s" s="557">
        <v>296</v>
      </c>
      <c r="AJ29" t="s" s="557">
        <v>93</v>
      </c>
      <c r="AK29" t="s" s="557">
        <v>109</v>
      </c>
      <c r="AL29" t="s" s="557">
        <v>101</v>
      </c>
      <c r="AM29" t="s" s="557">
        <v>61</v>
      </c>
      <c r="AN29" t="s" s="557">
        <v>303</v>
      </c>
      <c r="AO29" s="560">
        <f t="shared" si="1"/>
        <v>29</v>
      </c>
    </row>
    <row r="30" spans="1:41">
      <c r="A30" t="s" s="557">
        <v>304</v>
      </c>
      <c r="C30" s="557">
        <v>1</v>
      </c>
      <c r="D30" t="s" s="557">
        <v>216</v>
      </c>
      <c r="E30" t="s" s="557">
        <v>217</v>
      </c>
      <c r="F30" t="s" s="557">
        <v>218</v>
      </c>
      <c r="G30" t="s" s="557">
        <v>305</v>
      </c>
      <c r="H30" t="s" s="557">
        <v>219</v>
      </c>
      <c r="I30" t="s" s="557">
        <v>190</v>
      </c>
      <c r="J30" t="s" s="557">
        <v>198</v>
      </c>
      <c r="K30" t="s" s="557">
        <v>220</v>
      </c>
      <c r="L30" t="s" s="557">
        <v>221</v>
      </c>
      <c r="M30" t="s" s="557">
        <v>167</v>
      </c>
      <c r="N30" t="s" s="557">
        <v>222</v>
      </c>
      <c r="O30" t="s" s="557">
        <v>170</v>
      </c>
      <c r="P30" t="s" s="557">
        <v>223</v>
      </c>
      <c r="Q30" t="s" s="557">
        <v>195</v>
      </c>
      <c r="AJ30" t="s" s="557">
        <v>93</v>
      </c>
      <c r="AK30" t="s" s="557">
        <v>101</v>
      </c>
      <c r="AL30" t="s" s="557">
        <v>68</v>
      </c>
      <c r="AM30" t="s" s="557">
        <v>102</v>
      </c>
      <c r="AN30" s="557" t="str">
        <f>附表!$L$63&amp;"。HRT还能获得专业便携式电脑，可使用FBI的指纹自动识别系统（IAFIS）及DoD的自动生物识别系统（ABIS）。"</f>
        <v>参见《特工手册》的“本职装备：特警部队”。HRT还能获得专业便携式电脑，可使用FBI的指纹自动识别系统（IAFIS）及DoD的自动生物识别系统（ABIS）。</v>
      </c>
      <c r="AO30" s="560">
        <f t="shared" si="1"/>
        <v>30</v>
      </c>
    </row>
    <row r="31" spans="1:41">
      <c r="A31" t="s" s="557">
        <v>306</v>
      </c>
      <c r="AF31" t="s" s="557">
        <v>184</v>
      </c>
      <c r="AG31" t="s" s="557">
        <v>307</v>
      </c>
      <c r="AJ31" t="s" s="557">
        <v>93</v>
      </c>
      <c r="AK31" t="s" s="557">
        <v>84</v>
      </c>
      <c r="AL31" t="s" s="557">
        <v>294</v>
      </c>
      <c r="AM31" t="s" s="557">
        <v>98</v>
      </c>
      <c r="AN31" s="557" t="str">
        <f>附表!$L$62&amp;"。"</f>
        <v>参见《特工手册》的“本职装备：联邦探员”。</v>
      </c>
      <c r="AO31" s="560">
        <f t="shared" si="1"/>
        <v>31</v>
      </c>
    </row>
    <row r="32" spans="1:41">
      <c r="A32" t="s" s="557">
        <v>308</v>
      </c>
      <c r="AF32" t="s" s="557">
        <v>156</v>
      </c>
      <c r="AG32" t="s" s="557">
        <v>309</v>
      </c>
      <c r="AH32" t="s" s="557">
        <v>310</v>
      </c>
      <c r="AI32" t="s" s="557">
        <v>117</v>
      </c>
      <c r="AJ32" t="s" s="557">
        <v>60</v>
      </c>
      <c r="AK32" t="s" s="557">
        <v>109</v>
      </c>
      <c r="AL32" t="s" s="557">
        <v>61</v>
      </c>
      <c r="AM32" t="s" s="557">
        <v>84</v>
      </c>
      <c r="AN32" t="s" s="557">
        <v>311</v>
      </c>
      <c r="AO32" s="560">
        <f t="shared" si="1"/>
        <v>32</v>
      </c>
    </row>
    <row r="33" spans="1:41">
      <c r="A33" t="s" s="557">
        <v>312</v>
      </c>
      <c r="AF33" t="s" s="557">
        <v>299</v>
      </c>
      <c r="AG33" t="s" s="557">
        <v>123</v>
      </c>
      <c r="AJ33" t="s" s="557">
        <v>87</v>
      </c>
      <c r="AK33" t="s" s="557">
        <v>93</v>
      </c>
      <c r="AL33" t="s" s="557">
        <v>61</v>
      </c>
      <c r="AM33" t="s" s="557">
        <v>100</v>
      </c>
      <c r="AN33" t="s" s="557">
        <v>313</v>
      </c>
      <c r="AO33" s="560">
        <f t="shared" si="1"/>
        <v>33</v>
      </c>
    </row>
    <row r="34" spans="1:41">
      <c r="A34" t="s" s="557">
        <v>314</v>
      </c>
      <c r="C34" s="557">
        <v>2</v>
      </c>
      <c r="D34" t="s" s="557">
        <v>186</v>
      </c>
      <c r="E34" t="s" s="557">
        <v>158</v>
      </c>
      <c r="F34" t="s" s="557">
        <v>187</v>
      </c>
      <c r="G34" t="s" s="557">
        <v>251</v>
      </c>
      <c r="H34" t="s" s="557">
        <v>189</v>
      </c>
      <c r="I34" t="s" s="557">
        <v>315</v>
      </c>
      <c r="J34" t="s" s="557">
        <v>190</v>
      </c>
      <c r="K34" t="s" s="557">
        <v>316</v>
      </c>
      <c r="L34" t="s" s="557">
        <v>317</v>
      </c>
      <c r="M34" t="s" s="557">
        <v>192</v>
      </c>
      <c r="N34" t="s" s="557">
        <v>318</v>
      </c>
      <c r="O34" t="s" s="557">
        <v>163</v>
      </c>
      <c r="P34" t="s" s="557">
        <v>319</v>
      </c>
      <c r="Q34" t="s" s="557">
        <v>194</v>
      </c>
      <c r="R34" t="s" s="557">
        <v>320</v>
      </c>
      <c r="S34" t="s" s="557">
        <v>195</v>
      </c>
      <c r="AJ34" t="s" s="557">
        <v>77</v>
      </c>
      <c r="AK34" t="s" s="557">
        <v>101</v>
      </c>
      <c r="AL34" t="s" s="557">
        <v>109</v>
      </c>
      <c r="AM34" t="s" s="557">
        <v>98</v>
      </c>
      <c r="AN34" s="557" t="str">
        <f>附表!$L$64&amp;"。"</f>
        <v>参见《特工手册》的“本职装备：警局警员”。</v>
      </c>
      <c r="AO34" s="560">
        <f t="shared" si="1"/>
        <v>34</v>
      </c>
    </row>
    <row r="35" spans="1:41">
      <c r="A35" t="s" s="557">
        <v>321</v>
      </c>
      <c r="AF35" t="s" s="557">
        <v>184</v>
      </c>
      <c r="AJ35" t="s" s="557">
        <v>83</v>
      </c>
      <c r="AK35" t="s" s="557">
        <v>93</v>
      </c>
      <c r="AL35" t="s" s="557">
        <v>109</v>
      </c>
      <c r="AM35" t="s" s="557">
        <v>115</v>
      </c>
      <c r="AN35" s="557" t="str">
        <f>附表!$L$62&amp;"。"</f>
        <v>参见《特工手册》的“本职装备：联邦探员”。</v>
      </c>
      <c r="AO35" s="560">
        <f t="shared" si="1"/>
        <v>35</v>
      </c>
    </row>
    <row r="36" spans="1:41">
      <c r="A36" t="s" s="557">
        <v>322</v>
      </c>
      <c r="AF36" t="s" s="557">
        <v>323</v>
      </c>
      <c r="AG36" t="s" s="557">
        <v>123</v>
      </c>
      <c r="AJ36" t="s" s="557">
        <v>83</v>
      </c>
      <c r="AK36" t="s" s="557">
        <v>87</v>
      </c>
      <c r="AL36" t="s" s="557">
        <v>300</v>
      </c>
      <c r="AM36" t="s" s="557">
        <v>100</v>
      </c>
      <c r="AN36" s="557" t="str">
        <f>附表!$L$62&amp;"。"</f>
        <v>参见《特工手册》的“本职装备：联邦探员”。</v>
      </c>
      <c r="AO36" s="560">
        <f t="shared" si="1"/>
        <v>36</v>
      </c>
    </row>
    <row r="37" spans="1:41">
      <c r="A37" t="s" s="557">
        <v>324</v>
      </c>
      <c r="C37" s="557">
        <v>2</v>
      </c>
      <c r="D37" t="s" s="557">
        <v>186</v>
      </c>
      <c r="E37" t="s" s="557">
        <v>158</v>
      </c>
      <c r="F37" t="s" s="557">
        <v>187</v>
      </c>
      <c r="G37" t="s" s="557">
        <v>305</v>
      </c>
      <c r="H37" t="s" s="557">
        <v>188</v>
      </c>
      <c r="I37" t="s" s="557">
        <v>189</v>
      </c>
      <c r="J37" t="s" s="557">
        <v>190</v>
      </c>
      <c r="K37" t="s" s="557">
        <v>198</v>
      </c>
      <c r="L37" t="s" s="557">
        <v>191</v>
      </c>
      <c r="M37" t="s" s="557">
        <v>192</v>
      </c>
      <c r="N37" t="s" s="557">
        <v>193</v>
      </c>
      <c r="O37" t="s" s="557">
        <v>194</v>
      </c>
      <c r="P37" t="s" s="557">
        <v>325</v>
      </c>
      <c r="Q37" t="s" s="557">
        <v>195</v>
      </c>
      <c r="AJ37" t="s" s="557">
        <v>97</v>
      </c>
      <c r="AK37" t="s" s="557">
        <v>101</v>
      </c>
      <c r="AL37" t="s" s="557">
        <v>93</v>
      </c>
      <c r="AM37" t="s" s="557">
        <v>68</v>
      </c>
      <c r="AN37" s="557" t="str">
        <f>附表!$L$63&amp;"。"</f>
        <v>参见《特工手册》的“本职装备：特警部队”。</v>
      </c>
      <c r="AO37" s="560">
        <f t="shared" si="1"/>
        <v>37</v>
      </c>
    </row>
    <row r="38" spans="1:41">
      <c r="A38" t="s" s="557">
        <v>326</v>
      </c>
      <c r="AF38" t="s" s="557">
        <v>184</v>
      </c>
      <c r="AJ38" t="s" s="557">
        <v>77</v>
      </c>
      <c r="AK38" t="s" s="557">
        <v>115</v>
      </c>
      <c r="AL38" t="s" s="557">
        <v>78</v>
      </c>
      <c r="AM38" t="s" s="557">
        <v>108</v>
      </c>
      <c r="AN38" s="557" t="str">
        <f>附表!$L$62&amp;"。"</f>
        <v>参见《特工手册》的“本职装备：联邦探员”。</v>
      </c>
      <c r="AO38" s="560">
        <f t="shared" si="1"/>
        <v>38</v>
      </c>
    </row>
    <row r="39" spans="1:41">
      <c r="A39" t="s" s="557">
        <v>327</v>
      </c>
      <c r="AF39" t="s" s="557">
        <v>184</v>
      </c>
      <c r="AJ39" t="s" s="557">
        <v>93</v>
      </c>
      <c r="AK39" t="s" s="557">
        <v>109</v>
      </c>
      <c r="AL39" t="s" s="557">
        <v>61</v>
      </c>
      <c r="AM39" t="s" s="557">
        <v>98</v>
      </c>
      <c r="AN39" s="557" t="str">
        <f>附表!$L$62&amp;"。"</f>
        <v>参见《特工手册》的“本职装备：联邦探员”。</v>
      </c>
      <c r="AO39" s="560">
        <f t="shared" si="1"/>
        <v>39</v>
      </c>
    </row>
    <row r="40" spans="1:41">
      <c r="A40" t="s" s="557">
        <v>328</v>
      </c>
      <c r="C40" s="557">
        <v>2</v>
      </c>
      <c r="D40" t="s" s="557">
        <v>186</v>
      </c>
      <c r="E40" t="s" s="557">
        <v>329</v>
      </c>
      <c r="F40" t="s" s="557">
        <v>158</v>
      </c>
      <c r="G40" t="s" s="557">
        <v>187</v>
      </c>
      <c r="H40" t="s" s="557">
        <v>228</v>
      </c>
      <c r="I40" t="s" s="557">
        <v>188</v>
      </c>
      <c r="J40" t="s" s="557">
        <v>189</v>
      </c>
      <c r="K40" t="s" s="557">
        <v>190</v>
      </c>
      <c r="L40" t="s" s="557">
        <v>198</v>
      </c>
      <c r="M40" t="s" s="557">
        <v>191</v>
      </c>
      <c r="N40" t="s" s="557">
        <v>192</v>
      </c>
      <c r="O40" t="s" s="557">
        <v>193</v>
      </c>
      <c r="P40" t="s" s="557">
        <v>194</v>
      </c>
      <c r="Q40" t="s" s="557">
        <v>325</v>
      </c>
      <c r="R40" t="s" s="557">
        <v>195</v>
      </c>
      <c r="AJ40" t="s" s="557">
        <v>77</v>
      </c>
      <c r="AK40" t="s" s="557">
        <v>97</v>
      </c>
      <c r="AL40" t="s" s="557">
        <v>101</v>
      </c>
      <c r="AM40" t="s" s="557">
        <v>108</v>
      </c>
      <c r="AN40" s="557" t="str">
        <f>附表!$L$63&amp;"。"</f>
        <v>参见《特工手册》的“本职装备：特警部队”。</v>
      </c>
      <c r="AO40" s="560">
        <f t="shared" si="1"/>
        <v>40</v>
      </c>
    </row>
    <row r="41" spans="1:41">
      <c r="A41" t="s" s="557">
        <v>330</v>
      </c>
      <c r="AF41" t="s" s="557">
        <v>117</v>
      </c>
      <c r="AJ41" t="s" s="557">
        <v>83</v>
      </c>
      <c r="AK41" t="s" s="557">
        <v>331</v>
      </c>
      <c r="AL41" t="s" s="557">
        <v>84</v>
      </c>
      <c r="AM41" t="s" s="557">
        <v>332</v>
      </c>
      <c r="AN41" t="s" s="557">
        <v>333</v>
      </c>
      <c r="AO41" s="560">
        <f t="shared" si="1"/>
        <v>41</v>
      </c>
    </row>
    <row r="42" spans="1:41">
      <c r="A42" t="s" s="557">
        <v>334</v>
      </c>
      <c r="AF42" t="s" s="557">
        <v>335</v>
      </c>
      <c r="AJ42" t="s" s="557">
        <v>83</v>
      </c>
      <c r="AK42" t="s" s="557">
        <v>115</v>
      </c>
      <c r="AL42" t="s" s="557">
        <v>336</v>
      </c>
      <c r="AM42" t="s" s="557">
        <v>100</v>
      </c>
      <c r="AN42" s="557" t="str">
        <f>附表!$L$65&amp;"，还有特化的情报和许多不同的生存装备。"</f>
        <v>参见《特工手册》的“本职装备：特种作战员”，还有特化的情报和许多不同的生存装备。</v>
      </c>
      <c r="AO42" s="560">
        <f t="shared" si="1"/>
        <v>42</v>
      </c>
    </row>
    <row r="43" spans="1:41">
      <c r="A43" t="s" s="557">
        <v>337</v>
      </c>
      <c r="C43" s="557">
        <v>3</v>
      </c>
      <c r="D43" t="s" s="557">
        <v>186</v>
      </c>
      <c r="E43" t="s" s="557">
        <v>217</v>
      </c>
      <c r="F43" t="s" s="557">
        <v>268</v>
      </c>
      <c r="G43" t="s" s="557">
        <v>251</v>
      </c>
      <c r="H43" t="s" s="557">
        <v>229</v>
      </c>
      <c r="I43" t="s" s="557">
        <v>275</v>
      </c>
      <c r="J43" t="s" s="557">
        <v>288</v>
      </c>
      <c r="K43" t="s" s="557">
        <v>167</v>
      </c>
      <c r="L43" t="s" s="557">
        <v>289</v>
      </c>
      <c r="M43" t="s" s="557">
        <v>170</v>
      </c>
      <c r="N43" t="s" s="557">
        <v>232</v>
      </c>
      <c r="T43" s="557">
        <v>3</v>
      </c>
      <c r="U43" t="s" s="557">
        <v>210</v>
      </c>
      <c r="V43" t="s" s="557">
        <v>180</v>
      </c>
      <c r="W43" t="s" s="557">
        <v>218</v>
      </c>
      <c r="X43" t="s" s="557">
        <v>160</v>
      </c>
      <c r="Y43" t="s" s="557">
        <v>181</v>
      </c>
      <c r="Z43" t="s" s="557">
        <v>291</v>
      </c>
      <c r="AA43" t="s" s="557">
        <v>169</v>
      </c>
      <c r="AB43" t="s" s="557">
        <v>177</v>
      </c>
      <c r="AC43" t="s" s="557">
        <v>292</v>
      </c>
      <c r="AJ43" t="s" s="557">
        <v>77</v>
      </c>
      <c r="AK43" t="s" s="557">
        <v>101</v>
      </c>
      <c r="AL43" t="s" s="557">
        <v>103</v>
      </c>
      <c r="AM43" t="s" s="557">
        <v>113</v>
      </c>
      <c r="AN43" s="557" t="str">
        <f>附表!$L$65&amp;"，并可获得专门的寒冷天气、高山和沙漠生存装备和设备。"</f>
        <v>参见《特工手册》的“本职装备：特种作战员”，并可获得专门的寒冷天气、高山和沙漠生存装备和设备。</v>
      </c>
      <c r="AO43" s="560">
        <f t="shared" si="1"/>
        <v>43</v>
      </c>
    </row>
    <row r="44" spans="1:41">
      <c r="A44" t="s" s="557">
        <v>338</v>
      </c>
      <c r="C44" s="557">
        <v>3</v>
      </c>
      <c r="D44" t="s" s="557">
        <v>186</v>
      </c>
      <c r="E44" t="s" s="557">
        <v>226</v>
      </c>
      <c r="F44" t="s" s="557">
        <v>268</v>
      </c>
      <c r="G44" t="s" s="557">
        <v>188</v>
      </c>
      <c r="H44" t="s" s="557">
        <v>229</v>
      </c>
      <c r="I44" t="s" s="557">
        <v>275</v>
      </c>
      <c r="J44" t="s" s="557">
        <v>339</v>
      </c>
      <c r="K44" t="s" s="557">
        <v>291</v>
      </c>
      <c r="L44" t="s" s="557">
        <v>340</v>
      </c>
      <c r="M44" t="s" s="557">
        <v>167</v>
      </c>
      <c r="N44" t="s" s="557">
        <v>341</v>
      </c>
      <c r="O44" t="s" s="557">
        <v>170</v>
      </c>
      <c r="P44" t="s" s="557">
        <v>232</v>
      </c>
      <c r="T44" s="557">
        <v>1</v>
      </c>
      <c r="U44" t="s" s="557">
        <v>290</v>
      </c>
      <c r="V44" t="s" s="557">
        <v>210</v>
      </c>
      <c r="W44" t="s" s="557">
        <v>180</v>
      </c>
      <c r="X44" t="s" s="557">
        <v>218</v>
      </c>
      <c r="Y44" t="s" s="557">
        <v>160</v>
      </c>
      <c r="Z44" t="s" s="557">
        <v>177</v>
      </c>
      <c r="AJ44" t="s" s="557">
        <v>101</v>
      </c>
      <c r="AK44" t="s" s="557">
        <v>112</v>
      </c>
      <c r="AL44" t="s" s="557">
        <v>100</v>
      </c>
      <c r="AM44" t="s" s="557">
        <v>106</v>
      </c>
      <c r="AN44" s="557" t="str">
        <f>附表!$L$65&amp;"，以及先进的监视、监听设备，包括远距离、加固的激光指示器。"</f>
        <v>参见《特工手册》的“本职装备：特种作战员”，以及先进的监视、监听设备，包括远距离、加固的激光指示器。</v>
      </c>
      <c r="AO44" s="560">
        <f t="shared" si="1"/>
        <v>44</v>
      </c>
    </row>
    <row r="45" spans="1:41">
      <c r="A45" t="s" s="557">
        <v>342</v>
      </c>
      <c r="AF45" t="s" s="557">
        <v>200</v>
      </c>
      <c r="AJ45" t="s" s="557">
        <v>77</v>
      </c>
      <c r="AK45" t="s" s="557">
        <v>103</v>
      </c>
      <c r="AL45" t="s" s="557">
        <v>66</v>
      </c>
      <c r="AM45" t="s" s="557">
        <v>104</v>
      </c>
      <c r="AN45" t="s" s="557">
        <v>343</v>
      </c>
      <c r="AO45" s="560">
        <f t="shared" si="1"/>
        <v>45</v>
      </c>
    </row>
    <row r="46" spans="1:41">
      <c r="A46" t="s" s="557">
        <v>344</v>
      </c>
      <c r="C46" s="557">
        <v>1</v>
      </c>
      <c r="D46" t="s" s="557">
        <v>186</v>
      </c>
      <c r="E46" t="s" s="557">
        <v>217</v>
      </c>
      <c r="F46" t="s" s="557">
        <v>218</v>
      </c>
      <c r="G46" t="s" s="557">
        <v>219</v>
      </c>
      <c r="H46" t="s" s="557">
        <v>345</v>
      </c>
      <c r="I46" t="s" s="557">
        <v>198</v>
      </c>
      <c r="J46" t="s" s="557">
        <v>254</v>
      </c>
      <c r="K46" t="s" s="557">
        <v>220</v>
      </c>
      <c r="L46" t="s" s="557">
        <v>221</v>
      </c>
      <c r="M46" t="s" s="557">
        <v>167</v>
      </c>
      <c r="N46" t="s" s="557">
        <v>163</v>
      </c>
      <c r="O46" t="s" s="557">
        <v>222</v>
      </c>
      <c r="P46" t="s" s="557">
        <v>170</v>
      </c>
      <c r="Q46" t="s" s="557">
        <v>223</v>
      </c>
      <c r="R46" t="s" s="557">
        <v>195</v>
      </c>
      <c r="AJ46" t="s" s="557">
        <v>101</v>
      </c>
      <c r="AK46" t="s" s="557">
        <v>95</v>
      </c>
      <c r="AL46" t="s" s="557">
        <v>78</v>
      </c>
      <c r="AM46" t="s" s="557">
        <v>100</v>
      </c>
      <c r="AN46" s="557" t="str">
        <f>附表!$L$65&amp;"。"</f>
        <v>参见《特工手册》的“本职装备：特种作战员”。</v>
      </c>
      <c r="AO46" s="560">
        <f t="shared" si="1"/>
        <v>46</v>
      </c>
    </row>
    <row r="47" spans="1:41">
      <c r="A47" t="s" s="557">
        <v>346</v>
      </c>
      <c r="AF47" t="s" s="557">
        <v>214</v>
      </c>
      <c r="AN47" s="557" t="str">
        <f>附表!$L$65&amp;"。"</f>
        <v>参见《特工手册》的“本职装备：特种作战员”。</v>
      </c>
      <c r="AO47" s="560">
        <f t="shared" si="1"/>
        <v>47</v>
      </c>
    </row>
    <row r="48" spans="1:41">
      <c r="A48" t="s" s="557">
        <v>347</v>
      </c>
      <c r="C48" s="557">
        <v>3</v>
      </c>
      <c r="D48" t="s" s="557">
        <v>186</v>
      </c>
      <c r="E48" t="s" s="557">
        <v>226</v>
      </c>
      <c r="F48" t="s" s="557">
        <v>268</v>
      </c>
      <c r="G48" t="s" s="557">
        <v>251</v>
      </c>
      <c r="H48" t="s" s="557">
        <v>229</v>
      </c>
      <c r="I48" t="s" s="557">
        <v>275</v>
      </c>
      <c r="J48" t="s" s="557">
        <v>160</v>
      </c>
      <c r="K48" t="s" s="557">
        <v>166</v>
      </c>
      <c r="L48" t="s" s="557">
        <v>288</v>
      </c>
      <c r="M48" t="s" s="557">
        <v>276</v>
      </c>
      <c r="N48" t="s" s="557">
        <v>193</v>
      </c>
      <c r="O48" t="s" s="557">
        <v>177</v>
      </c>
      <c r="P48" t="s" s="557">
        <v>232</v>
      </c>
      <c r="T48" s="557">
        <v>1</v>
      </c>
      <c r="U48" t="s" s="557">
        <v>348</v>
      </c>
      <c r="V48" t="s" s="557">
        <v>349</v>
      </c>
      <c r="W48" t="s" s="557">
        <v>350</v>
      </c>
      <c r="X48" t="s" s="557">
        <v>351</v>
      </c>
      <c r="AJ48" t="s" s="557">
        <v>77</v>
      </c>
      <c r="AK48" t="s" s="557">
        <v>297</v>
      </c>
      <c r="AL48" t="s" s="557">
        <v>91</v>
      </c>
      <c r="AM48" t="s" s="557">
        <v>100</v>
      </c>
      <c r="AN48" s="557" t="str">
        <f>附表!$L$65&amp;"。"</f>
        <v>参见《特工手册》的“本职装备：特种作战员”。</v>
      </c>
      <c r="AO48" s="560">
        <f t="shared" si="1"/>
        <v>48</v>
      </c>
    </row>
    <row r="49" spans="1:41">
      <c r="A49" t="s" s="557">
        <v>352</v>
      </c>
      <c r="C49" s="557">
        <v>1</v>
      </c>
      <c r="D49" t="s" s="557">
        <v>216</v>
      </c>
      <c r="E49" t="s" s="557">
        <v>226</v>
      </c>
      <c r="F49" t="s" s="557">
        <v>268</v>
      </c>
      <c r="G49" t="s" s="557">
        <v>238</v>
      </c>
      <c r="H49" t="s" s="557">
        <v>239</v>
      </c>
      <c r="I49" t="s" s="557">
        <v>229</v>
      </c>
      <c r="J49" t="s" s="557">
        <v>198</v>
      </c>
      <c r="K49" t="s" s="557">
        <v>353</v>
      </c>
      <c r="L49" t="s" s="557">
        <v>354</v>
      </c>
      <c r="M49" t="s" s="557">
        <v>355</v>
      </c>
      <c r="N49" t="s" s="557">
        <v>356</v>
      </c>
      <c r="O49" t="s" s="557">
        <v>357</v>
      </c>
      <c r="P49" t="s" s="557">
        <v>223</v>
      </c>
      <c r="AJ49" t="s" s="557">
        <v>65</v>
      </c>
      <c r="AK49" t="s" s="557">
        <v>358</v>
      </c>
      <c r="AL49" t="s" s="557">
        <v>106</v>
      </c>
      <c r="AM49" t="s" s="557">
        <v>102</v>
      </c>
      <c r="AN49" s="557" t="str">
        <f>附表!$L$65&amp;"，以及维修直升机设备的操作手册和现场手册。"</f>
        <v>参见《特工手册》的“本职装备：特种作战员”，以及维修直升机设备的操作手册和现场手册。</v>
      </c>
      <c r="AO49" s="560">
        <f t="shared" si="1"/>
        <v>49</v>
      </c>
    </row>
    <row r="50" spans="1:41">
      <c r="A50" t="s" s="557">
        <v>359</v>
      </c>
      <c r="C50" s="557">
        <v>1</v>
      </c>
      <c r="D50" t="s" s="557">
        <v>216</v>
      </c>
      <c r="E50" t="s" s="557">
        <v>217</v>
      </c>
      <c r="F50" t="s" s="557">
        <v>219</v>
      </c>
      <c r="G50" t="s" s="557">
        <v>198</v>
      </c>
      <c r="H50" t="s" s="557">
        <v>166</v>
      </c>
      <c r="I50" t="s" s="557">
        <v>220</v>
      </c>
      <c r="J50" t="s" s="557">
        <v>221</v>
      </c>
      <c r="K50" t="s" s="557">
        <v>167</v>
      </c>
      <c r="L50" t="s" s="557">
        <v>360</v>
      </c>
      <c r="M50" t="s" s="557">
        <v>222</v>
      </c>
      <c r="N50" t="s" s="557">
        <v>170</v>
      </c>
      <c r="O50" t="s" s="557">
        <v>223</v>
      </c>
      <c r="P50" t="s" s="557">
        <v>195</v>
      </c>
      <c r="AJ50" t="s" s="557">
        <v>101</v>
      </c>
      <c r="AK50" t="s" s="557">
        <v>74</v>
      </c>
      <c r="AL50" t="s" s="557">
        <v>98</v>
      </c>
      <c r="AM50" t="s" s="557">
        <v>102</v>
      </c>
      <c r="AN50" s="557" t="str">
        <f>附表!$L$65&amp;"，并且能查阅机密报告。"</f>
        <v>参见《特工手册》的“本职装备：特种作战员”，并且能查阅机密报告。</v>
      </c>
      <c r="AO50" s="560">
        <f t="shared" si="1"/>
        <v>50</v>
      </c>
    </row>
    <row r="51" spans="1:41">
      <c r="A51" t="s" s="557">
        <v>361</v>
      </c>
      <c r="AF51" t="s" s="557">
        <v>362</v>
      </c>
      <c r="AJ51" t="s" s="557">
        <v>65</v>
      </c>
      <c r="AK51" t="s" s="557">
        <v>103</v>
      </c>
      <c r="AL51" t="s" s="557">
        <v>74</v>
      </c>
      <c r="AM51" t="s" s="557">
        <v>363</v>
      </c>
      <c r="AN51" t="s" s="557">
        <v>364</v>
      </c>
      <c r="AO51" s="560">
        <f t="shared" si="1"/>
        <v>51</v>
      </c>
    </row>
    <row r="52" spans="1:41">
      <c r="A52" t="s" s="557">
        <v>365</v>
      </c>
      <c r="AF52" t="s" s="557">
        <v>123</v>
      </c>
      <c r="AJ52" t="s" s="557">
        <v>87</v>
      </c>
      <c r="AK52" t="s" s="557">
        <v>366</v>
      </c>
      <c r="AL52" t="s" s="557">
        <v>78</v>
      </c>
      <c r="AM52" t="s" s="557">
        <v>100</v>
      </c>
      <c r="AN52" t="s" s="557">
        <v>367</v>
      </c>
      <c r="AO52" s="560">
        <f t="shared" si="1"/>
        <v>52</v>
      </c>
    </row>
    <row r="53" spans="1:41">
      <c r="A53" t="s" s="557">
        <v>368</v>
      </c>
      <c r="AF53" t="s" s="557">
        <v>362</v>
      </c>
      <c r="AJ53" t="s" s="557">
        <v>65</v>
      </c>
      <c r="AK53" t="s" s="557">
        <v>100</v>
      </c>
      <c r="AL53" t="s" s="557">
        <v>369</v>
      </c>
      <c r="AM53" t="s" s="557">
        <v>370</v>
      </c>
      <c r="AN53" t="s" s="557">
        <v>371</v>
      </c>
      <c r="AO53" s="560">
        <f t="shared" si="1"/>
        <v>53</v>
      </c>
    </row>
    <row r="54" spans="1:41">
      <c r="A54" t="s" s="557">
        <v>372</v>
      </c>
      <c r="AF54" t="s" s="557">
        <v>299</v>
      </c>
      <c r="AG54" t="s" s="557">
        <v>123</v>
      </c>
      <c r="AJ54" t="s" s="557">
        <v>83</v>
      </c>
      <c r="AK54" t="s" s="557">
        <v>87</v>
      </c>
      <c r="AL54" t="s" s="557">
        <v>373</v>
      </c>
      <c r="AM54" t="s" s="557">
        <v>100</v>
      </c>
      <c r="AN54" s="557" t="str">
        <f>附表!$L$62&amp;"。"</f>
        <v>参见《特工手册》的“本职装备：联邦探员”。</v>
      </c>
      <c r="AO54" s="560">
        <f t="shared" si="1"/>
        <v>54</v>
      </c>
    </row>
    <row r="55" spans="1:41">
      <c r="A55" t="s" s="557">
        <v>374</v>
      </c>
      <c r="AF55" t="s" s="557">
        <v>362</v>
      </c>
      <c r="AJ55" t="s" s="557">
        <v>65</v>
      </c>
      <c r="AK55" t="s" s="557">
        <v>100</v>
      </c>
      <c r="AL55" t="s" s="557">
        <v>375</v>
      </c>
      <c r="AN55" t="s" s="557">
        <v>376</v>
      </c>
      <c r="AO55" s="560">
        <f t="shared" si="1"/>
        <v>55</v>
      </c>
    </row>
    <row r="56" spans="1:41">
      <c r="A56" t="s" s="557">
        <v>377</v>
      </c>
      <c r="AF56" t="s" s="557">
        <v>171</v>
      </c>
      <c r="AJ56" t="s" s="557">
        <v>83</v>
      </c>
      <c r="AK56" t="s" s="557">
        <v>100</v>
      </c>
      <c r="AL56" t="s" s="557">
        <v>370</v>
      </c>
      <c r="AM56" t="s" s="557">
        <v>366</v>
      </c>
      <c r="AN56" t="s" s="557">
        <v>376</v>
      </c>
      <c r="AO56" s="560">
        <f t="shared" si="1"/>
        <v>56</v>
      </c>
    </row>
    <row r="57" spans="1:41">
      <c r="A57" t="s" s="557">
        <v>378</v>
      </c>
      <c r="C57" s="557">
        <v>1</v>
      </c>
      <c r="D57" t="s" s="557">
        <v>216</v>
      </c>
      <c r="E57" t="s" s="557">
        <v>217</v>
      </c>
      <c r="F57" t="s" s="557">
        <v>218</v>
      </c>
      <c r="G57" t="s" s="557">
        <v>219</v>
      </c>
      <c r="H57" t="s" s="557">
        <v>198</v>
      </c>
      <c r="I57" t="s" s="557">
        <v>220</v>
      </c>
      <c r="J57" t="s" s="557">
        <v>221</v>
      </c>
      <c r="K57" t="s" s="557">
        <v>167</v>
      </c>
      <c r="L57" t="s" s="557">
        <v>222</v>
      </c>
      <c r="M57" t="s" s="557">
        <v>170</v>
      </c>
      <c r="N57" t="s" s="557">
        <v>223</v>
      </c>
      <c r="O57" t="s" s="557">
        <v>195</v>
      </c>
      <c r="T57" s="557">
        <v>1</v>
      </c>
      <c r="U57" t="s" s="557">
        <v>202</v>
      </c>
      <c r="V57" t="s" s="557">
        <v>360</v>
      </c>
      <c r="AJ57" t="s" s="557">
        <v>77</v>
      </c>
      <c r="AK57" t="s" s="557">
        <v>74</v>
      </c>
      <c r="AL57" t="s" s="557">
        <v>106</v>
      </c>
      <c r="AM57" t="s" s="557">
        <v>102</v>
      </c>
      <c r="AN57" s="557" t="str">
        <f>附表!$L$65&amp;"，以及野战医疗包（辅助救援）、先进的监视和电子套件（战斗控制员和战斗气象技术人员）。"</f>
        <v>参见《特工手册》的“本职装备：特种作战员”，以及野战医疗包（辅助救援）、先进的监视和电子套件（战斗控制员和战斗气象技术人员）。</v>
      </c>
      <c r="AO57" s="560">
        <f t="shared" si="1"/>
        <v>57</v>
      </c>
    </row>
    <row r="58" spans="1:41">
      <c r="A58" t="s" s="557">
        <v>379</v>
      </c>
      <c r="AF58" t="s" s="557">
        <v>184</v>
      </c>
      <c r="AJ58" t="s" s="557">
        <v>93</v>
      </c>
      <c r="AK58" t="s" s="557">
        <v>78</v>
      </c>
      <c r="AL58" t="s" s="557">
        <v>115</v>
      </c>
      <c r="AM58" t="s" s="557">
        <v>61</v>
      </c>
      <c r="AN58" s="557" t="str">
        <f>附表!$L$62&amp;"。"</f>
        <v>参见《特工手册》的“本职装备：联邦探员”。</v>
      </c>
      <c r="AO58" s="560">
        <f t="shared" si="1"/>
        <v>58</v>
      </c>
    </row>
    <row r="59" spans="1:41">
      <c r="A59" t="s" s="557">
        <v>380</v>
      </c>
      <c r="C59" s="557">
        <v>2</v>
      </c>
      <c r="D59" t="s" s="557">
        <v>216</v>
      </c>
      <c r="E59" t="s" s="557">
        <v>329</v>
      </c>
      <c r="F59" t="s" s="557">
        <v>268</v>
      </c>
      <c r="G59" t="s" s="557">
        <v>238</v>
      </c>
      <c r="H59" t="s" s="557">
        <v>239</v>
      </c>
      <c r="I59" t="s" s="557">
        <v>381</v>
      </c>
      <c r="J59" t="s" s="557">
        <v>382</v>
      </c>
      <c r="K59" t="s" s="557">
        <v>167</v>
      </c>
      <c r="L59" t="s" s="557">
        <v>383</v>
      </c>
      <c r="M59" t="s" s="557">
        <v>270</v>
      </c>
      <c r="N59" t="s" s="557">
        <v>194</v>
      </c>
      <c r="O59" t="s" s="557">
        <v>292</v>
      </c>
      <c r="AJ59" t="s" s="557">
        <v>65</v>
      </c>
      <c r="AK59" t="s" s="557">
        <v>77</v>
      </c>
      <c r="AL59" t="s" s="557">
        <v>370</v>
      </c>
      <c r="AM59" t="s" s="557">
        <v>103</v>
      </c>
      <c r="AN59" t="s" s="557">
        <v>384</v>
      </c>
      <c r="AO59" s="560">
        <f t="shared" si="1"/>
        <v>59</v>
      </c>
    </row>
    <row r="60" spans="1:41">
      <c r="A60" t="s" s="557">
        <v>385</v>
      </c>
      <c r="C60" s="557">
        <v>2</v>
      </c>
      <c r="D60" t="s" s="557">
        <v>186</v>
      </c>
      <c r="E60" t="s" s="557">
        <v>226</v>
      </c>
      <c r="F60" t="s" s="557">
        <v>158</v>
      </c>
      <c r="G60" t="s" s="557">
        <v>229</v>
      </c>
      <c r="H60" t="s" s="557">
        <v>202</v>
      </c>
      <c r="I60" t="s" s="557">
        <v>254</v>
      </c>
      <c r="J60" t="s" s="557">
        <v>262</v>
      </c>
      <c r="K60" t="s" s="557">
        <v>193</v>
      </c>
      <c r="L60" t="s" s="557">
        <v>213</v>
      </c>
      <c r="M60" t="s" s="557">
        <v>263</v>
      </c>
      <c r="N60" t="s" s="557">
        <v>170</v>
      </c>
      <c r="T60" s="557">
        <v>2</v>
      </c>
      <c r="U60" t="s" s="557">
        <v>264</v>
      </c>
      <c r="V60" t="s" s="557">
        <v>212</v>
      </c>
      <c r="W60" t="s" s="557">
        <v>167</v>
      </c>
      <c r="X60" t="s" s="557">
        <v>265</v>
      </c>
      <c r="Y60" t="s" s="557">
        <v>169</v>
      </c>
      <c r="AJ60" t="s" s="557">
        <v>103</v>
      </c>
      <c r="AK60" t="s" s="557">
        <v>66</v>
      </c>
      <c r="AL60" t="s" s="557">
        <v>91</v>
      </c>
      <c r="AM60" t="s" s="557">
        <v>104</v>
      </c>
      <c r="AN60" t="s" s="557">
        <v>386</v>
      </c>
      <c r="AO60" s="560">
        <f t="shared" si="1"/>
        <v>60</v>
      </c>
    </row>
    <row r="61" spans="1:41">
      <c r="A61" t="s" s="557">
        <v>387</v>
      </c>
      <c r="C61" s="557">
        <v>1</v>
      </c>
      <c r="D61" t="s" s="557">
        <v>186</v>
      </c>
      <c r="E61" t="s" s="557">
        <v>217</v>
      </c>
      <c r="F61" t="s" s="557">
        <v>218</v>
      </c>
      <c r="G61" t="s" s="557">
        <v>219</v>
      </c>
      <c r="H61" t="s" s="557">
        <v>198</v>
      </c>
      <c r="I61" t="s" s="557">
        <v>220</v>
      </c>
      <c r="J61" t="s" s="557">
        <v>221</v>
      </c>
      <c r="K61" t="s" s="557">
        <v>167</v>
      </c>
      <c r="L61" t="s" s="557">
        <v>388</v>
      </c>
      <c r="M61" t="s" s="557">
        <v>222</v>
      </c>
      <c r="N61" t="s" s="557">
        <v>389</v>
      </c>
      <c r="O61" t="s" s="557">
        <v>292</v>
      </c>
      <c r="P61" t="s" s="557">
        <v>195</v>
      </c>
      <c r="AJ61" t="s" s="557">
        <v>101</v>
      </c>
      <c r="AK61" t="s" s="557">
        <v>68</v>
      </c>
      <c r="AL61" t="s" s="557">
        <v>102</v>
      </c>
      <c r="AM61" t="s" s="557">
        <v>108</v>
      </c>
      <c r="AN61" s="557" t="str">
        <f>附表!$L$65&amp;"，以及SCUBA 和游泳装备。所有设备都是防水的。"</f>
        <v>参见《特工手册》的“本职装备：特种作战员”，以及SCUBA 和游泳装备。所有设备都是防水的。</v>
      </c>
      <c r="AO61" s="560">
        <f t="shared" si="1"/>
        <v>61</v>
      </c>
    </row>
    <row r="62" spans="1:41">
      <c r="A62" t="s" s="557">
        <v>390</v>
      </c>
      <c r="C62" s="557">
        <v>1</v>
      </c>
      <c r="D62" t="s" s="557">
        <v>216</v>
      </c>
      <c r="E62" t="s" s="557">
        <v>217</v>
      </c>
      <c r="F62" t="s" s="557">
        <v>218</v>
      </c>
      <c r="G62" t="s" s="557">
        <v>305</v>
      </c>
      <c r="H62" t="s" s="557">
        <v>219</v>
      </c>
      <c r="I62" t="s" s="557">
        <v>198</v>
      </c>
      <c r="J62" t="s" s="557">
        <v>220</v>
      </c>
      <c r="K62" t="s" s="557">
        <v>221</v>
      </c>
      <c r="L62" t="s" s="557">
        <v>355</v>
      </c>
      <c r="M62" t="s" s="557">
        <v>391</v>
      </c>
      <c r="N62" t="s" s="557">
        <v>389</v>
      </c>
      <c r="O62" t="s" s="557">
        <v>223</v>
      </c>
      <c r="P62" t="s" s="557">
        <v>195</v>
      </c>
      <c r="AJ62" t="s" s="557">
        <v>99</v>
      </c>
      <c r="AK62" t="s" s="557">
        <v>101</v>
      </c>
      <c r="AL62" t="s" s="557">
        <v>100</v>
      </c>
      <c r="AM62" t="s" s="557">
        <v>106</v>
      </c>
      <c r="AN62" s="557" t="str">
        <f>附表!$L$65&amp;"，以及先进的监视设备、安装在武器上的激光指示灯、莫斯伯格500 泵动式霰弹枪、远距离热成像仪。"</f>
        <v>参见《特工手册》的“本职装备：特种作战员”，以及先进的监视设备、安装在武器上的激光指示灯、莫斯伯格500 泵动式霰弹枪、远距离热成像仪。</v>
      </c>
      <c r="AO62" s="560">
        <f t="shared" si="1"/>
        <v>62</v>
      </c>
    </row>
    <row r="63" spans="1:41">
      <c r="A63" t="s" s="557">
        <v>392</v>
      </c>
      <c r="C63" s="557">
        <v>3</v>
      </c>
      <c r="D63" t="s" s="557">
        <v>393</v>
      </c>
      <c r="E63" t="s" s="557">
        <v>217</v>
      </c>
      <c r="F63" t="s" s="557">
        <v>179</v>
      </c>
      <c r="G63" t="s" s="557">
        <v>394</v>
      </c>
      <c r="H63" t="s" s="557">
        <v>395</v>
      </c>
      <c r="I63" t="s" s="557">
        <v>229</v>
      </c>
      <c r="J63" t="s" s="557">
        <v>246</v>
      </c>
      <c r="K63" t="s" s="557">
        <v>166</v>
      </c>
      <c r="L63" t="s" s="557">
        <v>231</v>
      </c>
      <c r="M63" t="s" s="557">
        <v>193</v>
      </c>
      <c r="N63" t="s" s="557">
        <v>396</v>
      </c>
      <c r="O63" t="s" s="557">
        <v>232</v>
      </c>
      <c r="T63" s="557">
        <v>1</v>
      </c>
      <c r="U63" t="s" s="557">
        <v>397</v>
      </c>
      <c r="V63" t="s" s="557">
        <v>159</v>
      </c>
      <c r="W63" t="s" s="557">
        <v>273</v>
      </c>
      <c r="AJ63" t="s" s="557">
        <v>398</v>
      </c>
      <c r="AK63" t="s" s="557">
        <v>77</v>
      </c>
      <c r="AL63" t="s" s="557">
        <v>115</v>
      </c>
      <c r="AM63" t="s" s="557">
        <v>106</v>
      </c>
      <c r="AN63" s="557" t="str">
        <f>附表!$L$65&amp;"。"</f>
        <v>参见《特工手册》的“本职装备：特种作战员”。</v>
      </c>
      <c r="AO63" s="560">
        <f t="shared" si="1"/>
        <v>63</v>
      </c>
    </row>
    <row r="64" spans="1:41">
      <c r="A64" t="s" s="557">
        <v>399</v>
      </c>
      <c r="C64" s="557">
        <v>2</v>
      </c>
      <c r="D64" t="s" s="557">
        <v>216</v>
      </c>
      <c r="E64" t="s" s="557">
        <v>217</v>
      </c>
      <c r="F64" t="s" s="557">
        <v>268</v>
      </c>
      <c r="G64" t="s" s="557">
        <v>218</v>
      </c>
      <c r="H64" t="s" s="557">
        <v>305</v>
      </c>
      <c r="I64" t="s" s="557">
        <v>251</v>
      </c>
      <c r="J64" t="s" s="557">
        <v>219</v>
      </c>
      <c r="K64" t="s" s="557">
        <v>275</v>
      </c>
      <c r="L64" t="s" s="557">
        <v>160</v>
      </c>
      <c r="M64" t="s" s="557">
        <v>181</v>
      </c>
      <c r="N64" t="s" s="557">
        <v>198</v>
      </c>
      <c r="O64" t="s" s="557">
        <v>288</v>
      </c>
      <c r="P64" t="s" s="557">
        <v>276</v>
      </c>
      <c r="Q64" t="s" s="557">
        <v>289</v>
      </c>
      <c r="R64" t="s" s="557">
        <v>292</v>
      </c>
      <c r="S64" t="s" s="557">
        <v>232</v>
      </c>
      <c r="AJ64" t="s" s="557">
        <v>113</v>
      </c>
      <c r="AK64" t="s" s="557">
        <v>74</v>
      </c>
      <c r="AL64" t="s" s="557">
        <v>102</v>
      </c>
      <c r="AN64" t="s" s="557">
        <v>400</v>
      </c>
      <c r="AO64" s="560">
        <f t="shared" si="1"/>
        <v>64</v>
      </c>
    </row>
    <row r="65" spans="1:41">
      <c r="A65" t="s" s="557">
        <v>401</v>
      </c>
      <c r="C65" s="557">
        <v>3</v>
      </c>
      <c r="D65" t="s" s="557">
        <v>216</v>
      </c>
      <c r="E65" t="s" s="557">
        <v>217</v>
      </c>
      <c r="F65" t="s" s="557">
        <v>268</v>
      </c>
      <c r="G65" t="s" s="557">
        <v>251</v>
      </c>
      <c r="H65" t="s" s="557">
        <v>219</v>
      </c>
      <c r="I65" t="s" s="557">
        <v>275</v>
      </c>
      <c r="J65" t="s" s="557">
        <v>291</v>
      </c>
      <c r="K65" t="s" s="557">
        <v>288</v>
      </c>
      <c r="L65" t="s" s="557">
        <v>276</v>
      </c>
      <c r="M65" t="s" s="557">
        <v>289</v>
      </c>
      <c r="N65" t="s" s="557">
        <v>320</v>
      </c>
      <c r="O65" t="s" s="557">
        <v>232</v>
      </c>
      <c r="T65" s="557">
        <v>2</v>
      </c>
      <c r="U65" t="s" s="557">
        <v>218</v>
      </c>
      <c r="V65" t="s" s="557">
        <v>160</v>
      </c>
      <c r="W65" t="s" s="557">
        <v>198</v>
      </c>
      <c r="X65" t="s" s="557">
        <v>169</v>
      </c>
      <c r="Y65" t="s" s="557">
        <v>177</v>
      </c>
      <c r="Z65" t="s" s="557">
        <v>292</v>
      </c>
      <c r="AJ65" t="s" s="557">
        <v>65</v>
      </c>
      <c r="AK65" t="s" s="557">
        <v>101</v>
      </c>
      <c r="AL65" t="s" s="557">
        <v>68</v>
      </c>
      <c r="AM65" t="s" s="557">
        <v>108</v>
      </c>
      <c r="AN65" s="557" t="str">
        <f>附表!$L$65&amp;"。"</f>
        <v>参见《特工手册》的“本职装备：特种作战员”。</v>
      </c>
      <c r="AO65" s="560">
        <f t="shared" si="1"/>
        <v>65</v>
      </c>
    </row>
    <row r="66" spans="1:41">
      <c r="A66" t="s" s="557">
        <v>402</v>
      </c>
      <c r="C66" s="557">
        <v>1</v>
      </c>
      <c r="D66" t="s" s="557">
        <v>186</v>
      </c>
      <c r="E66" t="s" s="557">
        <v>217</v>
      </c>
      <c r="F66" t="s" s="557">
        <v>218</v>
      </c>
      <c r="G66" t="s" s="557">
        <v>219</v>
      </c>
      <c r="H66" t="s" s="557">
        <v>198</v>
      </c>
      <c r="I66" t="s" s="557">
        <v>220</v>
      </c>
      <c r="J66" t="s" s="557">
        <v>221</v>
      </c>
      <c r="K66" t="s" s="557">
        <v>167</v>
      </c>
      <c r="L66" t="s" s="557">
        <v>163</v>
      </c>
      <c r="M66" t="s" s="557">
        <v>388</v>
      </c>
      <c r="N66" t="s" s="557">
        <v>222</v>
      </c>
      <c r="O66" t="s" s="557">
        <v>170</v>
      </c>
      <c r="P66" t="s" s="557">
        <v>223</v>
      </c>
      <c r="Q66" t="s" s="557">
        <v>195</v>
      </c>
      <c r="AJ66" t="s" s="557">
        <v>77</v>
      </c>
      <c r="AK66" t="s" s="557">
        <v>113</v>
      </c>
      <c r="AL66" t="s" s="557">
        <v>115</v>
      </c>
      <c r="AM66" t="s" s="557">
        <v>68</v>
      </c>
      <c r="AN66" s="557" t="str">
        <f>附表!$L$65&amp;"。"</f>
        <v>参见《特工手册》的“本职装备：特种作战员”。</v>
      </c>
      <c r="AO66" s="560">
        <f t="shared" si="1"/>
        <v>66</v>
      </c>
    </row>
    <row r="67" spans="1:41">
      <c r="A67" t="s" s="557">
        <v>403</v>
      </c>
      <c r="AF67" t="s" s="557">
        <v>296</v>
      </c>
      <c r="AJ67" t="s" s="557">
        <v>83</v>
      </c>
      <c r="AK67" t="s" s="557">
        <v>115</v>
      </c>
      <c r="AL67" t="s" s="557">
        <v>78</v>
      </c>
      <c r="AM67" t="s" s="557">
        <v>100</v>
      </c>
      <c r="AN67" t="s" s="557">
        <v>404</v>
      </c>
      <c r="AO67" s="560">
        <f t="shared" si="1"/>
        <v>67</v>
      </c>
    </row>
    <row r="68" spans="1:41">
      <c r="A68" t="s" s="557">
        <v>405</v>
      </c>
      <c r="C68" s="557">
        <v>1</v>
      </c>
      <c r="D68" t="s" s="557">
        <v>216</v>
      </c>
      <c r="E68" t="s" s="557">
        <v>226</v>
      </c>
      <c r="F68" t="s" s="557">
        <v>218</v>
      </c>
      <c r="G68" t="s" s="557">
        <v>219</v>
      </c>
      <c r="H68" t="s" s="557">
        <v>160</v>
      </c>
      <c r="I68" t="s" s="557">
        <v>198</v>
      </c>
      <c r="J68" t="s" s="557">
        <v>317</v>
      </c>
      <c r="K68" t="s" s="557">
        <v>220</v>
      </c>
      <c r="L68" t="s" s="557">
        <v>406</v>
      </c>
      <c r="M68" t="s" s="557">
        <v>167</v>
      </c>
      <c r="N68" t="s" s="557">
        <v>163</v>
      </c>
      <c r="O68" t="s" s="557">
        <v>222</v>
      </c>
      <c r="P68" t="s" s="557">
        <v>170</v>
      </c>
      <c r="Q68" t="s" s="557">
        <v>271</v>
      </c>
      <c r="R68" t="s" s="557">
        <v>195</v>
      </c>
      <c r="AJ68" t="s" s="557">
        <v>65</v>
      </c>
      <c r="AK68" t="s" s="557">
        <v>101</v>
      </c>
      <c r="AL68" t="s" s="557">
        <v>102</v>
      </c>
      <c r="AM68" t="s" s="557">
        <v>106</v>
      </c>
      <c r="AN68" s="557" t="str">
        <f>附表!$L$65&amp;"，并且能调阅机密报告。"</f>
        <v>参见《特工手册》的“本职装备：特种作战员”，并且能调阅机密报告。</v>
      </c>
      <c r="AO68" s="560">
        <f t="shared" si="1"/>
        <v>68</v>
      </c>
    </row>
    <row r="69" spans="1:41">
      <c r="A69" t="s" s="557">
        <v>407</v>
      </c>
      <c r="C69" s="557">
        <v>1</v>
      </c>
      <c r="D69" t="s" s="557">
        <v>244</v>
      </c>
      <c r="E69" t="s" s="557">
        <v>164</v>
      </c>
      <c r="F69" t="s" s="557">
        <v>329</v>
      </c>
      <c r="G69" t="s" s="557">
        <v>245</v>
      </c>
      <c r="H69" t="s" s="557">
        <v>408</v>
      </c>
      <c r="I69" t="s" s="557">
        <v>229</v>
      </c>
      <c r="J69" t="s" s="557">
        <v>159</v>
      </c>
      <c r="K69" t="s" s="557">
        <v>159</v>
      </c>
      <c r="L69" t="s" s="557">
        <v>160</v>
      </c>
      <c r="M69" t="s" s="557">
        <v>246</v>
      </c>
      <c r="N69" t="s" s="557">
        <v>166</v>
      </c>
      <c r="O69" t="s" s="557">
        <v>182</v>
      </c>
      <c r="P69" t="s" s="557">
        <v>193</v>
      </c>
      <c r="Q69" t="s" s="557">
        <v>222</v>
      </c>
      <c r="R69" t="s" s="557">
        <v>195</v>
      </c>
      <c r="AJ69" t="s" s="557">
        <v>83</v>
      </c>
      <c r="AK69" t="s" s="557">
        <v>93</v>
      </c>
      <c r="AL69" t="s" s="557">
        <v>78</v>
      </c>
      <c r="AM69" t="s" s="557">
        <v>100</v>
      </c>
      <c r="AN69" s="557" t="str">
        <f>附表!$L$65&amp;"，并且能调阅机密报告。"</f>
        <v>参见《特工手册》的“本职装备：特种作战员”，并且能调阅机密报告。</v>
      </c>
      <c r="AO69" s="560">
        <f t="shared" si="1"/>
        <v>69</v>
      </c>
    </row>
    <row r="70" spans="1:41">
      <c r="A70" t="s" s="557">
        <v>409</v>
      </c>
      <c r="AF70" t="s" s="557">
        <v>296</v>
      </c>
      <c r="AJ70" t="s" s="557">
        <v>67</v>
      </c>
      <c r="AK70" t="s" s="557">
        <v>115</v>
      </c>
      <c r="AL70" t="s" s="557">
        <v>100</v>
      </c>
      <c r="AM70" t="s" s="557">
        <v>114</v>
      </c>
      <c r="AN70" t="s" s="557">
        <v>404</v>
      </c>
      <c r="AO70" s="560">
        <f t="shared" si="1"/>
        <v>70</v>
      </c>
    </row>
    <row r="71" spans="1:41">
      <c r="A71" t="s" s="557">
        <v>410</v>
      </c>
      <c r="AF71" t="s" s="557">
        <v>411</v>
      </c>
      <c r="AJ71" t="s" s="557">
        <v>67</v>
      </c>
      <c r="AK71" t="s" s="557">
        <v>83</v>
      </c>
      <c r="AL71" t="s" s="557">
        <v>336</v>
      </c>
      <c r="AM71" t="s" s="557">
        <v>114</v>
      </c>
      <c r="AN71" t="s" s="557">
        <v>412</v>
      </c>
      <c r="AO71" s="560">
        <f t="shared" si="1"/>
        <v>71</v>
      </c>
    </row>
    <row r="72" spans="1:41">
      <c r="A72" t="s" s="557">
        <v>413</v>
      </c>
      <c r="AF72" t="s" s="557">
        <v>184</v>
      </c>
      <c r="AJ72" t="s" s="557">
        <v>83</v>
      </c>
      <c r="AK72" t="s" s="557">
        <v>336</v>
      </c>
      <c r="AL72" t="s" s="557">
        <v>115</v>
      </c>
      <c r="AM72" t="s" s="557">
        <v>78</v>
      </c>
      <c r="AN72" s="557" t="str">
        <f>附表!$L$62&amp;"。"</f>
        <v>参见《特工手册》的“本职装备：联邦探员”。</v>
      </c>
      <c r="AO72" s="560">
        <f t="shared" ref="AO72:AO106" si="2">ROW()</f>
        <v>72</v>
      </c>
    </row>
    <row r="73" spans="1:41">
      <c r="A73" t="s" s="557">
        <v>414</v>
      </c>
      <c r="AF73" t="s" s="557">
        <v>411</v>
      </c>
      <c r="AJ73" t="s" s="557">
        <v>83</v>
      </c>
      <c r="AK73" t="s" s="557">
        <v>336</v>
      </c>
      <c r="AL73" t="s" s="557">
        <v>61</v>
      </c>
      <c r="AM73" t="s" s="557">
        <v>78</v>
      </c>
      <c r="AN73" t="s" s="557">
        <v>415</v>
      </c>
      <c r="AO73" s="560">
        <f t="shared" si="2"/>
        <v>73</v>
      </c>
    </row>
    <row r="74" spans="1:41">
      <c r="A74" t="s" s="557">
        <v>416</v>
      </c>
      <c r="AF74" t="s" s="557">
        <v>310</v>
      </c>
      <c r="AJ74" t="s" s="557">
        <v>60</v>
      </c>
      <c r="AK74" t="s" s="557">
        <v>83</v>
      </c>
      <c r="AL74" t="s" s="557">
        <v>93</v>
      </c>
      <c r="AM74" t="s" s="557">
        <v>61</v>
      </c>
      <c r="AN74" s="557" t="str">
        <f>"控制某INL项目的预算"&amp;附表!$L$66&amp;"。"</f>
        <v>控制某INL项目的预算（参见《特工手册》的“项目群经理”）。</v>
      </c>
      <c r="AO74" s="560">
        <f t="shared" si="2"/>
        <v>74</v>
      </c>
    </row>
    <row r="75" spans="1:41">
      <c r="A75" t="s" s="557">
        <v>417</v>
      </c>
      <c r="AF75" t="s" s="557">
        <v>411</v>
      </c>
      <c r="AG75" t="s" s="557">
        <v>323</v>
      </c>
      <c r="AH75" t="s" s="557">
        <v>123</v>
      </c>
      <c r="AJ75" t="s" s="557">
        <v>114</v>
      </c>
      <c r="AK75" t="s" s="557">
        <v>115</v>
      </c>
      <c r="AL75" t="s" s="557">
        <v>78</v>
      </c>
      <c r="AM75" t="s" s="557">
        <v>100</v>
      </c>
      <c r="AN75" t="s" s="557">
        <v>418</v>
      </c>
      <c r="AO75" s="560">
        <f t="shared" si="2"/>
        <v>75</v>
      </c>
    </row>
    <row r="76" spans="1:41">
      <c r="A76" t="s" s="557">
        <v>419</v>
      </c>
      <c r="AF76" t="s" s="557">
        <v>200</v>
      </c>
      <c r="AG76" t="s" s="557">
        <v>310</v>
      </c>
      <c r="AH76" t="s" s="557">
        <v>117</v>
      </c>
      <c r="AJ76" t="s" s="557">
        <v>60</v>
      </c>
      <c r="AK76" t="s" s="557">
        <v>83</v>
      </c>
      <c r="AL76" t="s" s="557">
        <v>78</v>
      </c>
      <c r="AM76" t="s" s="557">
        <v>420</v>
      </c>
      <c r="AN76" s="557" t="str">
        <f>"控制某项目的预算"&amp;附表!$L$66&amp;"。"</f>
        <v>控制某项目的预算（参见《特工手册》的“项目群经理”）。</v>
      </c>
      <c r="AO76" s="560">
        <f t="shared" si="2"/>
        <v>76</v>
      </c>
    </row>
    <row r="77" spans="1:41">
      <c r="A77" t="s" s="557">
        <v>421</v>
      </c>
      <c r="AF77" t="s" s="557">
        <v>200</v>
      </c>
      <c r="AG77" t="s" s="557">
        <v>310</v>
      </c>
      <c r="AH77" t="s" s="557">
        <v>117</v>
      </c>
      <c r="AJ77" t="s" s="557">
        <v>60</v>
      </c>
      <c r="AK77" t="s" s="557">
        <v>83</v>
      </c>
      <c r="AL77" t="s" s="557">
        <v>78</v>
      </c>
      <c r="AM77" t="s" s="557">
        <v>420</v>
      </c>
      <c r="AN77" t="s" s="557">
        <v>422</v>
      </c>
      <c r="AO77" s="560">
        <f t="shared" si="2"/>
        <v>77</v>
      </c>
    </row>
    <row r="78" ht="28" spans="1:41">
      <c r="A78" t="s" s="557">
        <v>423</v>
      </c>
      <c r="AF78" t="s" s="557">
        <v>323</v>
      </c>
      <c r="AG78" t="s" s="557">
        <v>200</v>
      </c>
      <c r="AH78" t="s" s="557">
        <v>117</v>
      </c>
      <c r="AJ78" t="s" s="557">
        <v>336</v>
      </c>
      <c r="AK78" t="s" s="557">
        <v>109</v>
      </c>
      <c r="AL78" t="s" s="557">
        <v>420</v>
      </c>
      <c r="AM78" t="s" s="557">
        <v>106</v>
      </c>
      <c r="AN78" s="561" t="s">
        <v>424</v>
      </c>
      <c r="AO78" s="560">
        <f t="shared" si="2"/>
        <v>78</v>
      </c>
    </row>
    <row r="79" spans="1:41">
      <c r="A79" t="s" s="557">
        <v>425</v>
      </c>
      <c r="AF79" t="s" s="557">
        <v>426</v>
      </c>
      <c r="AG79" t="s" s="557">
        <v>200</v>
      </c>
      <c r="AH79" t="s" s="557">
        <v>117</v>
      </c>
      <c r="AJ79" t="s" s="557">
        <v>103</v>
      </c>
      <c r="AK79" t="s" s="557">
        <v>84</v>
      </c>
      <c r="AL79" t="s" s="557">
        <v>91</v>
      </c>
      <c r="AM79" t="s" s="557">
        <v>104</v>
      </c>
      <c r="AN79" t="s" s="557">
        <v>422</v>
      </c>
      <c r="AO79" s="560">
        <f t="shared" si="2"/>
        <v>79</v>
      </c>
    </row>
    <row r="80" spans="1:41">
      <c r="A80" t="s" s="557">
        <v>427</v>
      </c>
      <c r="C80" s="557">
        <v>4</v>
      </c>
      <c r="D80" t="s" s="557">
        <v>186</v>
      </c>
      <c r="E80" t="s" s="557">
        <v>158</v>
      </c>
      <c r="F80" t="s" s="557">
        <v>187</v>
      </c>
      <c r="G80" t="s" s="557">
        <v>251</v>
      </c>
      <c r="H80" t="s" s="557">
        <v>229</v>
      </c>
      <c r="I80" t="s" s="557">
        <v>212</v>
      </c>
      <c r="J80" t="s" s="557">
        <v>166</v>
      </c>
      <c r="K80" t="s" s="557">
        <v>192</v>
      </c>
      <c r="L80" t="s" s="557">
        <v>193</v>
      </c>
      <c r="M80" t="s" s="557">
        <v>428</v>
      </c>
      <c r="N80" t="s" s="557">
        <v>194</v>
      </c>
      <c r="AJ80" t="s" s="557">
        <v>83</v>
      </c>
      <c r="AK80" t="s" s="557">
        <v>93</v>
      </c>
      <c r="AL80" t="s" s="557">
        <v>109</v>
      </c>
      <c r="AM80" t="s" s="557">
        <v>429</v>
      </c>
      <c r="AN80" s="557" t="str">
        <f>"对CID，请"&amp;附表!$L$62&amp;"，加上撬棍、锤子和扳手、呼吸器和危险品防护服。对于RTC，设备可能包括环境监测设备，如化学嗅探器和取样设备、下水道照相机和光离子a化检测器。"</f>
        <v>对CID，请参见《特工手册》的“本职装备：联邦探员”，加上撬棍、锤子和扳手、呼吸器和危险品防护服。对于RTC，设备可能包括环境监测设备，如化学嗅探器和取样设备、下水道照相机和光离子a化检测器。</v>
      </c>
      <c r="AO80" s="560">
        <f t="shared" si="2"/>
        <v>80</v>
      </c>
    </row>
    <row r="81" spans="1:41">
      <c r="A81" t="s" s="557">
        <v>430</v>
      </c>
      <c r="C81" s="557">
        <v>4</v>
      </c>
      <c r="D81" t="s" s="557">
        <v>216</v>
      </c>
      <c r="E81" t="s" s="557">
        <v>158</v>
      </c>
      <c r="F81" t="s" s="557">
        <v>212</v>
      </c>
      <c r="G81" t="s" s="557">
        <v>182</v>
      </c>
      <c r="H81" t="s" s="557">
        <v>431</v>
      </c>
      <c r="I81" t="s" s="557">
        <v>432</v>
      </c>
      <c r="J81" t="s" s="557">
        <v>208</v>
      </c>
      <c r="K81" t="s" s="557">
        <v>169</v>
      </c>
      <c r="AJ81" t="s" s="557">
        <v>93</v>
      </c>
      <c r="AK81" t="s" s="557">
        <v>109</v>
      </c>
      <c r="AL81" t="s" s="557">
        <v>115</v>
      </c>
      <c r="AM81" t="s" s="557">
        <v>78</v>
      </c>
      <c r="AN81" t="s" s="557">
        <v>433</v>
      </c>
      <c r="AO81" s="560">
        <f t="shared" si="2"/>
        <v>81</v>
      </c>
    </row>
    <row r="82" spans="1:41">
      <c r="A82" t="s" s="557">
        <v>434</v>
      </c>
      <c r="AF82" t="s" s="557">
        <v>184</v>
      </c>
      <c r="AJ82" t="s" s="557">
        <v>65</v>
      </c>
      <c r="AK82" t="s" s="557">
        <v>83</v>
      </c>
      <c r="AL82" t="s" s="557">
        <v>115</v>
      </c>
      <c r="AM82" t="s" s="557">
        <v>78</v>
      </c>
      <c r="AN82" s="557" t="str">
        <f>附表!$L$62&amp;"。"</f>
        <v>参见《特工手册》的“本职装备：联邦探员”。</v>
      </c>
      <c r="AO82" s="560">
        <f t="shared" si="2"/>
        <v>82</v>
      </c>
    </row>
    <row r="83" spans="1:41">
      <c r="A83" t="s" s="557">
        <v>435</v>
      </c>
      <c r="C83" s="557">
        <v>2</v>
      </c>
      <c r="D83" t="s" s="557">
        <v>186</v>
      </c>
      <c r="E83" t="s" s="557">
        <v>268</v>
      </c>
      <c r="F83" t="s" s="557">
        <v>187</v>
      </c>
      <c r="G83" t="s" s="557">
        <v>188</v>
      </c>
      <c r="H83" t="s" s="557">
        <v>189</v>
      </c>
      <c r="I83" t="s" s="557">
        <v>190</v>
      </c>
      <c r="J83" t="s" s="557">
        <v>436</v>
      </c>
      <c r="K83" t="s" s="557">
        <v>316</v>
      </c>
      <c r="L83" t="s" s="557">
        <v>191</v>
      </c>
      <c r="M83" t="s" s="557">
        <v>192</v>
      </c>
      <c r="N83" t="s" s="557">
        <v>163</v>
      </c>
      <c r="O83" s="562" t="s">
        <v>437</v>
      </c>
      <c r="P83" t="s" s="557">
        <v>194</v>
      </c>
      <c r="Q83" t="s" s="557">
        <v>223</v>
      </c>
      <c r="R83" t="s" s="557">
        <v>195</v>
      </c>
      <c r="AJ83" t="s" s="557">
        <v>65</v>
      </c>
      <c r="AK83" t="s" s="557">
        <v>77</v>
      </c>
      <c r="AL83" t="s" s="557">
        <v>98</v>
      </c>
      <c r="AM83" t="s" s="557">
        <v>100</v>
      </c>
      <c r="AN83" s="557" t="str">
        <f>附表!$L$62&amp;"，以及水上生存装备。"</f>
        <v>参见《特工手册》的“本职装备：联邦探员”，以及水上生存装备。</v>
      </c>
      <c r="AO83" s="560">
        <f t="shared" si="2"/>
        <v>83</v>
      </c>
    </row>
    <row r="84" spans="1:41">
      <c r="A84" t="s" s="557">
        <v>438</v>
      </c>
      <c r="AF84" t="s" s="557">
        <v>184</v>
      </c>
      <c r="AJ84" t="s" s="557">
        <v>65</v>
      </c>
      <c r="AK84" t="s" s="557">
        <v>439</v>
      </c>
      <c r="AL84" t="s" s="557">
        <v>440</v>
      </c>
      <c r="AM84" t="s" s="557">
        <v>98</v>
      </c>
      <c r="AN84" s="557" t="str">
        <f>附表!$L$62&amp;"，外加一只工作用犬（工作犬种或竞技犬种）、犬类处理设备和兽医医疗用品。"</f>
        <v>参见《特工手册》的“本职装备：联邦探员”，外加一只工作用犬（工作犬种或竞技犬种）、犬类处理设备和兽医医疗用品。</v>
      </c>
      <c r="AO84" s="560">
        <f t="shared" si="2"/>
        <v>84</v>
      </c>
    </row>
    <row r="85" spans="1:41">
      <c r="A85" t="s" s="557">
        <v>441</v>
      </c>
      <c r="AF85" t="s" s="557">
        <v>184</v>
      </c>
      <c r="AJ85" t="s" s="557">
        <v>77</v>
      </c>
      <c r="AK85" t="s" s="557">
        <v>99</v>
      </c>
      <c r="AL85" t="s" s="557">
        <v>74</v>
      </c>
      <c r="AM85" t="s" s="557">
        <v>106</v>
      </c>
      <c r="AN85" s="557" t="str">
        <f>附表!$L$62&amp;"，以及各式各样的交通工具。"</f>
        <v>参见《特工手册》的“本职装备：联邦探员”，以及各式各样的交通工具。</v>
      </c>
      <c r="AO85" s="560">
        <f t="shared" si="2"/>
        <v>85</v>
      </c>
    </row>
    <row r="86" spans="1:41">
      <c r="A86" t="s" s="557">
        <v>442</v>
      </c>
      <c r="C86" s="557">
        <v>2</v>
      </c>
      <c r="D86" t="s" s="557">
        <v>186</v>
      </c>
      <c r="E86" t="s" s="557">
        <v>443</v>
      </c>
      <c r="F86" t="s" s="557">
        <v>187</v>
      </c>
      <c r="G86" t="s" s="557">
        <v>188</v>
      </c>
      <c r="H86" t="s" s="557">
        <v>189</v>
      </c>
      <c r="I86" t="s" s="557">
        <v>190</v>
      </c>
      <c r="J86" t="s" s="557">
        <v>444</v>
      </c>
      <c r="K86" t="s" s="557">
        <v>254</v>
      </c>
      <c r="L86" t="s" s="557">
        <v>192</v>
      </c>
      <c r="M86" t="s" s="557">
        <v>355</v>
      </c>
      <c r="N86" t="s" s="557">
        <v>193</v>
      </c>
      <c r="O86" t="s" s="557">
        <v>199</v>
      </c>
      <c r="P86" t="s" s="557">
        <v>194</v>
      </c>
      <c r="Q86" t="s" s="557">
        <v>389</v>
      </c>
      <c r="R86" t="s" s="557">
        <v>195</v>
      </c>
      <c r="AJ86" t="s" s="557">
        <v>65</v>
      </c>
      <c r="AK86" t="s" s="557">
        <v>101</v>
      </c>
      <c r="AL86" t="s" s="557">
        <v>68</v>
      </c>
      <c r="AM86" t="s" s="557">
        <v>445</v>
      </c>
      <c r="AN86" s="557" t="str">
        <f>附表!$L$62&amp;"。"</f>
        <v>参见《特工手册》的“本职装备：联邦探员”。</v>
      </c>
      <c r="AO86" s="560">
        <f t="shared" si="2"/>
        <v>86</v>
      </c>
    </row>
    <row r="87" spans="1:41">
      <c r="A87" s="561" t="s">
        <v>446</v>
      </c>
      <c r="C87" s="557">
        <v>2</v>
      </c>
      <c r="D87" t="s" s="557">
        <v>179</v>
      </c>
      <c r="E87" t="s" s="557">
        <v>202</v>
      </c>
      <c r="F87" t="s" s="557">
        <v>206</v>
      </c>
      <c r="G87" t="s" s="557">
        <v>203</v>
      </c>
      <c r="H87" t="s" s="557">
        <v>276</v>
      </c>
      <c r="I87" t="s" s="557">
        <v>163</v>
      </c>
      <c r="J87" t="s" s="557">
        <v>199</v>
      </c>
      <c r="K87" t="s" s="557">
        <v>447</v>
      </c>
      <c r="L87" t="s" s="557">
        <v>194</v>
      </c>
      <c r="M87" t="s" s="557">
        <v>209</v>
      </c>
      <c r="N87" t="s" s="557">
        <v>320</v>
      </c>
      <c r="AJ87" t="s" s="557">
        <v>101</v>
      </c>
      <c r="AK87" t="s" s="557">
        <v>103</v>
      </c>
      <c r="AL87" t="s" s="557">
        <v>66</v>
      </c>
      <c r="AM87" t="s" s="557">
        <v>106</v>
      </c>
      <c r="AN87" s="557" t="str">
        <f>附表!$L$62&amp;"，及丰富的医疗用品和创伤设备。"</f>
        <v>参见《特工手册》的“本职装备：联邦探员”，及丰富的医疗用品和创伤设备。</v>
      </c>
      <c r="AO87" s="560">
        <f t="shared" si="2"/>
        <v>87</v>
      </c>
    </row>
    <row r="88" spans="1:41">
      <c r="A88" s="561" t="s">
        <v>448</v>
      </c>
      <c r="AF88" t="s" s="557">
        <v>362</v>
      </c>
      <c r="AJ88" t="s" s="557">
        <v>65</v>
      </c>
      <c r="AK88" t="s" s="557">
        <v>100</v>
      </c>
      <c r="AL88" t="s" s="557">
        <v>449</v>
      </c>
      <c r="AM88" t="s" s="557">
        <v>370</v>
      </c>
      <c r="AN88" t="s" s="557">
        <v>450</v>
      </c>
      <c r="AO88" s="560">
        <f t="shared" si="2"/>
        <v>88</v>
      </c>
    </row>
    <row r="89" spans="1:41">
      <c r="A89" t="s" s="557">
        <v>451</v>
      </c>
      <c r="AF89" t="s" s="557">
        <v>184</v>
      </c>
      <c r="AJ89" t="s" s="557">
        <v>439</v>
      </c>
      <c r="AK89" t="s" s="557">
        <v>68</v>
      </c>
      <c r="AL89" t="s" s="557">
        <v>98</v>
      </c>
      <c r="AM89" t="s" s="557">
        <v>106</v>
      </c>
      <c r="AN89" s="557" t="str">
        <f>附表!$L$62&amp;"，外加一只工作用犬（工作犬种）、犬类处理设备和少量兽医医疗用品。"</f>
        <v>参见《特工手册》的“本职装备：联邦探员”，外加一只工作用犬（工作犬种）、犬类处理设备和少量兽医医疗用品。</v>
      </c>
      <c r="AO89" s="560">
        <f t="shared" si="2"/>
        <v>89</v>
      </c>
    </row>
    <row r="90" spans="1:41">
      <c r="A90" t="s" s="557">
        <v>452</v>
      </c>
      <c r="C90" s="557">
        <v>1</v>
      </c>
      <c r="D90" t="s" s="557">
        <v>186</v>
      </c>
      <c r="E90" t="s" s="557">
        <v>158</v>
      </c>
      <c r="F90" t="s" s="557">
        <v>187</v>
      </c>
      <c r="G90" t="s" s="557">
        <v>188</v>
      </c>
      <c r="H90" t="s" s="557">
        <v>189</v>
      </c>
      <c r="I90" t="s" s="557">
        <v>241</v>
      </c>
      <c r="J90" t="s" s="557">
        <v>190</v>
      </c>
      <c r="K90" t="s" s="557">
        <v>191</v>
      </c>
      <c r="L90" t="s" s="557">
        <v>192</v>
      </c>
      <c r="M90" t="s" s="557">
        <v>453</v>
      </c>
      <c r="N90" t="s" s="557">
        <v>318</v>
      </c>
      <c r="O90" t="s" s="557">
        <v>193</v>
      </c>
      <c r="P90" t="s" s="557">
        <v>199</v>
      </c>
      <c r="Q90" t="s" s="557">
        <v>194</v>
      </c>
      <c r="R90" t="s" s="557">
        <v>195</v>
      </c>
      <c r="AJ90" t="s" s="557">
        <v>101</v>
      </c>
      <c r="AK90" t="s" s="557">
        <v>103</v>
      </c>
      <c r="AL90" t="s" s="557">
        <v>454</v>
      </c>
      <c r="AM90" t="s" s="557">
        <v>104</v>
      </c>
      <c r="AN90" s="557" t="str">
        <f>附表!$L$62&amp;"，外加丰富的便携式急救和创伤设备。"</f>
        <v>参见《特工手册》的“本职装备：联邦探员”，外加丰富的便携式急救和创伤设备。</v>
      </c>
      <c r="AO90" s="560">
        <f t="shared" si="2"/>
        <v>90</v>
      </c>
    </row>
    <row r="91" spans="1:41">
      <c r="A91" t="s" s="557">
        <v>455</v>
      </c>
      <c r="C91" s="557">
        <v>1</v>
      </c>
      <c r="D91" t="s" s="557">
        <v>216</v>
      </c>
      <c r="E91" t="s" s="557">
        <v>217</v>
      </c>
      <c r="F91" t="s" s="557">
        <v>240</v>
      </c>
      <c r="G91" t="s" s="557">
        <v>456</v>
      </c>
      <c r="H91" t="s" s="557">
        <v>219</v>
      </c>
      <c r="I91" t="s" s="557">
        <v>287</v>
      </c>
      <c r="J91" t="s" s="557">
        <v>198</v>
      </c>
      <c r="K91" t="s" s="557">
        <v>220</v>
      </c>
      <c r="L91" t="s" s="557">
        <v>318</v>
      </c>
      <c r="M91" t="s" s="557">
        <v>167</v>
      </c>
      <c r="N91" t="s" s="557">
        <v>391</v>
      </c>
      <c r="O91" t="s" s="557">
        <v>170</v>
      </c>
      <c r="P91" t="s" s="557">
        <v>223</v>
      </c>
      <c r="Q91" t="s" s="557">
        <v>195</v>
      </c>
      <c r="AJ91" t="s" s="557">
        <v>77</v>
      </c>
      <c r="AK91" t="s" s="557">
        <v>95</v>
      </c>
      <c r="AL91" t="s" s="557">
        <v>101</v>
      </c>
      <c r="AM91" t="s" s="557">
        <v>115</v>
      </c>
      <c r="AN91" s="557" t="str">
        <f>附表!$L$62&amp;"。"</f>
        <v>参见《特工手册》的“本职装备：联邦探员”。</v>
      </c>
      <c r="AO91" s="560">
        <f t="shared" si="2"/>
        <v>91</v>
      </c>
    </row>
    <row r="92" spans="1:41">
      <c r="A92" s="561" t="s">
        <v>457</v>
      </c>
      <c r="AF92" t="s" s="557">
        <v>184</v>
      </c>
      <c r="AJ92" t="s" s="557">
        <v>93</v>
      </c>
      <c r="AK92" t="s" s="557">
        <v>109</v>
      </c>
      <c r="AL92" t="s" s="557">
        <v>101</v>
      </c>
      <c r="AM92" t="s" s="557">
        <v>61</v>
      </c>
      <c r="AN92" s="557" t="str">
        <f>附表!$L$62&amp;"。"</f>
        <v>参见《特工手册》的“本职装备：联邦探员”。</v>
      </c>
      <c r="AO92" s="560">
        <f t="shared" si="2"/>
        <v>92</v>
      </c>
    </row>
    <row r="93" spans="1:41">
      <c r="A93" t="s" s="557">
        <v>458</v>
      </c>
      <c r="C93" s="557">
        <v>3</v>
      </c>
      <c r="D93" t="s" s="557">
        <v>158</v>
      </c>
      <c r="E93" t="s" s="557">
        <v>210</v>
      </c>
      <c r="F93" t="s" s="557">
        <v>187</v>
      </c>
      <c r="G93" t="s" s="557">
        <v>444</v>
      </c>
      <c r="H93" t="s" s="557">
        <v>191</v>
      </c>
      <c r="I93" t="s" s="557">
        <v>212</v>
      </c>
      <c r="J93" t="s" s="557">
        <v>182</v>
      </c>
      <c r="K93" t="s" s="557">
        <v>459</v>
      </c>
      <c r="L93" t="s" s="557">
        <v>460</v>
      </c>
      <c r="M93" t="s" s="557">
        <v>447</v>
      </c>
      <c r="AJ93" t="s" s="557">
        <v>93</v>
      </c>
      <c r="AK93" t="s" s="557">
        <v>109</v>
      </c>
      <c r="AL93" t="s" s="557">
        <v>61</v>
      </c>
      <c r="AM93" t="s" s="557">
        <v>91</v>
      </c>
      <c r="AN93" t="s" s="557">
        <v>461</v>
      </c>
      <c r="AO93" s="560">
        <f t="shared" si="2"/>
        <v>93</v>
      </c>
    </row>
    <row r="94" spans="1:41">
      <c r="A94" t="s" s="557">
        <v>462</v>
      </c>
      <c r="C94" s="557">
        <v>1</v>
      </c>
      <c r="D94" t="s" s="557">
        <v>216</v>
      </c>
      <c r="E94" t="s" s="557">
        <v>217</v>
      </c>
      <c r="F94" t="s" s="557">
        <v>290</v>
      </c>
      <c r="G94" t="s" s="557">
        <v>381</v>
      </c>
      <c r="H94" t="s" s="557">
        <v>456</v>
      </c>
      <c r="I94" t="s" s="557">
        <v>189</v>
      </c>
      <c r="J94" t="s" s="557">
        <v>287</v>
      </c>
      <c r="K94" t="s" s="557">
        <v>277</v>
      </c>
      <c r="L94" t="s" s="557">
        <v>198</v>
      </c>
      <c r="M94" t="s" s="557">
        <v>354</v>
      </c>
      <c r="N94" t="s" s="557">
        <v>222</v>
      </c>
      <c r="O94" t="s" s="557">
        <v>170</v>
      </c>
      <c r="P94" t="s" s="557">
        <v>223</v>
      </c>
      <c r="Q94" t="s" s="557">
        <v>232</v>
      </c>
      <c r="AJ94" t="s" s="557">
        <v>93</v>
      </c>
      <c r="AK94" t="s" s="557">
        <v>95</v>
      </c>
      <c r="AL94" t="s" s="557">
        <v>109</v>
      </c>
      <c r="AM94" t="s" s="557">
        <v>463</v>
      </c>
      <c r="AN94" s="557" t="str">
        <f>附表!$L$62&amp;"，外加爆炸物保护装备，大量工具、电子和化学诊断设备，并可利用遥控车辆接近、调查和消除可疑爆炸物。"</f>
        <v>参见《特工手册》的“本职装备：联邦探员”，外加爆炸物保护装备，大量工具、电子和化学诊断设备，并可利用遥控车辆接近、调查和消除可疑爆炸物。</v>
      </c>
      <c r="AO94" s="560">
        <f t="shared" si="2"/>
        <v>94</v>
      </c>
    </row>
    <row r="95" spans="1:41">
      <c r="A95" s="561" t="s">
        <v>464</v>
      </c>
      <c r="AF95" t="s" s="557">
        <v>123</v>
      </c>
      <c r="AJ95" t="s" s="557">
        <v>87</v>
      </c>
      <c r="AK95" t="s" s="557">
        <v>93</v>
      </c>
      <c r="AL95" t="s" s="557">
        <v>115</v>
      </c>
      <c r="AM95" t="s" s="557">
        <v>100</v>
      </c>
      <c r="AN95" t="s" s="557">
        <v>465</v>
      </c>
      <c r="AO95" s="560">
        <f t="shared" si="2"/>
        <v>95</v>
      </c>
    </row>
    <row r="96" spans="1:41">
      <c r="A96" s="561" t="s">
        <v>466</v>
      </c>
      <c r="C96" s="557">
        <v>1</v>
      </c>
      <c r="D96" t="s" s="557">
        <v>216</v>
      </c>
      <c r="E96" t="s" s="557">
        <v>226</v>
      </c>
      <c r="F96" t="s" s="557">
        <v>280</v>
      </c>
      <c r="G96" t="s" s="557">
        <v>218</v>
      </c>
      <c r="H96" t="s" s="557">
        <v>188</v>
      </c>
      <c r="I96" t="s" s="557">
        <v>219</v>
      </c>
      <c r="J96" t="s" s="557">
        <v>198</v>
      </c>
      <c r="K96" t="s" s="557">
        <v>191</v>
      </c>
      <c r="L96" t="s" s="557">
        <v>230</v>
      </c>
      <c r="M96" t="s" s="557">
        <v>220</v>
      </c>
      <c r="N96" t="s" s="557">
        <v>167</v>
      </c>
      <c r="O96" t="s" s="557">
        <v>222</v>
      </c>
      <c r="P96" t="s" s="557">
        <v>170</v>
      </c>
      <c r="Q96" t="s" s="557">
        <v>223</v>
      </c>
      <c r="R96" t="s" s="557">
        <v>195</v>
      </c>
      <c r="AJ96" t="s" s="557">
        <v>77</v>
      </c>
      <c r="AK96" t="s" s="557">
        <v>103</v>
      </c>
      <c r="AL96" t="s" s="557">
        <v>445</v>
      </c>
      <c r="AM96" t="s" s="557">
        <v>98</v>
      </c>
      <c r="AN96" s="557" t="str">
        <f>附表!$L$62&amp;"。"</f>
        <v>参见《特工手册》的“本职装备：联邦探员”。</v>
      </c>
      <c r="AO96" s="560">
        <f t="shared" si="2"/>
        <v>96</v>
      </c>
    </row>
    <row r="97" spans="1:41">
      <c r="A97" s="561" t="s">
        <v>467</v>
      </c>
      <c r="C97" s="557">
        <v>1</v>
      </c>
      <c r="D97" t="s" s="557">
        <v>216</v>
      </c>
      <c r="E97" t="s" s="557">
        <v>217</v>
      </c>
      <c r="F97" t="s" s="557">
        <v>218</v>
      </c>
      <c r="G97" t="s" s="557">
        <v>188</v>
      </c>
      <c r="H97" t="s" s="557">
        <v>219</v>
      </c>
      <c r="I97" t="s" s="557">
        <v>287</v>
      </c>
      <c r="J97" t="s" s="557">
        <v>198</v>
      </c>
      <c r="K97" t="s" s="557">
        <v>220</v>
      </c>
      <c r="L97" t="s" s="557">
        <v>221</v>
      </c>
      <c r="M97" t="s" s="557">
        <v>167</v>
      </c>
      <c r="N97" t="s" s="557">
        <v>222</v>
      </c>
      <c r="O97" t="s" s="557">
        <v>170</v>
      </c>
      <c r="P97" t="s" s="557">
        <v>223</v>
      </c>
      <c r="Q97" t="s" s="557">
        <v>195</v>
      </c>
      <c r="AJ97" t="s" s="557">
        <v>65</v>
      </c>
      <c r="AK97" t="s" s="557">
        <v>93</v>
      </c>
      <c r="AL97" t="s" s="557">
        <v>101</v>
      </c>
      <c r="AM97" t="s" s="557">
        <v>61</v>
      </c>
      <c r="AN97" s="557" t="str">
        <f>附表!$L$62&amp;"。"</f>
        <v>参见《特工手册》的“本职装备：联邦探员”。</v>
      </c>
      <c r="AO97" s="560">
        <f t="shared" si="2"/>
        <v>97</v>
      </c>
    </row>
    <row r="98" spans="1:41">
      <c r="A98" s="561" t="s">
        <v>468</v>
      </c>
      <c r="AF98" t="s" s="557">
        <v>469</v>
      </c>
      <c r="AJ98" t="s" s="557">
        <v>60</v>
      </c>
      <c r="AK98" t="s" s="557">
        <v>87</v>
      </c>
      <c r="AL98" t="s" s="557">
        <v>93</v>
      </c>
      <c r="AM98" t="s" s="557">
        <v>100</v>
      </c>
      <c r="AN98" t="s" s="557">
        <v>470</v>
      </c>
      <c r="AO98" s="560">
        <f t="shared" si="2"/>
        <v>98</v>
      </c>
    </row>
    <row r="99" spans="1:41">
      <c r="A99" s="561" t="s">
        <v>471</v>
      </c>
      <c r="C99" s="557">
        <v>2</v>
      </c>
      <c r="D99" t="s" s="557">
        <v>216</v>
      </c>
      <c r="E99" t="s" s="557">
        <v>217</v>
      </c>
      <c r="F99" t="s" s="557">
        <v>238</v>
      </c>
      <c r="G99" t="s" s="557">
        <v>239</v>
      </c>
      <c r="H99" t="s" s="557">
        <v>241</v>
      </c>
      <c r="I99" t="s" s="557">
        <v>472</v>
      </c>
      <c r="J99" t="s" s="557">
        <v>254</v>
      </c>
      <c r="K99" t="s" s="557">
        <v>167</v>
      </c>
      <c r="L99" t="s" s="557">
        <v>473</v>
      </c>
      <c r="M99" t="s" s="557">
        <v>474</v>
      </c>
      <c r="N99" t="s" s="557">
        <v>357</v>
      </c>
      <c r="O99" t="s" s="557">
        <v>292</v>
      </c>
      <c r="AJ99" t="s" s="557">
        <v>65</v>
      </c>
      <c r="AK99" t="s" s="557">
        <v>103</v>
      </c>
      <c r="AL99" t="s" s="557">
        <v>74</v>
      </c>
      <c r="AM99" t="s" s="557">
        <v>107</v>
      </c>
      <c r="AN99" t="s" s="557">
        <v>475</v>
      </c>
      <c r="AO99" s="560">
        <f t="shared" si="2"/>
        <v>99</v>
      </c>
    </row>
    <row r="100" spans="1:41">
      <c r="A100" s="561" t="s">
        <v>476</v>
      </c>
      <c r="AF100" t="s" s="557">
        <v>310</v>
      </c>
      <c r="AJ100" t="s" s="557">
        <v>60</v>
      </c>
      <c r="AK100" t="s" s="557">
        <v>83</v>
      </c>
      <c r="AL100" t="s" s="557">
        <v>78</v>
      </c>
      <c r="AM100" t="s" s="557">
        <v>477</v>
      </c>
      <c r="AN100" t="s" s="557">
        <v>478</v>
      </c>
      <c r="AO100" s="560">
        <f t="shared" si="2"/>
        <v>100</v>
      </c>
    </row>
    <row r="101" spans="1:41">
      <c r="A101" s="561" t="s">
        <v>479</v>
      </c>
      <c r="AF101" t="s" s="557">
        <v>156</v>
      </c>
      <c r="AJ101" t="s" s="557">
        <v>480</v>
      </c>
      <c r="AK101" t="s" s="557">
        <v>109</v>
      </c>
      <c r="AL101" t="s" s="557">
        <v>115</v>
      </c>
      <c r="AM101" t="s" s="557">
        <v>98</v>
      </c>
      <c r="AN101" t="s" s="557">
        <v>481</v>
      </c>
      <c r="AO101" s="560">
        <f t="shared" si="2"/>
        <v>101</v>
      </c>
    </row>
    <row r="102" spans="1:41">
      <c r="A102" s="561" t="s">
        <v>482</v>
      </c>
      <c r="C102" s="557">
        <v>2</v>
      </c>
      <c r="D102" t="s" s="557">
        <v>216</v>
      </c>
      <c r="E102" t="s" s="557">
        <v>329</v>
      </c>
      <c r="F102" t="s" s="557">
        <v>268</v>
      </c>
      <c r="G102" t="s" s="557">
        <v>483</v>
      </c>
      <c r="H102" t="s" s="557">
        <v>484</v>
      </c>
      <c r="I102" t="s" s="557">
        <v>219</v>
      </c>
      <c r="J102" t="s" s="557">
        <v>339</v>
      </c>
      <c r="K102" t="s" s="557">
        <v>382</v>
      </c>
      <c r="L102" t="s" s="557">
        <v>167</v>
      </c>
      <c r="M102" t="s" s="557">
        <v>485</v>
      </c>
      <c r="N102" t="s" s="557">
        <v>270</v>
      </c>
      <c r="O102" t="s" s="557">
        <v>223</v>
      </c>
      <c r="AJ102" t="s" s="557">
        <v>65</v>
      </c>
      <c r="AK102" t="s" s="557">
        <v>486</v>
      </c>
      <c r="AL102" t="s" s="557">
        <v>101</v>
      </c>
      <c r="AM102" t="s" s="557">
        <v>363</v>
      </c>
      <c r="AN102" s="557" t="str">
        <f>附表!$L$65&amp;"，外加定制的巴雷特M82.50口径狙击步枪，配备了望远镜、红外、低光、全息或激光瞄准器。"</f>
        <v>参见《特工手册》的“本职装备：特种作战员”，外加定制的巴雷特M82.50口径狙击步枪，配备了望远镜、红外、低光、全息或激光瞄准器。</v>
      </c>
      <c r="AO102" s="560">
        <f t="shared" si="2"/>
        <v>102</v>
      </c>
    </row>
    <row r="103" spans="1:41">
      <c r="A103" s="561" t="s">
        <v>487</v>
      </c>
      <c r="C103" s="557">
        <v>2</v>
      </c>
      <c r="D103" t="s" s="557">
        <v>186</v>
      </c>
      <c r="E103" t="s" s="557">
        <v>329</v>
      </c>
      <c r="F103" t="s" s="557">
        <v>158</v>
      </c>
      <c r="G103" t="s" s="557">
        <v>187</v>
      </c>
      <c r="H103" t="s" s="557">
        <v>188</v>
      </c>
      <c r="I103" t="s" s="557">
        <v>189</v>
      </c>
      <c r="J103" t="s" s="557">
        <v>436</v>
      </c>
      <c r="K103" t="s" s="557">
        <v>190</v>
      </c>
      <c r="L103" t="s" s="557">
        <v>198</v>
      </c>
      <c r="M103" t="s" s="557">
        <v>191</v>
      </c>
      <c r="N103" t="s" s="557">
        <v>192</v>
      </c>
      <c r="O103" t="s" s="557">
        <v>193</v>
      </c>
      <c r="P103" t="s" s="557">
        <v>194</v>
      </c>
      <c r="Q103" t="s" s="557">
        <v>292</v>
      </c>
      <c r="R103" t="s" s="557">
        <v>195</v>
      </c>
      <c r="AJ103" t="s" s="557">
        <v>65</v>
      </c>
      <c r="AK103" t="s" s="557">
        <v>101</v>
      </c>
      <c r="AL103" t="s" s="557">
        <v>477</v>
      </c>
      <c r="AM103" t="s" s="557">
        <v>488</v>
      </c>
      <c r="AN103" s="557" t="str">
        <f>附表!$L$62&amp;"，以及基础水上生存装备。"</f>
        <v>参见《特工手册》的“本职装备：联邦探员”，以及基础水上生存装备。</v>
      </c>
      <c r="AO103" s="560">
        <f t="shared" si="2"/>
        <v>103</v>
      </c>
    </row>
    <row r="104" spans="1:41">
      <c r="A104" s="561" t="s">
        <v>489</v>
      </c>
      <c r="C104" s="557">
        <v>1</v>
      </c>
      <c r="D104" t="s" s="557">
        <v>216</v>
      </c>
      <c r="E104" t="s" s="557">
        <v>226</v>
      </c>
      <c r="F104" t="s" s="557">
        <v>268</v>
      </c>
      <c r="G104" t="s" s="557">
        <v>239</v>
      </c>
      <c r="H104" t="s" s="557">
        <v>248</v>
      </c>
      <c r="I104" t="s" s="557">
        <v>229</v>
      </c>
      <c r="J104" t="s" s="557">
        <v>198</v>
      </c>
      <c r="K104" t="s" s="557">
        <v>182</v>
      </c>
      <c r="L104" t="s" s="557">
        <v>382</v>
      </c>
      <c r="M104" t="s" s="557">
        <v>167</v>
      </c>
      <c r="N104" t="s" s="557">
        <v>490</v>
      </c>
      <c r="O104" t="s" s="557">
        <v>270</v>
      </c>
      <c r="P104" t="s" s="557">
        <v>491</v>
      </c>
      <c r="Q104" t="s" s="557">
        <v>292</v>
      </c>
      <c r="AJ104" t="s" s="557">
        <v>65</v>
      </c>
      <c r="AK104" t="s" s="557">
        <v>109</v>
      </c>
      <c r="AL104" t="s" s="557">
        <v>115</v>
      </c>
      <c r="AM104" t="s" s="557">
        <v>102</v>
      </c>
      <c r="AN104" s="557" t="str">
        <f>附表!$L$62&amp;"，以及基础水上生存装备。"</f>
        <v>参见《特工手册》的“本职装备：联邦探员”，以及基础水上生存装备。</v>
      </c>
      <c r="AO104" s="560">
        <f t="shared" si="2"/>
        <v>104</v>
      </c>
    </row>
    <row r="105" spans="1:41">
      <c r="A105" s="561" t="s">
        <v>492</v>
      </c>
      <c r="C105" s="557">
        <v>1</v>
      </c>
      <c r="D105" t="s" s="557">
        <v>216</v>
      </c>
      <c r="E105" t="s" s="557">
        <v>217</v>
      </c>
      <c r="F105" t="s" s="557">
        <v>218</v>
      </c>
      <c r="G105" t="s" s="557">
        <v>456</v>
      </c>
      <c r="H105" t="s" s="557">
        <v>219</v>
      </c>
      <c r="I105" t="s" s="557">
        <v>198</v>
      </c>
      <c r="J105" t="s" s="557">
        <v>220</v>
      </c>
      <c r="K105" t="s" s="557">
        <v>493</v>
      </c>
      <c r="L105" t="s" s="557">
        <v>167</v>
      </c>
      <c r="M105" t="s" s="557">
        <v>205</v>
      </c>
      <c r="N105" t="s" s="557">
        <v>222</v>
      </c>
      <c r="O105" t="s" s="557">
        <v>170</v>
      </c>
      <c r="P105" t="s" s="557">
        <v>223</v>
      </c>
      <c r="Q105" t="s" s="557">
        <v>195</v>
      </c>
      <c r="AJ105" t="s" s="557">
        <v>65</v>
      </c>
      <c r="AK105" t="s" s="557">
        <v>77</v>
      </c>
      <c r="AL105" t="s" s="557">
        <v>101</v>
      </c>
      <c r="AM105" t="s" s="557">
        <v>61</v>
      </c>
      <c r="AN105" s="557" t="str">
        <f>附表!$L$65&amp;"，以及用于逮捕和拘留嫌疑人的限制性工具。"</f>
        <v>参见《特工手册》的“本职装备：特种作战员”，以及用于逮捕和拘留嫌疑人的限制性工具。</v>
      </c>
      <c r="AO105" s="560">
        <f t="shared" si="2"/>
        <v>105</v>
      </c>
    </row>
    <row r="106" spans="1:41">
      <c r="A106" s="561" t="s">
        <v>494</v>
      </c>
      <c r="AF106" t="s" s="557">
        <v>117</v>
      </c>
      <c r="AJ106" t="s" s="557">
        <v>83</v>
      </c>
      <c r="AK106" t="s" s="557">
        <v>294</v>
      </c>
      <c r="AL106" t="s" s="557">
        <v>495</v>
      </c>
      <c r="AM106" t="s" s="557">
        <v>496</v>
      </c>
      <c r="AN106" t="s" s="557">
        <v>497</v>
      </c>
      <c r="AO106" s="560">
        <f t="shared" si="2"/>
        <v>106</v>
      </c>
    </row>
    <row r="107" spans="1:41">
      <c r="AO107" s="563"/>
    </row>
    <row r="108" spans="1:41">
      <c r="AO108" s="563"/>
    </row>
    <row r="109" spans="1:41">
      <c r="AO109" s="563"/>
    </row>
    <row r="110" spans="1:41">
      <c r="AO110" s="563"/>
    </row>
    <row r="111" spans="1:41">
      <c r="AO111" s="563"/>
    </row>
    <row r="112" spans="1:41">
      <c r="AO112" s="563"/>
    </row>
    <row r="113" spans="41:41">
      <c r="AO113" s="563"/>
    </row>
    <row r="114" spans="41:41">
      <c r="AO114" s="563"/>
    </row>
    <row r="115" spans="41:41">
      <c r="AO115" s="563"/>
    </row>
    <row r="116" spans="41:41">
      <c r="AO116" s="563"/>
    </row>
    <row r="117" spans="41:41">
      <c r="AO117" s="563"/>
    </row>
    <row r="118" spans="41:41">
      <c r="AO118" s="563"/>
    </row>
    <row r="119" spans="41:41">
      <c r="AO119" s="563"/>
    </row>
    <row r="120" spans="41:41">
      <c r="AO120" s="563"/>
    </row>
    <row r="121" spans="41:41">
      <c r="AO121" s="563"/>
    </row>
    <row r="122" spans="41:41">
      <c r="AO122" s="563"/>
    </row>
    <row r="123" spans="41:41">
      <c r="AO123" s="563"/>
    </row>
    <row r="124" spans="41:41">
      <c r="AO124" s="563"/>
    </row>
    <row r="125" spans="41:41">
      <c r="AO125" s="563"/>
    </row>
    <row r="126" spans="41:41">
      <c r="AO126" s="563"/>
    </row>
  </sheetData>
  <sheetProtection selectLockedCells="1"/>
  <mergeCells count="2">
    <mergeCell ref="D1:R1"/>
    <mergeCell ref="U1:AE1"/>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B4C6E7"/>
  </sheetPr>
  <dimension ref="A1:Q30"/>
  <sheetViews>
    <sheetView topLeftCell="A7" workbookViewId="0">
      <selection activeCell="C13" sqref="C13"/>
    </sheetView>
  </sheetViews>
  <sheetFormatPr defaultColWidth="8.86666666666667" defaultRowHeight="14"/>
  <cols>
    <col min="1" max="1" width="33.6" customWidth="1"/>
    <col min="2" max="2" width="22.3333333333333" customWidth="1"/>
    <col min="3" max="3" width="23.2666666666667" customWidth="1"/>
    <col min="4" max="4" width="22.7333333333333" customWidth="1"/>
    <col min="5" max="5" width="21.4" customWidth="1"/>
    <col min="6" max="6" width="17.2" customWidth="1"/>
    <col min="7" max="7" width="21.4" customWidth="1"/>
    <col min="8" max="8" width="17.2" customWidth="1"/>
    <col min="9" max="9" width="15.0666666666667" customWidth="1"/>
    <col min="10" max="10" width="19.2" style="65" customWidth="1"/>
    <col min="11" max="11" width="13.2" customWidth="1"/>
    <col min="12" max="12" width="17.2" customWidth="1"/>
    <col min="13" max="14" width="9" customWidth="1"/>
    <col min="15" max="15" width="21.4" customWidth="1"/>
    <col min="16" max="17" width="9" customWidth="1"/>
  </cols>
  <sheetData>
    <row r="1" spans="1:17">
      <c r="A1" s="556" t="s">
        <v>498</v>
      </c>
      <c r="B1" s="556" t="s">
        <v>499</v>
      </c>
      <c r="C1" s="564"/>
      <c r="D1" s="564"/>
      <c r="E1" s="564"/>
      <c r="F1" s="564"/>
      <c r="G1" s="564"/>
      <c r="H1" s="564"/>
      <c r="I1" s="564"/>
      <c r="J1" s="556" t="s">
        <v>500</v>
      </c>
      <c r="K1" s="556" t="s">
        <v>501</v>
      </c>
      <c r="L1" s="564"/>
      <c r="M1" s="564"/>
      <c r="N1" s="564"/>
      <c r="O1" s="564"/>
      <c r="P1" s="564"/>
      <c r="Q1" s="564"/>
    </row>
    <row r="2" spans="1:17">
      <c r="A2" t="s" s="557">
        <v>502</v>
      </c>
      <c r="B2" s="557" t="str">
        <f t="array" ref="B2:H2">TRANSPOSE(附表!G37:G43)</f>
        <v>选择8个技能（除了非自</v>
      </c>
      <c r="C2" s="557" t="str">
        <v>然知识），为每一个加上</v>
      </c>
      <c r="D2" s="557" t="str">
        <v>20点。不能超过80%。可</v>
      </c>
      <c r="E2" s="557" t="str">
        <v>重复选择。</v>
      </c>
      <c r="F2" s="557">
        <v>0</v>
      </c>
      <c r="G2" s="557">
        <v>0</v>
      </c>
      <c r="H2" s="557">
        <v>0</v>
      </c>
    </row>
    <row r="3" spans="1:17">
      <c r="A3" t="s" s="557">
        <v>503</v>
      </c>
      <c r="B3" t="s" s="557">
        <v>65</v>
      </c>
      <c r="C3" t="s" s="557">
        <v>504</v>
      </c>
      <c r="D3" t="s" s="557">
        <v>96</v>
      </c>
      <c r="E3" t="s" s="557">
        <v>78</v>
      </c>
      <c r="F3" t="s" s="557">
        <v>505</v>
      </c>
      <c r="G3" t="s" s="557">
        <v>505</v>
      </c>
      <c r="H3" t="s" s="557">
        <v>505</v>
      </c>
      <c r="I3" t="s" s="557">
        <v>115</v>
      </c>
    </row>
    <row r="4" spans="1:17">
      <c r="A4" t="s" s="557">
        <v>119</v>
      </c>
      <c r="B4" t="s" s="557">
        <v>65</v>
      </c>
      <c r="C4" t="s" s="557">
        <v>77</v>
      </c>
      <c r="D4" t="s" s="557">
        <v>97</v>
      </c>
      <c r="E4" t="s" s="557">
        <v>103</v>
      </c>
      <c r="F4" t="s" s="557">
        <v>115</v>
      </c>
      <c r="G4" t="s" s="557">
        <v>78</v>
      </c>
      <c r="H4" t="s" s="557">
        <v>107</v>
      </c>
      <c r="I4" t="s" s="557">
        <v>108</v>
      </c>
    </row>
    <row r="5" spans="1:17">
      <c r="A5" t="s" s="557">
        <v>506</v>
      </c>
      <c r="B5" t="s" s="557">
        <v>505</v>
      </c>
      <c r="C5" t="s" s="557">
        <v>67</v>
      </c>
      <c r="D5" s="561" t="s">
        <v>83</v>
      </c>
      <c r="E5" t="s" s="557">
        <v>114</v>
      </c>
      <c r="F5" t="s" s="557">
        <v>61</v>
      </c>
      <c r="G5" t="s" s="557">
        <v>76</v>
      </c>
      <c r="H5" t="s" s="557">
        <v>78</v>
      </c>
      <c r="I5" t="s" s="557">
        <v>115</v>
      </c>
    </row>
    <row r="6" spans="1:17">
      <c r="A6" t="s" s="557">
        <v>507</v>
      </c>
      <c r="B6" t="s" s="557">
        <v>65</v>
      </c>
      <c r="C6" t="s" s="557">
        <v>77</v>
      </c>
      <c r="D6" t="s" s="557">
        <v>508</v>
      </c>
      <c r="E6" t="s" s="557">
        <v>509</v>
      </c>
      <c r="F6" t="s" s="557">
        <v>93</v>
      </c>
      <c r="G6" t="s" s="557">
        <v>96</v>
      </c>
      <c r="H6" t="s" s="557">
        <v>98</v>
      </c>
      <c r="I6" t="s" s="557">
        <v>102</v>
      </c>
    </row>
    <row r="7" spans="1:17">
      <c r="A7" t="s" s="557">
        <v>510</v>
      </c>
      <c r="B7" t="s" s="557">
        <v>65</v>
      </c>
      <c r="C7" t="s" s="557">
        <v>504</v>
      </c>
      <c r="D7" t="s" s="557">
        <v>504</v>
      </c>
      <c r="E7" t="s" s="557">
        <v>99</v>
      </c>
      <c r="F7" t="s" s="557">
        <v>103</v>
      </c>
      <c r="G7" t="s" s="557">
        <v>112</v>
      </c>
      <c r="H7" t="s" s="557">
        <v>74</v>
      </c>
      <c r="I7" t="s" s="557">
        <v>98</v>
      </c>
    </row>
    <row r="8" spans="1:17">
      <c r="A8" t="s" s="557">
        <v>511</v>
      </c>
      <c r="B8" t="s" s="557">
        <v>60</v>
      </c>
      <c r="C8" t="s" s="557">
        <v>83</v>
      </c>
      <c r="D8" t="s" s="557">
        <v>87</v>
      </c>
      <c r="E8" t="s" s="557">
        <v>93</v>
      </c>
      <c r="F8" t="s" s="557">
        <v>115</v>
      </c>
      <c r="G8" t="s" s="557">
        <v>61</v>
      </c>
      <c r="H8" t="s" s="557">
        <v>78</v>
      </c>
      <c r="I8" t="s" s="557">
        <v>512</v>
      </c>
    </row>
    <row r="9" spans="1:17">
      <c r="A9" t="s" s="557">
        <v>513</v>
      </c>
      <c r="B9" t="s" s="557">
        <v>514</v>
      </c>
      <c r="C9" t="s" s="557">
        <v>114</v>
      </c>
      <c r="D9" t="s" s="557">
        <v>115</v>
      </c>
      <c r="E9" t="s" s="557">
        <v>76</v>
      </c>
      <c r="F9" t="s" s="557">
        <v>78</v>
      </c>
      <c r="G9" t="s" s="557">
        <v>91</v>
      </c>
    </row>
    <row r="10" spans="1:17">
      <c r="A10" t="s" s="557">
        <v>515</v>
      </c>
      <c r="B10" t="s" s="557">
        <v>65</v>
      </c>
      <c r="C10" t="s" s="557">
        <v>97</v>
      </c>
      <c r="D10" t="s" s="557">
        <v>101</v>
      </c>
      <c r="E10" t="s" s="557">
        <v>103</v>
      </c>
      <c r="F10" t="s" s="557">
        <v>113</v>
      </c>
      <c r="G10" t="s" s="557">
        <v>68</v>
      </c>
      <c r="H10" t="s" s="557">
        <v>102</v>
      </c>
      <c r="I10" t="s" s="557">
        <v>108</v>
      </c>
    </row>
    <row r="11" spans="1:17">
      <c r="A11" t="s" s="557">
        <v>516</v>
      </c>
      <c r="B11" t="s" s="557">
        <v>87</v>
      </c>
      <c r="C11" t="s" s="557">
        <v>366</v>
      </c>
      <c r="D11" t="s" s="557">
        <v>373</v>
      </c>
      <c r="E11" t="s" s="557">
        <v>100</v>
      </c>
      <c r="F11" t="s" s="557">
        <v>517</v>
      </c>
    </row>
    <row r="12" spans="1:17">
      <c r="A12" t="s" s="557">
        <v>518</v>
      </c>
      <c r="B12" t="s" s="557">
        <v>83</v>
      </c>
      <c r="C12" t="s" s="557">
        <v>103</v>
      </c>
      <c r="D12" t="s" s="557">
        <v>336</v>
      </c>
      <c r="E12" t="s" s="557">
        <v>115</v>
      </c>
      <c r="F12" t="s" s="557">
        <v>61</v>
      </c>
      <c r="G12" t="s" s="557">
        <v>78</v>
      </c>
      <c r="H12" t="s" s="557">
        <v>91</v>
      </c>
      <c r="I12" t="s" s="557">
        <v>98</v>
      </c>
    </row>
    <row r="13" spans="1:17">
      <c r="A13" t="s" s="557">
        <v>519</v>
      </c>
      <c r="B13" t="s" s="557">
        <v>60</v>
      </c>
      <c r="C13" t="s" s="557">
        <v>83</v>
      </c>
      <c r="D13" t="s" s="557">
        <v>87</v>
      </c>
      <c r="E13" t="s" s="557">
        <v>93</v>
      </c>
      <c r="F13" t="s" s="557">
        <v>109</v>
      </c>
      <c r="G13" t="s" s="557">
        <v>61</v>
      </c>
      <c r="H13" t="s" s="557">
        <v>84</v>
      </c>
      <c r="I13" t="s" s="557">
        <v>98</v>
      </c>
    </row>
    <row r="14" spans="1:17">
      <c r="A14" t="s" s="557">
        <v>520</v>
      </c>
      <c r="B14" t="s" s="557">
        <v>65</v>
      </c>
      <c r="C14" t="s" s="557">
        <v>95</v>
      </c>
      <c r="D14" t="s" s="557">
        <v>99</v>
      </c>
      <c r="E14" t="s" s="557">
        <v>103</v>
      </c>
      <c r="F14" t="s" s="557">
        <v>109</v>
      </c>
      <c r="G14" t="s" s="557">
        <v>112</v>
      </c>
      <c r="H14" t="s" s="557">
        <v>74</v>
      </c>
      <c r="I14" t="s" s="557">
        <v>98</v>
      </c>
    </row>
    <row r="15" spans="1:17">
      <c r="A15" t="s" s="557">
        <v>521</v>
      </c>
      <c r="B15" t="s" s="557">
        <v>65</v>
      </c>
      <c r="C15" t="s" s="557">
        <v>93</v>
      </c>
      <c r="D15" t="s" s="557">
        <v>97</v>
      </c>
      <c r="E15" t="s" s="557">
        <v>99</v>
      </c>
      <c r="F15" t="s" s="557">
        <v>78</v>
      </c>
      <c r="G15" t="s" s="557">
        <v>102</v>
      </c>
      <c r="J15" s="565">
        <v>2</v>
      </c>
      <c r="K15" t="s" s="557">
        <v>77</v>
      </c>
      <c r="L15" t="s" s="557">
        <v>336</v>
      </c>
      <c r="M15" t="s" s="557">
        <v>101</v>
      </c>
      <c r="N15" t="s" s="557">
        <v>115</v>
      </c>
      <c r="O15" t="s" s="557">
        <v>68</v>
      </c>
      <c r="P15" t="s" s="557">
        <v>84</v>
      </c>
      <c r="Q15" t="s" s="557">
        <v>108</v>
      </c>
    </row>
    <row r="16" spans="1:17">
      <c r="A16" t="s" s="557">
        <v>522</v>
      </c>
      <c r="B16" t="s" s="557">
        <v>93</v>
      </c>
      <c r="C16" t="s" s="557">
        <v>336</v>
      </c>
      <c r="D16" t="s" s="557">
        <v>336</v>
      </c>
      <c r="E16" t="s" s="557">
        <v>115</v>
      </c>
      <c r="F16" t="s" s="557">
        <v>61</v>
      </c>
      <c r="G16" t="s" s="557">
        <v>78</v>
      </c>
      <c r="H16" t="s" s="557">
        <v>84</v>
      </c>
      <c r="I16" t="s" s="557">
        <v>98</v>
      </c>
    </row>
    <row r="17" spans="1:16">
      <c r="A17" t="s" s="557">
        <v>523</v>
      </c>
      <c r="B17" t="s" s="557">
        <v>524</v>
      </c>
      <c r="C17" t="s" s="557">
        <v>505</v>
      </c>
      <c r="D17" t="s" s="557">
        <v>336</v>
      </c>
      <c r="E17" t="s" s="557">
        <v>114</v>
      </c>
      <c r="F17" t="s" s="557">
        <v>78</v>
      </c>
      <c r="G17" t="s" s="557">
        <v>525</v>
      </c>
    </row>
    <row r="18" spans="1:16">
      <c r="A18" t="s" s="557">
        <v>526</v>
      </c>
      <c r="B18" t="s" s="557">
        <v>83</v>
      </c>
      <c r="C18" t="s" s="557">
        <v>101</v>
      </c>
      <c r="D18" t="s" s="557">
        <v>114</v>
      </c>
      <c r="E18" t="s" s="557">
        <v>527</v>
      </c>
      <c r="F18" t="s" s="557">
        <v>74</v>
      </c>
      <c r="G18" t="s" s="557">
        <v>78</v>
      </c>
      <c r="H18" t="s" s="557">
        <v>108</v>
      </c>
      <c r="J18" s="565">
        <v>1</v>
      </c>
      <c r="K18" t="s" s="557">
        <v>75</v>
      </c>
      <c r="L18" t="s" s="557">
        <v>112</v>
      </c>
      <c r="M18" t="s" s="557">
        <v>113</v>
      </c>
      <c r="N18" t="s" s="557">
        <v>115</v>
      </c>
      <c r="O18" t="s" s="557">
        <v>528</v>
      </c>
      <c r="P18" t="s" s="557">
        <v>100</v>
      </c>
    </row>
    <row r="19" spans="1:16">
      <c r="A19" t="s" s="557">
        <v>529</v>
      </c>
      <c r="B19" t="s" s="557">
        <v>60</v>
      </c>
      <c r="C19" t="s" s="557">
        <v>83</v>
      </c>
      <c r="D19" t="s" s="557">
        <v>115</v>
      </c>
      <c r="E19" t="s" s="557">
        <v>61</v>
      </c>
      <c r="F19" t="s" s="557">
        <v>78</v>
      </c>
      <c r="G19" t="s" s="557">
        <v>525</v>
      </c>
    </row>
    <row r="20" spans="1:16">
      <c r="A20" t="s" s="557">
        <v>530</v>
      </c>
      <c r="B20" t="s" s="557">
        <v>65</v>
      </c>
      <c r="C20" t="s" s="557">
        <v>103</v>
      </c>
      <c r="D20" t="s" s="557">
        <v>66</v>
      </c>
      <c r="E20" t="s" s="557">
        <v>78</v>
      </c>
      <c r="F20" t="s" s="557">
        <v>84</v>
      </c>
      <c r="G20" t="s" s="557">
        <v>91</v>
      </c>
      <c r="H20" t="s" s="557">
        <v>332</v>
      </c>
      <c r="I20" t="s" s="557">
        <v>98</v>
      </c>
    </row>
    <row r="21" spans="1:16">
      <c r="A21" t="s" s="557">
        <v>531</v>
      </c>
      <c r="B21" t="s" s="557">
        <v>67</v>
      </c>
      <c r="C21" t="s" s="557">
        <v>70</v>
      </c>
      <c r="D21" t="s" s="557">
        <v>87</v>
      </c>
      <c r="E21" t="s" s="557">
        <v>93</v>
      </c>
      <c r="F21" t="s" s="557">
        <v>114</v>
      </c>
      <c r="G21" t="s" s="557">
        <v>76</v>
      </c>
      <c r="H21" t="s" s="557">
        <v>78</v>
      </c>
      <c r="I21" t="s" s="557">
        <v>98</v>
      </c>
    </row>
    <row r="22" spans="1:16">
      <c r="A22" t="s" s="557">
        <v>532</v>
      </c>
      <c r="B22" t="s" s="557">
        <v>65</v>
      </c>
      <c r="C22" t="s" s="557">
        <v>77</v>
      </c>
      <c r="D22" t="s" s="557">
        <v>101</v>
      </c>
      <c r="E22" t="s" s="557">
        <v>74</v>
      </c>
      <c r="F22" t="s" s="557">
        <v>92</v>
      </c>
      <c r="G22" t="s" s="557">
        <v>98</v>
      </c>
      <c r="H22" t="s" s="557">
        <v>102</v>
      </c>
      <c r="I22" t="s" s="557">
        <v>106</v>
      </c>
    </row>
    <row r="23" spans="1:16">
      <c r="A23" t="s" s="557">
        <v>533</v>
      </c>
      <c r="B23" t="s" s="557">
        <v>65</v>
      </c>
      <c r="C23" t="s" s="557">
        <v>534</v>
      </c>
      <c r="D23" t="s" s="557">
        <v>87</v>
      </c>
      <c r="E23" t="s" s="557">
        <v>78</v>
      </c>
      <c r="F23" t="s" s="557">
        <v>98</v>
      </c>
      <c r="G23" t="s" s="557">
        <v>102</v>
      </c>
      <c r="H23" t="s" s="557">
        <v>535</v>
      </c>
    </row>
    <row r="24" spans="1:16">
      <c r="A24" t="s" s="557">
        <v>536</v>
      </c>
      <c r="B24" t="s" s="557">
        <v>65</v>
      </c>
      <c r="C24" t="s" s="557">
        <v>486</v>
      </c>
      <c r="D24" t="s" s="557">
        <v>103</v>
      </c>
      <c r="E24" t="s" s="557">
        <v>336</v>
      </c>
      <c r="F24" t="s" s="557">
        <v>74</v>
      </c>
      <c r="G24" t="s" s="557">
        <v>528</v>
      </c>
      <c r="H24" t="s" s="557">
        <v>106</v>
      </c>
      <c r="I24" t="s" s="557">
        <v>107</v>
      </c>
    </row>
    <row r="25" spans="1:16">
      <c r="A25" t="s" s="557">
        <v>537</v>
      </c>
      <c r="B25" t="s" s="557">
        <v>65</v>
      </c>
      <c r="C25" t="s" s="557">
        <v>93</v>
      </c>
      <c r="D25" t="s" s="557">
        <v>99</v>
      </c>
      <c r="E25" t="s" s="557">
        <v>101</v>
      </c>
      <c r="F25" t="s" s="557">
        <v>115</v>
      </c>
      <c r="G25" t="s" s="557">
        <v>61</v>
      </c>
      <c r="H25" t="s" s="557">
        <v>68</v>
      </c>
      <c r="I25" t="s" s="557">
        <v>108</v>
      </c>
    </row>
    <row r="26" spans="1:16">
      <c r="A26" t="s" s="557">
        <v>538</v>
      </c>
      <c r="B26" t="s" s="557">
        <v>83</v>
      </c>
      <c r="C26" t="s" s="557">
        <v>87</v>
      </c>
      <c r="D26" t="s" s="557">
        <v>504</v>
      </c>
      <c r="E26" t="s" s="557">
        <v>336</v>
      </c>
      <c r="F26" t="s" s="557">
        <v>300</v>
      </c>
      <c r="G26" t="s" s="557">
        <v>300</v>
      </c>
      <c r="H26" t="s" s="557">
        <v>300</v>
      </c>
      <c r="J26" s="565">
        <v>1</v>
      </c>
      <c r="K26" t="s" s="557">
        <v>60</v>
      </c>
      <c r="L26" t="s" s="557">
        <v>109</v>
      </c>
      <c r="M26" t="s" s="557">
        <v>61</v>
      </c>
      <c r="N26" t="s" s="557">
        <v>84</v>
      </c>
    </row>
    <row r="27" spans="1:16">
      <c r="A27" t="s" s="557">
        <v>539</v>
      </c>
      <c r="B27" t="s" s="557">
        <v>83</v>
      </c>
      <c r="C27" t="s" s="557">
        <v>93</v>
      </c>
      <c r="D27" t="s" s="557">
        <v>109</v>
      </c>
      <c r="E27" t="s" s="557">
        <v>336</v>
      </c>
      <c r="F27" t="s" s="557">
        <v>115</v>
      </c>
      <c r="G27" t="s" s="557">
        <v>61</v>
      </c>
      <c r="H27" t="s" s="557">
        <v>78</v>
      </c>
      <c r="I27" t="s" s="557">
        <v>98</v>
      </c>
    </row>
    <row r="28" spans="1:16">
      <c r="A28" t="s" s="557">
        <v>540</v>
      </c>
      <c r="B28" t="s" s="557">
        <v>65</v>
      </c>
      <c r="C28" t="s" s="557">
        <v>75</v>
      </c>
      <c r="D28" t="s" s="557">
        <v>77</v>
      </c>
      <c r="E28" t="s" s="557">
        <v>99</v>
      </c>
      <c r="F28" t="s" s="557">
        <v>101</v>
      </c>
      <c r="G28" t="s" s="557">
        <v>113</v>
      </c>
      <c r="H28" t="s" s="557">
        <v>445</v>
      </c>
      <c r="I28" t="s" s="557">
        <v>108</v>
      </c>
    </row>
    <row r="29" spans="1:16">
      <c r="A29" t="s" s="557">
        <v>541</v>
      </c>
      <c r="B29" t="s" s="557">
        <v>67</v>
      </c>
      <c r="C29" t="s" s="557">
        <v>336</v>
      </c>
      <c r="D29" t="s" s="557">
        <v>336</v>
      </c>
      <c r="E29" t="s" s="557">
        <v>336</v>
      </c>
      <c r="F29" t="s" s="557">
        <v>114</v>
      </c>
      <c r="G29" t="s" s="557">
        <v>115</v>
      </c>
      <c r="H29" t="s" s="557">
        <v>78</v>
      </c>
      <c r="I29" t="s" s="557">
        <v>512</v>
      </c>
    </row>
    <row r="30" spans="1:16">
      <c r="A30" t="s" s="557">
        <v>542</v>
      </c>
      <c r="B30" t="s" s="557">
        <v>65</v>
      </c>
      <c r="C30" t="s" s="557">
        <v>77</v>
      </c>
      <c r="D30" t="s" s="557">
        <v>504</v>
      </c>
      <c r="E30" t="s" s="557">
        <v>61</v>
      </c>
      <c r="F30" t="s" s="557">
        <v>74</v>
      </c>
      <c r="G30" t="s" s="557">
        <v>78</v>
      </c>
      <c r="H30" t="s" s="557">
        <v>98</v>
      </c>
      <c r="I30" t="s" s="557">
        <v>102</v>
      </c>
    </row>
  </sheetData>
  <sheetProtection selectLockedCells="1"/>
  <mergeCells count="2">
    <mergeCell ref="B1:I1"/>
    <mergeCell ref="K1:Q1"/>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rgb="FFB4C6E7"/>
  </sheetPr>
  <dimension ref="A1:I27"/>
  <sheetViews>
    <sheetView topLeftCell="A10" workbookViewId="0">
      <selection activeCell="F31" sqref="F31"/>
    </sheetView>
  </sheetViews>
  <sheetFormatPr defaultColWidth="9" defaultRowHeight="14"/>
  <cols>
    <col min="5" max="5" width="10.8666666666667" customWidth="1"/>
    <col min="7" max="7" width="10.8666666666667" customWidth="1"/>
    <col min="9" max="9" width="11" customWidth="1"/>
  </cols>
  <sheetData>
    <row r="1" spans="1:9">
      <c r="A1" t="s" s="566">
        <v>543</v>
      </c>
      <c r="C1" t="s" s="566">
        <v>544</v>
      </c>
      <c r="E1" t="s" s="566">
        <v>331</v>
      </c>
      <c r="G1" t="s" s="566">
        <v>358</v>
      </c>
      <c r="I1" t="s" s="566">
        <v>545</v>
      </c>
    </row>
    <row r="2" spans="1:9">
      <c r="A2" t="s" s="557">
        <v>546</v>
      </c>
      <c r="C2" t="s" s="557">
        <v>547</v>
      </c>
      <c r="E2" t="s" s="557">
        <v>548</v>
      </c>
      <c r="G2" t="s" s="557">
        <v>549</v>
      </c>
      <c r="I2" t="s" s="557">
        <v>550</v>
      </c>
    </row>
    <row r="3" spans="1:9">
      <c r="A3" t="s" s="557">
        <v>551</v>
      </c>
      <c r="C3" t="s" s="557">
        <v>552</v>
      </c>
      <c r="E3" t="s" s="557">
        <v>553</v>
      </c>
      <c r="G3" t="s" s="557">
        <v>554</v>
      </c>
      <c r="I3" t="s" s="557">
        <v>555</v>
      </c>
    </row>
    <row r="4" spans="1:9">
      <c r="A4" t="s" s="557">
        <v>556</v>
      </c>
      <c r="C4" t="s" s="557">
        <v>557</v>
      </c>
      <c r="E4" t="s" s="557">
        <v>558</v>
      </c>
      <c r="G4" t="s" s="557">
        <v>559</v>
      </c>
      <c r="I4" t="s" s="557">
        <v>560</v>
      </c>
    </row>
    <row r="5" spans="1:9">
      <c r="A5" t="s" s="557">
        <v>561</v>
      </c>
      <c r="C5" t="s" s="557">
        <v>562</v>
      </c>
      <c r="G5" t="s" s="557">
        <v>563</v>
      </c>
      <c r="I5" t="s" s="557">
        <v>564</v>
      </c>
    </row>
    <row r="6" spans="1:9">
      <c r="A6" t="s" s="557">
        <v>565</v>
      </c>
      <c r="C6" t="s" s="557">
        <v>566</v>
      </c>
      <c r="G6" t="s" s="557">
        <v>567</v>
      </c>
      <c r="I6" t="s" s="557">
        <v>568</v>
      </c>
    </row>
    <row r="7" spans="1:9">
      <c r="A7" t="s" s="557">
        <v>569</v>
      </c>
      <c r="C7" t="s" s="557">
        <v>570</v>
      </c>
      <c r="G7" t="s" s="557">
        <v>571</v>
      </c>
      <c r="I7" t="s" s="557">
        <v>572</v>
      </c>
    </row>
    <row r="8" spans="1:9">
      <c r="A8" t="s" s="557">
        <v>573</v>
      </c>
      <c r="C8" t="s" s="557">
        <v>574</v>
      </c>
      <c r="G8" t="s" s="557">
        <v>575</v>
      </c>
      <c r="I8" t="s" s="557">
        <v>576</v>
      </c>
    </row>
    <row r="9" spans="1:9">
      <c r="A9" t="s" s="557">
        <v>577</v>
      </c>
      <c r="C9" t="s" s="557">
        <v>578</v>
      </c>
      <c r="G9" t="s" s="557">
        <v>579</v>
      </c>
      <c r="I9" t="s" s="557">
        <v>580</v>
      </c>
    </row>
    <row r="10" spans="1:9">
      <c r="A10" t="s" s="557">
        <v>581</v>
      </c>
      <c r="C10" t="s" s="557">
        <v>582</v>
      </c>
      <c r="I10" t="s" s="557">
        <v>583</v>
      </c>
    </row>
    <row r="11" spans="1:9">
      <c r="A11" t="s" s="557">
        <v>584</v>
      </c>
      <c r="C11" t="s" s="557">
        <v>585</v>
      </c>
      <c r="I11" t="s" s="557">
        <v>586</v>
      </c>
    </row>
    <row r="12" spans="1:9">
      <c r="C12" t="s" s="557">
        <v>587</v>
      </c>
      <c r="I12" t="s" s="557">
        <v>588</v>
      </c>
    </row>
    <row r="13" spans="1:9">
      <c r="C13" t="s" s="557">
        <v>589</v>
      </c>
      <c r="I13" t="s" s="557">
        <v>590</v>
      </c>
    </row>
    <row r="14" spans="1:9">
      <c r="C14" s="557" t="inlineStr">
        <is>
          <t>电子学</t>
        </is>
      </c>
      <c r="I14" t="s" s="557">
        <v>591</v>
      </c>
    </row>
    <row r="15" spans="1:9">
      <c r="I15" t="s" s="557">
        <v>592</v>
      </c>
    </row>
    <row r="16" spans="1:9">
      <c r="I16" t="s" s="557">
        <v>593</v>
      </c>
    </row>
    <row r="17" spans="9:9">
      <c r="I17" t="s" s="557">
        <v>594</v>
      </c>
    </row>
    <row r="18" spans="9:9">
      <c r="I18" t="s" s="557">
        <v>595</v>
      </c>
    </row>
    <row r="19" spans="9:9">
      <c r="I19" t="s" s="557">
        <v>596</v>
      </c>
    </row>
    <row r="20" spans="9:9">
      <c r="I20" t="s" s="557">
        <v>597</v>
      </c>
    </row>
    <row r="21" spans="9:9">
      <c r="I21" t="s" s="557">
        <v>598</v>
      </c>
    </row>
    <row r="22" spans="9:9">
      <c r="I22" t="s" s="557">
        <v>599</v>
      </c>
    </row>
    <row r="23" spans="9:9">
      <c r="I23" t="s" s="557">
        <v>600</v>
      </c>
    </row>
    <row r="24" spans="9:9">
      <c r="I24" t="s" s="557">
        <v>601</v>
      </c>
    </row>
    <row r="25" spans="9:9">
      <c r="I25" t="s" s="557">
        <v>602</v>
      </c>
    </row>
    <row r="26" spans="9:9">
      <c r="I26" t="s" s="557">
        <v>603</v>
      </c>
    </row>
    <row r="27" spans="9:9">
      <c r="I27" t="s" s="557">
        <v>604</v>
      </c>
    </row>
  </sheetData>
  <sheetProtection selectLockedCells="1"/>
  <pageMargins left="0.7" right="0.7" top="0.75" bottom="0.75" header="0.3" footer="0.3"/>
  <headerFooter/>
  <tableParts count="5">
    <tablePart r:id="rId1"/>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B4C6E7"/>
  </sheetPr>
  <dimension ref="A1:AX284"/>
  <sheetViews>
    <sheetView zoomScale="70" zoomScaleNormal="70" topLeftCell="A84" workbookViewId="0">
      <selection activeCell="L100" sqref="L100"/>
    </sheetView>
  </sheetViews>
  <sheetFormatPr defaultColWidth="9" defaultRowHeight="14"/>
  <cols>
    <col min="1" max="1" width="27.4666666666667" customWidth="1"/>
    <col min="3" max="3" width="12" customWidth="1"/>
    <col min="4" max="4" width="15.8666666666667" customWidth="1"/>
    <col min="7" max="7" width="17.6" customWidth="1"/>
    <col min="8" max="8" width="9.13333333333333"/>
  </cols>
  <sheetData>
    <row r="1" ht="16.5" spans="1:50">
      <c r="A1" s="567" t="s">
        <v>605</v>
      </c>
      <c r="D1" s="567" t="s">
        <v>606</v>
      </c>
    </row>
    <row r="2" spans="1:50">
      <c r="A2" t="s" s="557">
        <v>12</v>
      </c>
      <c r="B2" s="557">
        <f>IF(ISBLANK(人物卡!AN3),人物卡!AH3,人物卡!AN3)</f>
        <v>0</v>
      </c>
      <c r="D2" s="557" t="str">
        <f>人物卡!ED24</f>
        <v/>
      </c>
    </row>
    <row r="3" spans="1:50">
      <c r="A3" t="s" s="557">
        <v>15</v>
      </c>
      <c r="B3" s="557">
        <f>IF(ISBLANK(人物卡!AN4),人物卡!AH4,人物卡!AN4)</f>
        <v>0</v>
      </c>
      <c r="D3" s="557" t="str">
        <f>人物卡!ED27</f>
        <v/>
      </c>
    </row>
    <row r="4" spans="1:50">
      <c r="A4" t="s" s="557">
        <v>19</v>
      </c>
      <c r="B4" s="557">
        <f>IF(ISBLANK(人物卡!AN5),人物卡!AH5,人物卡!AN5)</f>
        <v>0</v>
      </c>
      <c r="D4" s="557" t="str">
        <f>人物卡!ED30</f>
        <v/>
      </c>
    </row>
    <row r="5" spans="1:50">
      <c r="A5" t="s" s="557">
        <v>23</v>
      </c>
      <c r="B5" s="557">
        <f>IF(ISBLANK(人物卡!AN6),人物卡!AH6,人物卡!AN6)</f>
        <v>0</v>
      </c>
      <c r="D5" s="557" t="str">
        <f>人物卡!ED33</f>
        <v/>
      </c>
    </row>
    <row r="6" spans="1:50">
      <c r="A6" t="s" s="557">
        <v>26</v>
      </c>
      <c r="B6" s="557">
        <f>IF(ISBLANK(人物卡!AN7),人物卡!AH7,人物卡!AN7)</f>
        <v>0</v>
      </c>
      <c r="D6" s="557" t="str">
        <f>人物卡!ED36</f>
        <v/>
      </c>
    </row>
    <row r="7" spans="1:50">
      <c r="A7" t="s" s="557">
        <v>29</v>
      </c>
      <c r="B7" s="557">
        <f>IF(ISBLANK(人物卡!AN8),人物卡!AH8,人物卡!AN8)</f>
        <v>0</v>
      </c>
      <c r="D7" s="557" t="str">
        <f>人物卡!ED39</f>
        <v/>
      </c>
    </row>
    <row r="11" spans="1:50">
      <c r="A11" s="568" t="s">
        <v>607</v>
      </c>
      <c r="C11" t="s" s="557">
        <v>608</v>
      </c>
      <c r="D11" s="557" t="str">
        <f>IF(G11,INDEX(H63:H82,MATCH(IF(A63=1,B62,人物卡!H47),G63:G82,0)),A15)</f>
        <v>（创建新职业）</v>
      </c>
      <c r="F11" t="s" s="557">
        <v>609</v>
      </c>
      <c r="G11" s="557" t="b">
        <f>B62&lt;&gt;0</f>
        <v>0</v>
      </c>
      <c r="H11" t="s" s="557">
        <v>610</v>
      </c>
      <c r="I11" s="557" t="b">
        <f>AND(G11,A63&gt;1)</f>
        <v>0</v>
      </c>
    </row>
    <row r="12" spans="1:50">
      <c r="A12" t="s" s="557">
        <v>611</v>
      </c>
      <c r="B12" s="557">
        <f>MATCH(人物卡!$H$46,职业列表!A2:A505,0)</f>
        <v>1</v>
      </c>
      <c r="C12" t="s" s="557">
        <v>612</v>
      </c>
      <c r="D12" s="557">
        <f>MATCH(D11,职业列表!A2:A505,0)</f>
        <v>1</v>
      </c>
      <c r="H12" t="s" s="557">
        <v>613</v>
      </c>
      <c r="I12" s="557" t="b">
        <f>IFERROR(AND(NOT(ISNA(D11)),OR(NOT(I11),COUNTIF(B62:B65,人物卡!H47)&gt;0)),FALSE)</f>
        <v>1</v>
      </c>
    </row>
    <row r="15" s="59" customFormat="1" spans="1:50">
      <c r="A15" s="557" t="str">
        <f t="array" ref="A15">INDEX(职业列表!A2:A505,$B$12)</f>
        <v>（创建新职业）</v>
      </c>
      <c r="B15" s="557">
        <f t="array" ref="B15">INDEX(职业列表!B2:B505,$B$12)</f>
        <v>0</v>
      </c>
      <c r="C15" s="557" t="str">
        <f t="array" ref="C15">INDEX(职业列表!C2:C505,$B$12)</f>
        <v>≤4</v>
      </c>
      <c r="D15" s="557" t="str">
        <f t="array" ref="D15">INDEX(职业列表!D2:D505,$B$12)</f>
        <v>任选10个本职技能，分配350</v>
      </c>
      <c r="E15" s="557" t="str">
        <f t="array" ref="E15">INDEX(职业列表!E2:E505,$B$12)</f>
        <v>技能点，额外加在基础值上，</v>
      </c>
      <c r="F15" s="557" t="str">
        <f t="array" ref="F15">INDEX(职业列表!F2:F505,$B$12)</f>
        <v>最高至60%。重要关系自4个开</v>
      </c>
      <c r="G15" s="557" t="str">
        <f t="array" ref="G15">INDEX(职业列表!G2:G505,$B$12)</f>
        <v>始每少一个（最少1个），增</v>
      </c>
      <c r="H15" s="557" t="str">
        <f t="array" ref="H15">INDEX(职业列表!H2:H505,$B$12)</f>
        <v>加50本职技能点。</v>
      </c>
      <c r="I15" s="557">
        <f t="array" ref="I15">INDEX(职业列表!I2:I505,$B$12)</f>
        <v>0</v>
      </c>
      <c r="J15" s="557">
        <f t="array" ref="J15">INDEX(职业列表!J2:J505,$B$12)</f>
        <v>0</v>
      </c>
      <c r="K15" s="557">
        <f t="array" ref="K15">INDEX(职业列表!K2:K505,$B$12)</f>
        <v>0</v>
      </c>
      <c r="L15" s="557">
        <f t="array" ref="L15">INDEX(职业列表!L2:L505,$B$12)</f>
        <v>0</v>
      </c>
      <c r="M15" s="557">
        <f t="array" ref="M15">INDEX(职业列表!M2:M505,$B$12)</f>
        <v>0</v>
      </c>
      <c r="N15" s="557">
        <f t="array" ref="N15">INDEX(职业列表!N2:N505,$B$12)</f>
        <v>0</v>
      </c>
      <c r="O15" s="557">
        <f t="array" ref="O15">INDEX(职业列表!O2:O505,$B$12)</f>
        <v>0</v>
      </c>
      <c r="P15" s="557">
        <f t="array" ref="P15">INDEX(职业列表!P2:P505,$B$12)</f>
        <v>0</v>
      </c>
      <c r="Q15" s="557">
        <f t="array" ref="Q15">INDEX(职业列表!Q2:Q505,$B$12)</f>
        <v>0</v>
      </c>
      <c r="R15" s="557">
        <f t="array" ref="R15">INDEX(职业列表!R2:R505,$B$12)</f>
        <v>0</v>
      </c>
      <c r="S15" s="557">
        <f t="array" ref="S15">INDEX(职业列表!S2:S505,$B$12)</f>
        <v>0</v>
      </c>
      <c r="T15" s="557">
        <f t="array" ref="T15">INDEX(职业列表!T2:T505,$B$12)</f>
        <v>0</v>
      </c>
      <c r="U15" s="557">
        <f t="array" ref="U15">INDEX(职业列表!U2:U505,$B$12)</f>
        <v>0</v>
      </c>
      <c r="V15" s="557">
        <f t="array" ref="V15">INDEX(职业列表!V2:V505,$B$12)</f>
        <v>0</v>
      </c>
      <c r="W15" s="557">
        <f t="array" ref="W15">INDEX(职业列表!W2:W505,$B$12)</f>
        <v>0</v>
      </c>
      <c r="X15" s="557">
        <f t="array" ref="X15">INDEX(职业列表!X2:X505,$B$12)</f>
        <v>0</v>
      </c>
      <c r="Y15" s="557">
        <f t="array" ref="Y15">INDEX(职业列表!Y2:Y505,$B$12)</f>
        <v>0</v>
      </c>
      <c r="Z15" s="557">
        <f t="array" ref="Z15">INDEX(职业列表!Z2:Z505,$B$12)</f>
        <v>0</v>
      </c>
      <c r="AA15" s="557">
        <f t="array" ref="AA15">INDEX(职业列表!AA2:AA505,$B$12)</f>
        <v>0</v>
      </c>
      <c r="AB15" s="557">
        <f t="array" ref="AB15">INDEX(职业列表!AB2:AB505,$B$12)</f>
        <v>0</v>
      </c>
      <c r="AC15" s="557">
        <f t="array" ref="AC15">INDEX(职业列表!AC2:AC505,$B$12)</f>
        <v>0</v>
      </c>
      <c r="AD15" s="557">
        <f t="array" ref="AD15">INDEX(职业列表!AD2:AD505,$B$12)</f>
        <v>0</v>
      </c>
      <c r="AE15" s="557">
        <f t="array" ref="AE15">INDEX(职业列表!AE2:AE505,$B$12)</f>
        <v>0</v>
      </c>
      <c r="AF15" s="557">
        <f t="array" ref="AF15">INDEX(职业列表!AF2:AF505,$B$12)</f>
        <v>0</v>
      </c>
      <c r="AG15" s="557">
        <f t="array" ref="AG15">INDEX(职业列表!AG2:AG505,$B$12)</f>
        <v>0</v>
      </c>
      <c r="AH15" s="557">
        <f t="array" ref="AH15">INDEX(职业列表!AH2:AH505,$B$12)</f>
        <v>0</v>
      </c>
      <c r="AI15" s="557">
        <f t="array" ref="AI15">INDEX(职业列表!AI2:AI505,$B$12)</f>
        <v>0</v>
      </c>
      <c r="AJ15" s="557">
        <f t="array" ref="AJ15">INDEX(职业列表!AJ2:AJ505,$B$12)</f>
        <v>0</v>
      </c>
      <c r="AK15" s="557">
        <f t="array" ref="AK15">INDEX(职业列表!AK2:AK505,$B$12)</f>
        <v>0</v>
      </c>
      <c r="AL15" s="557">
        <f t="array" ref="AL15">INDEX(职业列表!AL2:AL505,$B$12)</f>
        <v>0</v>
      </c>
      <c r="AM15" s="557">
        <f t="array" ref="AM15">INDEX(职业列表!AM2:AM505,$B$12)</f>
        <v>0</v>
      </c>
      <c r="AN15" s="557">
        <f t="array" ref="AN15">INDEX(职业列表!AN2:AN505,$B$12)</f>
        <v>0</v>
      </c>
      <c r="AO15" s="557">
        <f t="array" ref="AO15">INDEX(职业列表!AO2:AO505,$B$12)</f>
        <v>2</v>
      </c>
      <c r="AP15" s="557">
        <f t="array" ref="AP15">INDEX(职业列表!AP2:AP505,$B$12)</f>
        <v>0</v>
      </c>
      <c r="AQ15" s="557">
        <f t="array" ref="AQ15">INDEX(职业列表!AQ2:AQ505,$B$12)</f>
        <v>0</v>
      </c>
      <c r="AR15" s="557">
        <f t="array" ref="AR15">INDEX(职业列表!AR2:AR505,$B$12)</f>
        <v>0</v>
      </c>
      <c r="AS15" s="557">
        <f t="array" ref="AS15">INDEX(职业列表!AS2:AS505,$B$12)</f>
        <v>0</v>
      </c>
      <c r="AT15" s="557">
        <f t="array" ref="AT15">INDEX(职业列表!AT2:AT505,$B$12)</f>
        <v>0</v>
      </c>
      <c r="AU15" s="557">
        <f t="array" ref="AU15">INDEX(职业列表!AU2:AU505,$B$12)</f>
        <v>0</v>
      </c>
      <c r="AV15" s="557">
        <f t="array" ref="AV15">INDEX(职业列表!AV2:AV505,$B$12)</f>
        <v>0</v>
      </c>
      <c r="AW15" s="557">
        <f t="array" ref="AW15">INDEX(职业列表!AW2:AW505,$B$12)</f>
        <v>0</v>
      </c>
      <c r="AX15" s="557">
        <f t="array" ref="AX15">INDEX(职业列表!AX2:AX505,$B$12)</f>
        <v>0</v>
      </c>
    </row>
    <row r="16" s="59" customFormat="1" spans="1:50">
      <c r="A16" s="557" t="str">
        <f t="array" ref="A16">INDEX(职业列表!A2:A505,$D$12)</f>
        <v>（创建新职业）</v>
      </c>
      <c r="B16" s="557">
        <f t="array" ref="B16">INDEX(职业列表!B2:B505,$D$12)</f>
        <v>0</v>
      </c>
      <c r="C16" s="557" t="str">
        <f t="array" ref="C16">INDEX(职业列表!C2:C505,$D$12)</f>
        <v>≤4</v>
      </c>
      <c r="D16" s="557" t="str">
        <f t="array" ref="D16">INDEX(职业列表!D2:D505,$D$12)</f>
        <v>任选10个本职技能，分配350</v>
      </c>
      <c r="E16" s="557" t="str">
        <f t="array" ref="E16">INDEX(职业列表!E2:E505,$D$12)</f>
        <v>技能点，额外加在基础值上，</v>
      </c>
      <c r="F16" s="557" t="str">
        <f t="array" ref="F16">INDEX(职业列表!F2:F505,$D$12)</f>
        <v>最高至60%。重要关系自4个开</v>
      </c>
      <c r="G16" s="557" t="str">
        <f t="array" ref="G16">INDEX(职业列表!G2:G505,$D$12)</f>
        <v>始每少一个（最少1个），增</v>
      </c>
      <c r="H16" s="557" t="str">
        <f t="array" ref="H16">INDEX(职业列表!H2:H505,$D$12)</f>
        <v>加50本职技能点。</v>
      </c>
      <c r="I16" s="557">
        <f t="array" ref="I16">INDEX(职业列表!I2:I505,$D$12)</f>
        <v>0</v>
      </c>
      <c r="J16" s="557">
        <f t="array" ref="J16">INDEX(职业列表!J2:J505,$D$12)</f>
        <v>0</v>
      </c>
      <c r="K16" s="557">
        <f t="array" ref="K16">INDEX(职业列表!K2:K505,$D$12)</f>
        <v>0</v>
      </c>
      <c r="L16" s="557">
        <f t="array" ref="L16">INDEX(职业列表!L2:L505,$D$12)</f>
        <v>0</v>
      </c>
      <c r="M16" s="557">
        <f t="array" ref="M16">INDEX(职业列表!M2:M505,$D$12)</f>
        <v>0</v>
      </c>
      <c r="N16" s="557">
        <f t="array" ref="N16">INDEX(职业列表!N2:N505,$D$12)</f>
        <v>0</v>
      </c>
      <c r="O16" s="557">
        <f t="array" ref="O16">INDEX(职业列表!O2:O505,$D$12)</f>
        <v>0</v>
      </c>
      <c r="P16" s="557">
        <f t="array" ref="P16">INDEX(职业列表!P2:P505,$D$12)</f>
        <v>0</v>
      </c>
      <c r="Q16" s="557">
        <f t="array" ref="Q16">INDEX(职业列表!Q2:Q505,$D$12)</f>
        <v>0</v>
      </c>
      <c r="R16" s="557">
        <f t="array" ref="R16">INDEX(职业列表!R2:R505,$D$12)</f>
        <v>0</v>
      </c>
      <c r="S16" s="557">
        <f t="array" ref="S16">INDEX(职业列表!S2:S505,$D$12)</f>
        <v>0</v>
      </c>
      <c r="T16" s="557">
        <f t="array" ref="T16">INDEX(职业列表!T2:T505,$D$12)</f>
        <v>0</v>
      </c>
      <c r="U16" s="557">
        <f t="array" ref="U16">INDEX(职业列表!U2:U505,$D$12)</f>
        <v>0</v>
      </c>
      <c r="V16" s="557">
        <f t="array" ref="V16">INDEX(职业列表!V2:V505,$D$12)</f>
        <v>0</v>
      </c>
      <c r="W16" s="557">
        <f t="array" ref="W16">INDEX(职业列表!W2:W505,$D$12)</f>
        <v>0</v>
      </c>
      <c r="X16" s="557">
        <f t="array" ref="X16">INDEX(职业列表!X2:X505,$D$12)</f>
        <v>0</v>
      </c>
      <c r="Y16" s="557">
        <f t="array" ref="Y16">INDEX(职业列表!Y2:Y505,$D$12)</f>
        <v>0</v>
      </c>
      <c r="Z16" s="557">
        <f t="array" ref="Z16">INDEX(职业列表!Z2:Z505,$D$12)</f>
        <v>0</v>
      </c>
      <c r="AA16" s="557">
        <f t="array" ref="AA16">INDEX(职业列表!AA2:AA505,$D$12)</f>
        <v>0</v>
      </c>
      <c r="AB16" s="557">
        <f t="array" ref="AB16">INDEX(职业列表!AB2:AB505,$D$12)</f>
        <v>0</v>
      </c>
      <c r="AC16" s="557">
        <f t="array" ref="AC16">INDEX(职业列表!AC2:AC505,$D$12)</f>
        <v>0</v>
      </c>
      <c r="AD16" s="557">
        <f t="array" ref="AD16">INDEX(职业列表!AD2:AD505,$D$12)</f>
        <v>0</v>
      </c>
      <c r="AE16" s="557">
        <f t="array" ref="AE16">INDEX(职业列表!AE2:AE505,$D$12)</f>
        <v>0</v>
      </c>
      <c r="AF16" s="557">
        <f t="array" ref="AF16">INDEX(职业列表!AF2:AF505,$D$12)</f>
        <v>0</v>
      </c>
      <c r="AG16" s="557">
        <f t="array" ref="AG16">INDEX(职业列表!AG2:AG505,$D$12)</f>
        <v>0</v>
      </c>
      <c r="AH16" s="557">
        <f t="array" ref="AH16">INDEX(职业列表!AH2:AH505,$D$12)</f>
        <v>0</v>
      </c>
      <c r="AI16" s="557">
        <f t="array" ref="AI16">INDEX(职业列表!AI2:AI505,$D$12)</f>
        <v>0</v>
      </c>
      <c r="AJ16" s="557">
        <f t="array" ref="AJ16">INDEX(职业列表!AJ2:AJ505,$D$12)</f>
        <v>0</v>
      </c>
      <c r="AK16" s="557">
        <f t="array" ref="AK16">INDEX(职业列表!AK2:AK505,$D$12)</f>
        <v>0</v>
      </c>
      <c r="AL16" s="557">
        <f t="array" ref="AL16">INDEX(职业列表!AL2:AL505,$D$12)</f>
        <v>0</v>
      </c>
      <c r="AM16" s="557">
        <f t="array" ref="AM16">INDEX(职业列表!AM2:AM505,$D$12)</f>
        <v>0</v>
      </c>
      <c r="AN16" s="557">
        <f t="array" ref="AN16">INDEX(职业列表!AN2:AN505,$D$12)</f>
        <v>0</v>
      </c>
      <c r="AO16" s="557">
        <f t="array" ref="AO16">INDEX(职业列表!AO2:AO505,$D$12)</f>
        <v>2</v>
      </c>
      <c r="AP16" s="557">
        <f t="array" ref="AP16">INDEX(职业列表!AP2:AP505,$D$12)</f>
        <v>0</v>
      </c>
      <c r="AQ16" s="557">
        <f t="array" ref="AQ16">INDEX(职业列表!AQ2:AQ505,$D$12)</f>
        <v>0</v>
      </c>
      <c r="AR16" s="557">
        <f t="array" ref="AR16">INDEX(职业列表!AR2:AR505,$D$12)</f>
        <v>0</v>
      </c>
      <c r="AS16" s="557">
        <f t="array" ref="AS16">INDEX(职业列表!AS2:AS505,$D$12)</f>
        <v>0</v>
      </c>
      <c r="AT16" s="557">
        <f t="array" ref="AT16">INDEX(职业列表!AT2:AT505,$D$12)</f>
        <v>0</v>
      </c>
      <c r="AU16" s="557">
        <f t="array" ref="AU16">INDEX(职业列表!AU2:AU505,$D$12)</f>
        <v>0</v>
      </c>
      <c r="AV16" s="557">
        <f t="array" ref="AV16">INDEX(职业列表!AV2:AV505,$D$12)</f>
        <v>0</v>
      </c>
      <c r="AW16" s="557">
        <f t="array" ref="AW16">INDEX(职业列表!AW2:AW505,$D$12)</f>
        <v>0</v>
      </c>
      <c r="AX16" s="557">
        <f t="array" ref="AX16">INDEX(职业列表!AX2:AX505,$D$12)</f>
        <v>0</v>
      </c>
    </row>
    <row r="17" s="59" customFormat="1" spans="1:49">
      <c r="A17" s="569"/>
      <c r="B17" s="569"/>
      <c r="C17" s="569"/>
      <c r="D17" s="569"/>
      <c r="E17" s="569"/>
      <c r="F17" s="569"/>
      <c r="G17" s="569"/>
      <c r="H17" s="569"/>
      <c r="I17" s="569"/>
      <c r="J17" s="569"/>
      <c r="K17" s="569"/>
      <c r="L17" s="569"/>
      <c r="M17" s="569"/>
      <c r="N17" s="569"/>
      <c r="O17" s="569"/>
      <c r="P17" s="569"/>
      <c r="Q17" s="569"/>
      <c r="R17" s="569"/>
      <c r="S17" s="569"/>
      <c r="T17" s="569"/>
      <c r="U17" s="569"/>
      <c r="V17" s="569"/>
      <c r="W17" s="569"/>
      <c r="X17" s="569"/>
      <c r="Y17" s="569"/>
      <c r="Z17" s="569"/>
      <c r="AA17" s="569"/>
      <c r="AB17" s="569"/>
      <c r="AC17" s="569"/>
      <c r="AD17" s="569"/>
      <c r="AE17" s="569"/>
      <c r="AF17" s="569"/>
      <c r="AG17" s="569"/>
      <c r="AH17" s="569"/>
      <c r="AI17" s="569"/>
      <c r="AJ17" s="569"/>
      <c r="AK17" s="569"/>
      <c r="AL17" s="569"/>
      <c r="AM17" s="569"/>
      <c r="AN17" s="569"/>
      <c r="AO17" s="569"/>
      <c r="AP17" s="569"/>
      <c r="AQ17" s="569"/>
      <c r="AR17" s="569"/>
      <c r="AS17" s="569"/>
      <c r="AT17" s="569"/>
      <c r="AU17" s="569"/>
      <c r="AV17" s="569"/>
      <c r="AW17" s="569"/>
    </row>
    <row r="19" spans="1:49">
      <c r="A19" s="568" t="s">
        <v>614</v>
      </c>
      <c r="C19" t="s" s="557">
        <v>615</v>
      </c>
      <c r="D19" s="557">
        <f>T16</f>
        <v>0</v>
      </c>
      <c r="F19" t="s" s="557">
        <v>616</v>
      </c>
      <c r="I19" s="570" t="s">
        <v>617</v>
      </c>
      <c r="K19" s="557" t="str">
        <f>INDEX(K20:K26,MATCH(1,I20:I26,0))</f>
        <v>（自定义职业请在掌局者同意后商议定制）</v>
      </c>
    </row>
    <row r="20" spans="1:49">
      <c r="A20" s="557" t="str">
        <f t="array" ref="A20:A35">TRANSPOSE(D16:S16)</f>
        <v>任选10个本职技能，分配350</v>
      </c>
      <c r="D20" s="557">
        <f t="array" ref="D20:D30">TRANSPOSE(U16:AE16)</f>
        <v>0</v>
      </c>
      <c r="F20" s="557">
        <f t="array" ref="F20:F23">TRANSPOSE(AJ15:AM15)</f>
        <v>0</v>
      </c>
      <c r="I20" s="557">
        <f>COUNTIF($A$16,J20&amp;"*")</f>
        <v>0</v>
      </c>
      <c r="J20" t="s" s="557">
        <v>618</v>
      </c>
      <c r="K20" t="s" s="557">
        <v>619</v>
      </c>
    </row>
    <row r="21" spans="1:49">
      <c r="A21" s="557" t="str">
        <v>技能点，额外加在基础值上，</v>
      </c>
      <c r="D21" s="557">
        <v>0</v>
      </c>
      <c r="F21" s="557">
        <v>0</v>
      </c>
      <c r="I21" s="557">
        <f t="shared" ref="I21" si="0">COUNTIF($A$16,J21&amp;"*")</f>
        <v>1</v>
      </c>
      <c r="J21" t="s" s="557">
        <v>149</v>
      </c>
      <c r="K21" t="s" s="557">
        <v>620</v>
      </c>
    </row>
    <row r="22" spans="1:49">
      <c r="A22" s="557" t="str">
        <v>最高至60%。重要关系自4个开</v>
      </c>
      <c r="D22" s="557">
        <v>0</v>
      </c>
      <c r="F22" s="557">
        <v>0</v>
      </c>
    </row>
    <row r="23" spans="1:49">
      <c r="A23" s="557" t="str">
        <v>始每少一个（最少1个），增</v>
      </c>
      <c r="D23" s="557">
        <v>0</v>
      </c>
      <c r="F23" s="557">
        <v>0</v>
      </c>
    </row>
    <row r="24" spans="1:49">
      <c r="A24" s="557" t="str">
        <v>加50本职技能点。</v>
      </c>
      <c r="D24" s="557">
        <v>0</v>
      </c>
    </row>
    <row r="25" spans="1:49">
      <c r="A25" s="557">
        <v>0</v>
      </c>
      <c r="D25" s="557">
        <v>0</v>
      </c>
    </row>
    <row r="26" spans="1:49">
      <c r="A26" s="557">
        <v>0</v>
      </c>
      <c r="D26" s="557">
        <v>0</v>
      </c>
      <c r="I26" s="557">
        <f t="shared" ref="I26" si="1">COUNTIF(A23,J26&amp;"*")</f>
        <v>1</v>
      </c>
      <c r="K26" s="557" t="str">
        <f>""</f>
        <v/>
      </c>
    </row>
    <row r="27" spans="1:49">
      <c r="A27" s="557">
        <v>0</v>
      </c>
      <c r="D27" s="557">
        <v>0</v>
      </c>
      <c r="K27" s="557" t="str">
        <f>""</f>
        <v/>
      </c>
    </row>
    <row r="28" spans="1:49">
      <c r="A28" s="557">
        <v>0</v>
      </c>
      <c r="D28" s="557">
        <v>0</v>
      </c>
    </row>
    <row r="29" spans="1:49">
      <c r="A29" s="557">
        <v>0</v>
      </c>
      <c r="D29" s="557">
        <v>0</v>
      </c>
    </row>
    <row r="30" spans="1:49">
      <c r="A30" s="557">
        <v>0</v>
      </c>
      <c r="D30" s="557">
        <v>0</v>
      </c>
    </row>
    <row r="31" spans="1:49">
      <c r="A31" s="557">
        <v>0</v>
      </c>
    </row>
    <row r="32" spans="1:49">
      <c r="A32" s="557">
        <v>0</v>
      </c>
    </row>
    <row r="33" spans="1:25">
      <c r="A33" s="557">
        <v>0</v>
      </c>
    </row>
    <row r="34" spans="1:25">
      <c r="A34" s="557">
        <v>0</v>
      </c>
    </row>
    <row r="35" spans="1:25">
      <c r="A35" s="557">
        <v>0</v>
      </c>
    </row>
    <row r="36" spans="1:25">
      <c r="A36" s="568" t="s">
        <v>621</v>
      </c>
      <c r="G36" s="571" t="s">
        <v>622</v>
      </c>
    </row>
    <row r="37" spans="1:25">
      <c r="A37" t="s" s="557">
        <v>623</v>
      </c>
      <c r="G37" t="s" s="557">
        <v>624</v>
      </c>
    </row>
    <row r="38" spans="1:25">
      <c r="A38" t="s" s="557">
        <v>625</v>
      </c>
      <c r="G38" t="s" s="557">
        <v>626</v>
      </c>
    </row>
    <row r="39" spans="1:25">
      <c r="A39" t="s" s="557">
        <v>627</v>
      </c>
      <c r="G39" t="s" s="557">
        <v>628</v>
      </c>
    </row>
    <row r="40" spans="1:25">
      <c r="A40" t="s" s="557">
        <v>629</v>
      </c>
      <c r="G40" t="s" s="557">
        <v>630</v>
      </c>
    </row>
    <row r="41" spans="1:25">
      <c r="A41" t="s" s="557">
        <v>631</v>
      </c>
    </row>
    <row r="45" spans="1:25">
      <c r="A45" s="571" t="s">
        <v>632</v>
      </c>
      <c r="C45" s="557">
        <f>MATCH(人物卡!$BW$46,额外技能包!A2:A30,0)</f>
        <v>1</v>
      </c>
    </row>
    <row r="46" spans="1:25">
      <c r="A46" s="557" t="str">
        <f t="array" ref="A46">INDEX(额外技能包!A$2:A$30,$C$45)</f>
        <v>（自选）</v>
      </c>
      <c r="B46" s="557" t="str">
        <f t="array" ref="B46">INDEX(额外技能包!B$2:B$30,$C$45)</f>
        <v>选择8个技能（除了非自</v>
      </c>
      <c r="C46" s="557" t="str">
        <f t="array" ref="C46">INDEX(额外技能包!C$2:C$30,$C$45)</f>
        <v>然知识），为每一个加上</v>
      </c>
      <c r="D46" s="557" t="str">
        <f t="array" ref="D46">INDEX(额外技能包!D$2:D$30,$C$45)</f>
        <v>20点。不能超过80%。可</v>
      </c>
      <c r="E46" s="557" t="str">
        <f t="array" ref="E46">INDEX(额外技能包!E$2:E$30,$C$45)</f>
        <v>重复选择。</v>
      </c>
      <c r="F46" s="557">
        <f t="array" ref="F46">INDEX(额外技能包!F$2:F$30,$C$45)</f>
        <v>0</v>
      </c>
      <c r="G46" s="557">
        <f t="array" ref="G46">INDEX(额外技能包!G$2:G$30,$C$45)</f>
        <v>0</v>
      </c>
      <c r="H46" s="557">
        <f t="array" ref="H46">INDEX(额外技能包!H$2:H$30,$C$45)</f>
        <v>0</v>
      </c>
      <c r="I46" s="557">
        <f t="array" ref="I46">INDEX(额外技能包!I$2:I$30,$C$45)</f>
        <v>0</v>
      </c>
      <c r="J46" s="557">
        <f t="array" ref="J46">INDEX(额外技能包!J$2:J$30,$C$45)</f>
        <v>0</v>
      </c>
      <c r="K46" s="557">
        <f t="array" ref="K46">INDEX(额外技能包!K$2:K$30,$C$45)</f>
        <v>0</v>
      </c>
      <c r="L46" s="557">
        <f t="array" ref="L46">INDEX(额外技能包!L$2:L$30,$C$45)</f>
        <v>0</v>
      </c>
      <c r="M46" s="557">
        <f t="array" ref="M46">INDEX(额外技能包!M$2:M$30,$C$45)</f>
        <v>0</v>
      </c>
      <c r="N46" s="557">
        <f t="array" ref="N46">INDEX(额外技能包!N$2:N$30,$C$45)</f>
        <v>0</v>
      </c>
      <c r="O46" s="557">
        <f t="array" ref="O46">INDEX(额外技能包!O$2:O$30,$C$45)</f>
        <v>0</v>
      </c>
      <c r="P46" s="557">
        <f t="array" ref="P46">INDEX(额外技能包!P$2:P$30,$C$45)</f>
        <v>0</v>
      </c>
      <c r="Q46" s="557">
        <f t="array" ref="Q46">INDEX(额外技能包!Q$2:Q$30,$C$45)</f>
        <v>0</v>
      </c>
      <c r="R46" s="557">
        <f t="array" ref="R46">INDEX(额外技能包!R$2:R$30,$C$45)</f>
        <v>0</v>
      </c>
      <c r="S46" s="557">
        <f t="array" ref="S46">INDEX(额外技能包!S$2:S$30,$C$45)</f>
        <v>0</v>
      </c>
      <c r="T46" s="557">
        <f t="array" ref="T46">INDEX(额外技能包!T$2:T$30,$C$45)</f>
        <v>0</v>
      </c>
      <c r="U46" s="557">
        <f t="array" ref="U46">INDEX(额外技能包!U$2:U$30,$C$45)</f>
        <v>0</v>
      </c>
      <c r="V46" s="557">
        <f t="array" ref="V46">INDEX(额外技能包!V$2:V$30,$C$45)</f>
        <v>0</v>
      </c>
      <c r="W46" s="557">
        <f t="array" ref="W46">INDEX(额外技能包!W$2:W$30,$C$45)</f>
        <v>0</v>
      </c>
      <c r="X46" s="557">
        <f t="array" ref="X46">INDEX(额外技能包!X$2:X$30,$C$45)</f>
        <v>0</v>
      </c>
      <c r="Y46" s="557">
        <f t="array" ref="Y46">INDEX(额外技能包!Y$2:Y$30,$C$45)</f>
        <v>0</v>
      </c>
    </row>
    <row r="48" spans="1:25">
      <c r="A48" s="571" t="s">
        <v>633</v>
      </c>
      <c r="D48" s="557">
        <f>J46</f>
        <v>0</v>
      </c>
    </row>
    <row r="49" spans="1:12">
      <c r="A49" s="557" t="str">
        <f t="array" ref="A49:A56">TRANSPOSE(B46:I46)</f>
        <v>选择8个技能（除了非自</v>
      </c>
      <c r="D49" s="557">
        <f t="array" ref="D49:D59">TRANSPOSE(K46:U46)</f>
        <v>0</v>
      </c>
    </row>
    <row r="50" spans="1:12">
      <c r="A50" s="557" t="str">
        <v>然知识），为每一个加上</v>
      </c>
      <c r="D50" s="557">
        <v>0</v>
      </c>
    </row>
    <row r="51" spans="1:12">
      <c r="A51" s="557" t="str">
        <v>20点。不能超过80%。可</v>
      </c>
      <c r="D51" s="557">
        <v>0</v>
      </c>
    </row>
    <row r="52" spans="1:12">
      <c r="A52" s="557" t="str">
        <v>重复选择。</v>
      </c>
      <c r="D52" s="557">
        <v>0</v>
      </c>
    </row>
    <row r="53" spans="1:12">
      <c r="A53" s="557">
        <v>0</v>
      </c>
      <c r="D53" s="557">
        <v>0</v>
      </c>
    </row>
    <row r="54" spans="1:12">
      <c r="A54" s="557">
        <v>0</v>
      </c>
      <c r="D54" s="557">
        <v>0</v>
      </c>
    </row>
    <row r="55" spans="1:12">
      <c r="A55" s="557">
        <v>0</v>
      </c>
      <c r="D55" s="557">
        <v>0</v>
      </c>
    </row>
    <row r="56" spans="1:12">
      <c r="A56" s="557">
        <v>0</v>
      </c>
      <c r="D56" s="557">
        <v>0</v>
      </c>
    </row>
    <row r="57" spans="1:12">
      <c r="D57" s="557">
        <v>0</v>
      </c>
    </row>
    <row r="58" spans="1:12">
      <c r="D58" s="557">
        <v>0</v>
      </c>
    </row>
    <row r="59" spans="1:12">
      <c r="D59" s="557">
        <v>0</v>
      </c>
    </row>
    <row r="62" spans="1:12">
      <c r="A62" t="s" s="557">
        <v>122</v>
      </c>
      <c r="B62" s="557">
        <f t="array" ref="B62:B65">TRANSPOSE(AF15:AI15)</f>
        <v>0</v>
      </c>
      <c r="G62" t="s" s="557">
        <v>634</v>
      </c>
      <c r="L62" t="s" s="557">
        <v>635</v>
      </c>
    </row>
    <row r="63" spans="1:12">
      <c r="A63" s="557">
        <f>COUNTIF(B62:B65,"&lt;&gt;0")</f>
        <v>0</v>
      </c>
      <c r="B63" s="557">
        <v>0</v>
      </c>
      <c r="G63" t="s" s="557">
        <v>184</v>
      </c>
      <c r="H63" s="557" t="str">
        <f>职业列表!A10</f>
        <v>联邦探员</v>
      </c>
      <c r="L63" t="s" s="557">
        <v>636</v>
      </c>
    </row>
    <row r="64" spans="1:12">
      <c r="B64" s="557">
        <v>0</v>
      </c>
      <c r="G64" t="s" s="557">
        <v>123</v>
      </c>
      <c r="H64" s="557" t="str">
        <f>职业列表!A17</f>
        <v>【额外】情报分析员</v>
      </c>
      <c r="L64" t="s" s="557">
        <v>637</v>
      </c>
    </row>
    <row r="65" spans="2:12">
      <c r="B65" s="557">
        <v>0</v>
      </c>
      <c r="G65" t="s" s="557">
        <v>296</v>
      </c>
      <c r="H65" s="557" t="str">
        <f>职业列表!A18</f>
        <v>【额外】情报官员</v>
      </c>
      <c r="L65" t="s" s="557">
        <v>638</v>
      </c>
    </row>
    <row r="66" spans="2:12">
      <c r="G66" t="s" s="557">
        <v>200</v>
      </c>
      <c r="H66" s="557" t="str">
        <f>职业列表!A11</f>
        <v>医生</v>
      </c>
      <c r="L66" t="s" s="557">
        <v>639</v>
      </c>
    </row>
    <row r="67" spans="2:12">
      <c r="G67" t="s" s="557">
        <v>117</v>
      </c>
      <c r="H67" s="557" t="str">
        <f>职业列表!A12</f>
        <v>科学家</v>
      </c>
    </row>
    <row r="68" spans="2:12">
      <c r="G68" t="s" s="557">
        <v>299</v>
      </c>
      <c r="H68" s="557" t="str">
        <f>职业列表!A9</f>
        <v>计算机科学家或工程师</v>
      </c>
    </row>
    <row r="69" spans="2:12">
      <c r="G69" t="s" s="557">
        <v>307</v>
      </c>
      <c r="H69" s="557" t="str">
        <f>职业列表!A23</f>
        <v>【额外】警察</v>
      </c>
    </row>
    <row r="70" spans="2:12">
      <c r="G70" t="s" s="557">
        <v>156</v>
      </c>
      <c r="H70" s="557" t="str">
        <f>职业列表!A8</f>
        <v>人类学家或历史学家</v>
      </c>
    </row>
    <row r="71" spans="2:12">
      <c r="G71" t="s" s="557">
        <v>309</v>
      </c>
      <c r="H71" s="557" t="str">
        <f>职业列表!A19</f>
        <v>【额外】律师或商务主管</v>
      </c>
    </row>
    <row r="72" spans="2:12">
      <c r="G72" t="s" s="557">
        <v>310</v>
      </c>
      <c r="H72" s="557" t="str">
        <f>职业列表!A24</f>
        <v>【额外】项目群经理</v>
      </c>
    </row>
    <row r="73" spans="2:12">
      <c r="G73" t="s" s="557">
        <v>323</v>
      </c>
      <c r="H73" s="557" t="str">
        <f>职业列表!A20</f>
        <v>【额外】媒体专家</v>
      </c>
    </row>
    <row r="74" spans="2:12">
      <c r="G74" t="s" s="557">
        <v>335</v>
      </c>
      <c r="H74" s="557" t="str">
        <f>职业列表!A25</f>
        <v>【额外】士兵或海军陆战队员</v>
      </c>
    </row>
    <row r="75" spans="2:12">
      <c r="G75" t="s" s="557">
        <v>214</v>
      </c>
      <c r="H75" s="557" t="str">
        <f>职业列表!A25</f>
        <v>【额外】士兵或海军陆战队员</v>
      </c>
    </row>
    <row r="76" spans="2:12">
      <c r="G76" t="s" s="557">
        <v>362</v>
      </c>
      <c r="H76" s="557" t="str">
        <f>职业列表!A22</f>
        <v>【额外】飞行员或水手</v>
      </c>
    </row>
    <row r="77" spans="2:12">
      <c r="G77" t="s" s="557">
        <v>171</v>
      </c>
      <c r="H77" s="557" t="str">
        <f>职业列表!A9</f>
        <v>计算机科学家或工程师</v>
      </c>
    </row>
    <row r="78" spans="2:12">
      <c r="G78" t="s" s="557">
        <v>411</v>
      </c>
      <c r="H78" s="557" t="str">
        <f>职业列表!A16</f>
        <v>【额外】外事官员</v>
      </c>
    </row>
    <row r="79" spans="2:12">
      <c r="G79" t="s" s="557">
        <v>426</v>
      </c>
      <c r="H79" t="s" s="557">
        <v>260</v>
      </c>
    </row>
    <row r="80" spans="2:12">
      <c r="G80" t="s" s="557">
        <v>469</v>
      </c>
      <c r="H80" t="s" s="557">
        <v>253</v>
      </c>
    </row>
    <row r="83" spans="1:8">
      <c r="A83" s="568" t="s">
        <v>640</v>
      </c>
      <c r="B83" s="557">
        <f>MATCH(人物卡!DF46,A84:A88,0)</f>
        <v>1</v>
      </c>
    </row>
    <row r="84" spans="1:8">
      <c r="A84" t="s" s="557">
        <v>641</v>
      </c>
      <c r="B84" s="557" t="str">
        <f t="shared" ref="B84:H84" si="2">" "</f>
        <v> </v>
      </c>
      <c r="C84" s="557" t="str">
        <f t="shared" si="2"/>
        <v> </v>
      </c>
      <c r="D84" s="557" t="str">
        <f t="shared" si="2"/>
        <v> </v>
      </c>
      <c r="E84" s="557" t="str">
        <f t="shared" si="2"/>
        <v> </v>
      </c>
      <c r="F84" s="557" t="str">
        <f t="shared" si="2"/>
        <v> </v>
      </c>
      <c r="G84" s="557" t="str">
        <f t="shared" si="2"/>
        <v> </v>
      </c>
      <c r="H84" s="557" t="str">
        <f t="shared" si="2"/>
        <v> </v>
      </c>
    </row>
    <row r="85" spans="1:8">
      <c r="A85" t="s" s="557">
        <v>642</v>
      </c>
      <c r="B85" t="s" s="557">
        <v>643</v>
      </c>
      <c r="C85" t="s" s="557">
        <v>644</v>
      </c>
      <c r="D85" t="s" s="557">
        <v>645</v>
      </c>
      <c r="E85" t="s" s="557">
        <v>646</v>
      </c>
      <c r="F85" t="s" s="557">
        <v>647</v>
      </c>
      <c r="G85" t="s" s="557">
        <v>648</v>
      </c>
    </row>
    <row r="86" spans="1:8">
      <c r="A86" t="s" s="557">
        <v>649</v>
      </c>
      <c r="B86" t="s" s="557">
        <v>643</v>
      </c>
      <c r="C86" t="s" s="557">
        <v>644</v>
      </c>
      <c r="D86" t="s" s="557">
        <v>650</v>
      </c>
      <c r="E86" t="s" s="557">
        <v>651</v>
      </c>
      <c r="F86" s="557" t="str">
        <f>G85</f>
        <v>与掌局者商讨背景细节</v>
      </c>
      <c r="G86" s="557" t="str">
        <f>" "</f>
        <v> </v>
      </c>
    </row>
    <row r="87" spans="1:8">
      <c r="A87" t="s" s="557">
        <v>652</v>
      </c>
      <c r="B87" t="s" s="557">
        <v>643</v>
      </c>
      <c r="C87" t="s" s="557">
        <v>644</v>
      </c>
      <c r="D87" s="557" t="s">
        <v>653</v>
      </c>
      <c r="E87" s="557" t="s">
        <v>654</v>
      </c>
      <c r="F87" t="s" s="557">
        <v>655</v>
      </c>
      <c r="G87" s="557" t="str">
        <f>G85</f>
        <v>与掌局者商讨背景细节</v>
      </c>
    </row>
    <row r="88" spans="1:8">
      <c r="A88" t="s" s="557">
        <v>121</v>
      </c>
      <c r="B88" t="s" s="557">
        <v>656</v>
      </c>
      <c r="C88" t="s" s="557">
        <v>657</v>
      </c>
      <c r="D88" t="s" s="557">
        <v>658</v>
      </c>
      <c r="E88" t="s" s="557">
        <v>659</v>
      </c>
      <c r="F88" t="s" s="557">
        <v>660</v>
      </c>
      <c r="G88" s="557" t="str">
        <f>G85</f>
        <v>与掌局者商讨背景细节</v>
      </c>
    </row>
    <row r="89" spans="1:8">
      <c r="B89" s="557" t="str">
        <f>VLOOKUP(人物卡!$DF$46,$A$84:$G$88,2,FALSE)</f>
        <v> </v>
      </c>
      <c r="C89" s="557" t="str">
        <f>VLOOKUP(人物卡!$DF$46,$A$84:$G$88,3,FALSE)</f>
        <v> </v>
      </c>
      <c r="D89" s="557" t="str">
        <f>VLOOKUP(人物卡!$DF$46,$A$84:$G$88,4,FALSE)</f>
        <v> </v>
      </c>
      <c r="E89" s="557" t="str">
        <f>VLOOKUP(人物卡!$DF$46,$A$84:$G$88,5,FALSE)</f>
        <v> </v>
      </c>
      <c r="F89" s="557" t="str">
        <f>VLOOKUP(人物卡!$DF$46,$A$84:$G$88,6,FALSE)</f>
        <v> </v>
      </c>
      <c r="G89" s="557" t="str">
        <f>VLOOKUP(人物卡!$DF$46,$A$84:$G$88,7,FALSE)</f>
        <v> </v>
      </c>
    </row>
    <row r="92" spans="1:8">
      <c r="A92" s="568" t="s">
        <v>661</v>
      </c>
    </row>
    <row r="93" spans="1:8">
      <c r="A93" s="557" t="str">
        <f>人物卡!AB3</f>
        <v>力量</v>
      </c>
      <c r="C93" s="557">
        <f>人物卡!AK3</f>
        <v>0</v>
      </c>
      <c r="D93" s="557" t="str">
        <f>IF(LEN(B93)=0,A93,MID(B93,2,LEN(B93)-2))</f>
        <v>力量</v>
      </c>
      <c r="E93" s="557" t="str">
        <f>IF(C93&gt;0,D93&amp;C93,"")</f>
        <v/>
      </c>
    </row>
    <row r="94" spans="1:8">
      <c r="A94" s="557" t="str">
        <f>人物卡!AB4</f>
        <v>体质</v>
      </c>
      <c r="C94" s="557">
        <f>人物卡!AK4</f>
        <v>0</v>
      </c>
      <c r="D94" s="557" t="str">
        <f t="shared" ref="D94:D125" si="3">IF(LEN(B94)=0,A94,MID(B94,2,LEN(B94)-2))</f>
        <v>体质</v>
      </c>
      <c r="E94" s="557" t="str">
        <f t="shared" ref="E94:E125" si="4">IF(C94&gt;0,D94&amp;C94,"")</f>
        <v/>
      </c>
    </row>
    <row r="95" spans="1:8">
      <c r="A95" s="557" t="str">
        <f>人物卡!AB5</f>
        <v>敏捷</v>
      </c>
      <c r="C95" s="557">
        <f>人物卡!AK5</f>
        <v>0</v>
      </c>
      <c r="D95" s="557" t="str">
        <f t="shared" si="3"/>
        <v>敏捷</v>
      </c>
      <c r="E95" s="557" t="str">
        <f t="shared" si="4"/>
        <v/>
      </c>
    </row>
    <row r="96" spans="1:8">
      <c r="A96" s="557" t="str">
        <f>人物卡!AB6</f>
        <v>智力</v>
      </c>
      <c r="C96" s="557">
        <f>人物卡!AK6</f>
        <v>0</v>
      </c>
      <c r="D96" s="557" t="str">
        <f t="shared" si="3"/>
        <v>智力</v>
      </c>
      <c r="E96" s="557" t="str">
        <f t="shared" si="4"/>
        <v/>
      </c>
    </row>
    <row r="97" spans="1:5">
      <c r="A97" s="557" t="str">
        <f>人物卡!AB7</f>
        <v>意志</v>
      </c>
      <c r="C97" s="557">
        <f>人物卡!AK7</f>
        <v>0</v>
      </c>
      <c r="D97" s="557" t="str">
        <f t="shared" si="3"/>
        <v>意志</v>
      </c>
      <c r="E97" s="557" t="str">
        <f t="shared" si="4"/>
        <v/>
      </c>
    </row>
    <row r="98" spans="1:5">
      <c r="A98" s="557" t="str">
        <f>人物卡!AB8</f>
        <v>魅力</v>
      </c>
      <c r="C98" s="557">
        <f>人物卡!AK8</f>
        <v>0</v>
      </c>
      <c r="D98" s="557" t="str">
        <f t="shared" si="3"/>
        <v>魅力</v>
      </c>
      <c r="E98" s="557" t="str">
        <f t="shared" si="4"/>
        <v/>
      </c>
    </row>
    <row r="99" spans="1:5">
      <c r="A99" t="s" s="557">
        <v>35</v>
      </c>
      <c r="C99" s="557">
        <f>人物卡!H10</f>
        <v>0</v>
      </c>
      <c r="D99" s="557" t="str">
        <f t="shared" si="3"/>
        <v>体力</v>
      </c>
      <c r="E99" s="557" t="str">
        <f t="shared" si="4"/>
        <v/>
      </c>
    </row>
    <row r="100" spans="1:5">
      <c r="A100" t="s" s="557">
        <v>36</v>
      </c>
      <c r="C100" s="557">
        <f>人物卡!V10</f>
        <v>0</v>
      </c>
      <c r="D100" s="557" t="str">
        <f t="shared" si="3"/>
        <v>毅力</v>
      </c>
      <c r="E100" s="557" t="str">
        <f t="shared" si="4"/>
        <v/>
      </c>
    </row>
    <row r="101" spans="1:5">
      <c r="A101" t="s" s="557">
        <v>37</v>
      </c>
      <c r="C101" s="557">
        <f>人物卡!AH10</f>
        <v>0</v>
      </c>
      <c r="D101" s="557" t="str">
        <f t="shared" si="3"/>
        <v>理智</v>
      </c>
      <c r="E101" s="557" t="str">
        <f t="shared" si="4"/>
        <v/>
      </c>
    </row>
    <row r="102" spans="1:5">
      <c r="A102" t="s" s="557">
        <v>38</v>
      </c>
      <c r="C102" s="557">
        <f>人物卡!AU10</f>
        <v>0</v>
      </c>
      <c r="D102" s="557" t="str">
        <f t="shared" si="3"/>
        <v>崩溃点</v>
      </c>
      <c r="E102" s="557" t="str">
        <f t="shared" si="4"/>
        <v/>
      </c>
    </row>
    <row r="103" spans="1:5">
      <c r="A103" s="557" t="str">
        <f t="array" ref="A103:A132">SUBSTITUTE(人物卡!D14:D43,"：","")</f>
        <v>会计学</v>
      </c>
      <c r="B103" s="557" t="str">
        <f>IF(ISBLANK(人物卡!J14),"","（"&amp;人物卡!J14&amp;"）")</f>
        <v/>
      </c>
      <c r="C103" s="557">
        <f ca="1">人物卡!P14</f>
        <v>10</v>
      </c>
      <c r="D103" s="557" t="str">
        <f t="shared" si="3"/>
        <v>会计学</v>
      </c>
      <c r="E103" s="557" t="str">
        <f ca="1" t="shared" si="4"/>
        <v>会计学10</v>
      </c>
    </row>
    <row r="104" spans="1:5">
      <c r="A104" s="557" t="str">
        <v>警觉</v>
      </c>
      <c r="B104" s="557" t="str">
        <f>IF(ISBLANK(人物卡!J15),"","（"&amp;人物卡!J15&amp;"）")</f>
        <v/>
      </c>
      <c r="C104" s="557">
        <f ca="1">人物卡!P15</f>
        <v>20</v>
      </c>
      <c r="D104" s="557" t="str">
        <f t="shared" si="3"/>
        <v>警觉</v>
      </c>
      <c r="E104" s="557" t="str">
        <f ca="1" t="shared" si="4"/>
        <v>警觉20</v>
      </c>
    </row>
    <row r="105" spans="1:5">
      <c r="A105" s="557" t="str">
        <v>人类学</v>
      </c>
      <c r="B105" s="557" t="str">
        <f>IF(ISBLANK(人物卡!J16),"","（"&amp;人物卡!J16&amp;"）")</f>
        <v/>
      </c>
      <c r="C105" s="557">
        <f ca="1">人物卡!P16</f>
        <v>0</v>
      </c>
      <c r="D105" s="557" t="str">
        <f t="shared" si="3"/>
        <v>人类学</v>
      </c>
      <c r="E105" s="557" t="str">
        <f ca="1" t="shared" si="4"/>
        <v/>
      </c>
    </row>
    <row r="106" spans="1:5">
      <c r="A106" s="557" t="str">
        <v>考古学</v>
      </c>
      <c r="B106" s="557" t="str">
        <f>IF(ISBLANK(人物卡!J17),"","（"&amp;人物卡!J17&amp;"）")</f>
        <v/>
      </c>
      <c r="C106" s="557">
        <f ca="1">人物卡!P17</f>
        <v>0</v>
      </c>
      <c r="D106" s="557" t="str">
        <f t="shared" si="3"/>
        <v>考古学</v>
      </c>
      <c r="E106" s="557" t="str">
        <f ca="1" t="shared" si="4"/>
        <v/>
      </c>
    </row>
    <row r="107" spans="1:5">
      <c r="A107" s="557" t="str">
        <v>艺术</v>
      </c>
      <c r="B107" s="557" t="str">
        <f ca="1">IF(ISBLANK(人物卡!J18),"","（"&amp;人物卡!J18&amp;"）")</f>
        <v>（）</v>
      </c>
      <c r="C107" s="557">
        <f ca="1">人物卡!P18</f>
        <v>0</v>
      </c>
      <c r="D107" s="557" t="str">
        <f ca="1" t="shared" si="3"/>
        <v/>
      </c>
      <c r="E107" s="557" t="str">
        <f ca="1" t="shared" si="4"/>
        <v/>
      </c>
    </row>
    <row r="108" spans="1:5">
      <c r="A108" s="557" t="str">
        <v>艺术</v>
      </c>
      <c r="B108" s="557" t="str">
        <f ca="1">IF(ISBLANK(人物卡!J19),"","（"&amp;人物卡!J19&amp;"）")</f>
        <v>（）</v>
      </c>
      <c r="C108" s="557">
        <f ca="1">人物卡!P19</f>
        <v>0</v>
      </c>
      <c r="D108" s="557" t="str">
        <f ca="1" t="shared" si="3"/>
        <v/>
      </c>
      <c r="E108" s="557" t="str">
        <f ca="1" t="shared" si="4"/>
        <v/>
      </c>
    </row>
    <row r="109" spans="1:5">
      <c r="A109" s="557" t="str">
        <v>艺术</v>
      </c>
      <c r="B109" s="557" t="str">
        <f ca="1">IF(ISBLANK(人物卡!J20),"","（"&amp;人物卡!J20&amp;"）")</f>
        <v>（）</v>
      </c>
      <c r="C109" s="557">
        <f ca="1">人物卡!P20</f>
        <v>0</v>
      </c>
      <c r="D109" s="557" t="str">
        <f ca="1" t="shared" si="3"/>
        <v/>
      </c>
      <c r="E109" s="557" t="str">
        <f ca="1" t="shared" si="4"/>
        <v/>
      </c>
    </row>
    <row r="110" spans="1:5">
      <c r="A110" s="557" t="str">
        <v>炮术</v>
      </c>
      <c r="B110" s="557" t="str">
        <f>IF(ISBLANK(人物卡!J21),"","（"&amp;人物卡!J21&amp;"）")</f>
        <v/>
      </c>
      <c r="C110" s="557">
        <f ca="1">人物卡!P21</f>
        <v>0</v>
      </c>
      <c r="D110" s="557" t="str">
        <f t="shared" si="3"/>
        <v>炮术</v>
      </c>
      <c r="E110" s="557" t="str">
        <f ca="1" t="shared" si="4"/>
        <v/>
      </c>
    </row>
    <row r="111" spans="1:5">
      <c r="A111" s="557" t="str">
        <v>运动</v>
      </c>
      <c r="B111" s="557" t="str">
        <f>IF(ISBLANK(人物卡!J22),"","（"&amp;人物卡!J22&amp;"）")</f>
        <v/>
      </c>
      <c r="C111" s="557">
        <f ca="1">人物卡!P22</f>
        <v>30</v>
      </c>
      <c r="D111" s="557" t="str">
        <f t="shared" si="3"/>
        <v>运动</v>
      </c>
      <c r="E111" s="557" t="str">
        <f ca="1" t="shared" si="4"/>
        <v>运动30</v>
      </c>
    </row>
    <row r="112" spans="1:5">
      <c r="A112" s="557" t="str">
        <v>行政</v>
      </c>
      <c r="B112" s="557" t="str">
        <f>IF(ISBLANK(人物卡!J23),"","（"&amp;人物卡!J23&amp;"）")</f>
        <v/>
      </c>
      <c r="C112" s="557">
        <f ca="1">人物卡!P23</f>
        <v>10</v>
      </c>
      <c r="D112" s="557" t="str">
        <f t="shared" si="3"/>
        <v>行政</v>
      </c>
      <c r="E112" s="557" t="str">
        <f ca="1" t="shared" si="4"/>
        <v>行政10</v>
      </c>
    </row>
    <row r="113" spans="1:5">
      <c r="A113" s="557" t="str">
        <v>计算机科学</v>
      </c>
      <c r="B113" s="557" t="str">
        <f>IF(ISBLANK(人物卡!J24),"","（"&amp;人物卡!J24&amp;"）")</f>
        <v/>
      </c>
      <c r="C113" s="557">
        <f ca="1">人物卡!P24</f>
        <v>0</v>
      </c>
      <c r="D113" s="557" t="str">
        <f t="shared" si="3"/>
        <v>计算机科学</v>
      </c>
      <c r="E113" s="557" t="str">
        <f ca="1" t="shared" si="4"/>
        <v/>
      </c>
    </row>
    <row r="114" spans="1:5">
      <c r="A114" s="557" t="str">
        <v>工艺</v>
      </c>
      <c r="B114" s="557" t="str">
        <f ca="1">IF(ISBLANK(人物卡!J25),"","（"&amp;人物卡!J25&amp;"）")</f>
        <v>（）</v>
      </c>
      <c r="C114" s="557">
        <f ca="1">人物卡!P25</f>
        <v>0</v>
      </c>
      <c r="D114" s="557" t="str">
        <f ca="1" t="shared" si="3"/>
        <v/>
      </c>
      <c r="E114" s="557" t="str">
        <f ca="1" t="shared" si="4"/>
        <v/>
      </c>
    </row>
    <row r="115" spans="1:5">
      <c r="A115" s="557" t="str">
        <v>工艺</v>
      </c>
      <c r="B115" s="557" t="str">
        <f ca="1">IF(ISBLANK(人物卡!J26),"","（"&amp;人物卡!J26&amp;"）")</f>
        <v>（）</v>
      </c>
      <c r="C115" s="557">
        <f ca="1">人物卡!P26</f>
        <v>0</v>
      </c>
      <c r="D115" s="557" t="str">
        <f ca="1" t="shared" si="3"/>
        <v/>
      </c>
      <c r="E115" s="557" t="str">
        <f ca="1" t="shared" si="4"/>
        <v/>
      </c>
    </row>
    <row r="116" spans="1:5">
      <c r="A116" s="557" t="str">
        <v>工艺</v>
      </c>
      <c r="B116" s="557" t="str">
        <f ca="1">IF(ISBLANK(人物卡!J27),"","（"&amp;人物卡!J27&amp;"）")</f>
        <v>（）</v>
      </c>
      <c r="C116" s="557">
        <f ca="1">人物卡!P27</f>
        <v>0</v>
      </c>
      <c r="D116" s="557" t="str">
        <f ca="1" t="shared" si="3"/>
        <v/>
      </c>
      <c r="E116" s="557" t="str">
        <f ca="1" t="shared" si="4"/>
        <v/>
      </c>
    </row>
    <row r="117" spans="1:5">
      <c r="A117" s="557" t="str">
        <v>工艺</v>
      </c>
      <c r="B117" s="557" t="str">
        <f ca="1">IF(ISBLANK(人物卡!J28),"","（"&amp;人物卡!J28&amp;"）")</f>
        <v>（）</v>
      </c>
      <c r="C117" s="557">
        <f ca="1">人物卡!P28</f>
        <v>0</v>
      </c>
      <c r="D117" s="557" t="str">
        <f ca="1" t="shared" si="3"/>
        <v/>
      </c>
      <c r="E117" s="557" t="str">
        <f ca="1" t="shared" si="4"/>
        <v/>
      </c>
    </row>
    <row r="118" spans="1:5">
      <c r="A118" s="557" t="str">
        <v>犯罪学</v>
      </c>
      <c r="B118" s="557" t="str">
        <f>IF(ISBLANK(人物卡!J29),"","（"&amp;人物卡!J29&amp;"）")</f>
        <v/>
      </c>
      <c r="C118" s="557">
        <f ca="1">人物卡!P29</f>
        <v>10</v>
      </c>
      <c r="D118" s="557" t="str">
        <f t="shared" si="3"/>
        <v>犯罪学</v>
      </c>
      <c r="E118" s="557" t="str">
        <f ca="1" t="shared" si="4"/>
        <v>犯罪学10</v>
      </c>
    </row>
    <row r="119" spans="1:5">
      <c r="A119" s="557" t="str">
        <v>爆破</v>
      </c>
      <c r="B119" s="557" t="str">
        <f>IF(ISBLANK(人物卡!J30),"","（"&amp;人物卡!J30&amp;"）")</f>
        <v/>
      </c>
      <c r="C119" s="557">
        <f ca="1">人物卡!P30</f>
        <v>0</v>
      </c>
      <c r="D119" s="557" t="str">
        <f t="shared" si="3"/>
        <v>爆破</v>
      </c>
      <c r="E119" s="557" t="str">
        <f ca="1" t="shared" si="4"/>
        <v/>
      </c>
    </row>
    <row r="120" spans="1:5">
      <c r="A120" s="557" t="str">
        <v>乔装</v>
      </c>
      <c r="B120" s="557" t="str">
        <f>IF(ISBLANK(人物卡!J31),"","（"&amp;人物卡!J31&amp;"）")</f>
        <v/>
      </c>
      <c r="C120" s="557">
        <f ca="1">人物卡!P31</f>
        <v>10</v>
      </c>
      <c r="D120" s="557" t="str">
        <f t="shared" si="3"/>
        <v>乔装</v>
      </c>
      <c r="E120" s="557" t="str">
        <f ca="1" t="shared" si="4"/>
        <v>乔装10</v>
      </c>
    </row>
    <row r="121" spans="1:5">
      <c r="A121" s="557" t="str">
        <v>闪避</v>
      </c>
      <c r="B121" s="557" t="str">
        <f>IF(ISBLANK(人物卡!J32),"","（"&amp;人物卡!J32&amp;"）")</f>
        <v/>
      </c>
      <c r="C121" s="557">
        <f ca="1">人物卡!P32</f>
        <v>30</v>
      </c>
      <c r="D121" s="557" t="str">
        <f t="shared" si="3"/>
        <v>闪避</v>
      </c>
      <c r="E121" s="557" t="str">
        <f ca="1" t="shared" si="4"/>
        <v>闪避30</v>
      </c>
    </row>
    <row r="122" spans="1:5">
      <c r="A122" s="557" t="str">
        <v>机动车驾驶</v>
      </c>
      <c r="B122" s="557" t="str">
        <f>IF(ISBLANK(人物卡!J33),"","（"&amp;人物卡!J33&amp;"）")</f>
        <v/>
      </c>
      <c r="C122" s="557">
        <f ca="1">人物卡!P33</f>
        <v>20</v>
      </c>
      <c r="D122" s="557" t="str">
        <f t="shared" si="3"/>
        <v>机动车驾驶</v>
      </c>
      <c r="E122" s="557" t="str">
        <f ca="1" t="shared" si="4"/>
        <v>机动车驾驶20</v>
      </c>
    </row>
    <row r="123" spans="1:5">
      <c r="A123" s="557" t="str">
        <v>射击</v>
      </c>
      <c r="B123" s="557" t="str">
        <f>IF(ISBLANK(人物卡!J34),"","（"&amp;人物卡!J34&amp;"）")</f>
        <v/>
      </c>
      <c r="C123" s="557">
        <f ca="1">人物卡!P34</f>
        <v>20</v>
      </c>
      <c r="D123" s="557" t="str">
        <f t="shared" si="3"/>
        <v>射击</v>
      </c>
      <c r="E123" s="557" t="str">
        <f ca="1" t="shared" si="4"/>
        <v>射击20</v>
      </c>
    </row>
    <row r="124" spans="1:5">
      <c r="A124" s="557" t="str">
        <v>急救</v>
      </c>
      <c r="B124" s="557" t="str">
        <f>IF(ISBLANK(人物卡!J35),"","（"&amp;人物卡!J35&amp;"）")</f>
        <v/>
      </c>
      <c r="C124" s="557">
        <f ca="1">人物卡!P35</f>
        <v>10</v>
      </c>
      <c r="D124" s="557" t="str">
        <f t="shared" si="3"/>
        <v>急救</v>
      </c>
      <c r="E124" s="557" t="str">
        <f ca="1" t="shared" si="4"/>
        <v>急救10</v>
      </c>
    </row>
    <row r="125" spans="1:5">
      <c r="A125" s="557" t="str">
        <v>外语</v>
      </c>
      <c r="B125" s="557" t="str">
        <f>IF(ISBLANK(人物卡!J36),"","（"&amp;人物卡!J36&amp;"）")</f>
        <v>（）</v>
      </c>
      <c r="C125" s="557">
        <f ca="1">人物卡!P36</f>
        <v>0</v>
      </c>
      <c r="D125" s="557" t="str">
        <f t="shared" si="3"/>
        <v/>
      </c>
      <c r="E125" s="557" t="str">
        <f ca="1" t="shared" si="4"/>
        <v/>
      </c>
    </row>
    <row r="126" spans="1:5">
      <c r="A126" s="557" t="str">
        <v>外语</v>
      </c>
      <c r="B126" s="557" t="str">
        <f>IF(ISBLANK(人物卡!J37),"","（"&amp;人物卡!J37&amp;"）")</f>
        <v>（）</v>
      </c>
      <c r="C126" s="557">
        <f ca="1">人物卡!P37</f>
        <v>0</v>
      </c>
      <c r="D126" s="557" t="str">
        <f t="shared" ref="D126:D162" si="5">IF(LEN(B126)=0,A126,MID(B126,2,LEN(B126)-2))</f>
        <v/>
      </c>
      <c r="E126" s="557" t="str">
        <f ca="1" t="shared" ref="E126:E162" si="6">IF(C126&gt;0,D126&amp;C126,"")</f>
        <v/>
      </c>
    </row>
    <row r="127" spans="1:5">
      <c r="A127" s="557" t="str">
        <v>外语</v>
      </c>
      <c r="B127" s="557" t="str">
        <f ca="1">IF(ISBLANK(人物卡!J38),"","（"&amp;人物卡!J38&amp;"）")</f>
        <v>（）</v>
      </c>
      <c r="C127" s="557">
        <f ca="1">人物卡!P38</f>
        <v>0</v>
      </c>
      <c r="D127" s="557" t="str">
        <f ca="1" t="shared" si="5"/>
        <v/>
      </c>
      <c r="E127" s="557" t="str">
        <f ca="1" t="shared" si="6"/>
        <v/>
      </c>
    </row>
    <row r="128" spans="1:5">
      <c r="A128" s="557" t="str">
        <v>法证学</v>
      </c>
      <c r="B128" s="557" t="str">
        <f>IF(ISBLANK(人物卡!J39),"","（"&amp;人物卡!J39&amp;"）")</f>
        <v/>
      </c>
      <c r="C128" s="557">
        <f ca="1">人物卡!P39</f>
        <v>0</v>
      </c>
      <c r="D128" s="557" t="str">
        <f t="shared" si="5"/>
        <v>法证学</v>
      </c>
      <c r="E128" s="557" t="str">
        <f ca="1" t="shared" si="6"/>
        <v/>
      </c>
    </row>
    <row r="129" spans="1:5">
      <c r="A129" s="557" t="str">
        <v>重型机械</v>
      </c>
      <c r="B129" s="557" t="str">
        <f>IF(ISBLANK(人物卡!J40),"","（"&amp;人物卡!J40&amp;"）")</f>
        <v/>
      </c>
      <c r="C129" s="557">
        <f ca="1">人物卡!P40</f>
        <v>10</v>
      </c>
      <c r="D129" s="557" t="str">
        <f t="shared" si="5"/>
        <v>重型机械</v>
      </c>
      <c r="E129" s="557" t="str">
        <f ca="1" t="shared" si="6"/>
        <v>重型机械10</v>
      </c>
    </row>
    <row r="130" spans="1:5">
      <c r="A130" s="557" t="str">
        <v>重型武器</v>
      </c>
      <c r="B130" s="557" t="str">
        <f>IF(ISBLANK(人物卡!J41),"","（"&amp;人物卡!J41&amp;"）")</f>
        <v/>
      </c>
      <c r="C130" s="557">
        <f ca="1">人物卡!P41</f>
        <v>0</v>
      </c>
      <c r="D130" s="557" t="str">
        <f t="shared" si="5"/>
        <v>重型武器</v>
      </c>
      <c r="E130" s="557" t="str">
        <f ca="1" t="shared" si="6"/>
        <v/>
      </c>
    </row>
    <row r="131" spans="1:5">
      <c r="A131" s="557" t="str">
        <v>历史</v>
      </c>
      <c r="B131" s="557" t="str">
        <f>IF(ISBLANK(人物卡!J42),"","（"&amp;人物卡!J42&amp;"）")</f>
        <v/>
      </c>
      <c r="C131" s="557">
        <f ca="1">人物卡!P42</f>
        <v>10</v>
      </c>
      <c r="D131" s="557" t="str">
        <f t="shared" si="5"/>
        <v>历史</v>
      </c>
      <c r="E131" s="557" t="str">
        <f ca="1" t="shared" si="6"/>
        <v>历史10</v>
      </c>
    </row>
    <row r="132" spans="1:5">
      <c r="A132" s="557" t="str">
        <v>人源情报</v>
      </c>
      <c r="B132" s="557" t="str">
        <f>IF(ISBLANK(人物卡!J43),"","（"&amp;人物卡!J43&amp;"）")</f>
        <v/>
      </c>
      <c r="C132" s="557">
        <f ca="1">人物卡!P43</f>
        <v>10</v>
      </c>
      <c r="D132" s="557" t="str">
        <f t="shared" si="5"/>
        <v>人源情报</v>
      </c>
      <c r="E132" s="557" t="str">
        <f ca="1" t="shared" si="6"/>
        <v>人源情报10</v>
      </c>
    </row>
    <row r="133" spans="1:5">
      <c r="A133" s="557" t="str">
        <f ca="1" t="array" ref="A133:A162">SUBSTITUTE(人物卡!AG14:AG43,"：","")</f>
        <v>法律</v>
      </c>
      <c r="B133" s="557" t="str">
        <f>IF(ISBLANK(人物卡!AM14),"","（"&amp;人物卡!AM14&amp;"）")</f>
        <v/>
      </c>
      <c r="C133" s="557">
        <f ca="1">人物卡!AS14</f>
        <v>0</v>
      </c>
      <c r="D133" s="557" t="str">
        <f ca="1" t="shared" si="5"/>
        <v>法律</v>
      </c>
      <c r="E133" s="557" t="str">
        <f ca="1" t="shared" si="6"/>
        <v/>
      </c>
    </row>
    <row r="134" spans="1:5">
      <c r="A134" s="557" t="str">
        <v>医学</v>
      </c>
      <c r="B134" s="557" t="str">
        <f>IF(ISBLANK(人物卡!AM15),"","（"&amp;人物卡!AM15&amp;"）")</f>
        <v/>
      </c>
      <c r="C134" s="557">
        <f ca="1">人物卡!AS15</f>
        <v>0</v>
      </c>
      <c r="D134" s="557" t="str">
        <f ca="1" t="shared" si="5"/>
        <v>医学</v>
      </c>
      <c r="E134" s="557" t="str">
        <f ca="1" t="shared" si="6"/>
        <v/>
      </c>
    </row>
    <row r="135" spans="1:5">
      <c r="A135" s="557" t="str">
        <v>近战武器</v>
      </c>
      <c r="B135" s="557" t="str">
        <f>IF(ISBLANK(人物卡!AM16),"","（"&amp;人物卡!AM16&amp;"）")</f>
        <v/>
      </c>
      <c r="C135" s="557">
        <f ca="1">人物卡!AS16</f>
        <v>30</v>
      </c>
      <c r="D135" s="557" t="str">
        <f ca="1" t="shared" si="5"/>
        <v>近战武器</v>
      </c>
      <c r="E135" s="557" t="str">
        <f ca="1" t="shared" si="6"/>
        <v>近战武器30</v>
      </c>
    </row>
    <row r="136" spans="1:5">
      <c r="A136" s="557" t="str">
        <v>军事科学</v>
      </c>
      <c r="B136" s="557" t="str">
        <f ca="1">IF(ISBLANK(人物卡!AM17),"","（"&amp;人物卡!AM17&amp;"）")</f>
        <v>（）</v>
      </c>
      <c r="C136" s="557">
        <f ca="1">人物卡!AS17</f>
        <v>0</v>
      </c>
      <c r="D136" s="557" t="str">
        <f ca="1" t="shared" si="5"/>
        <v/>
      </c>
      <c r="E136" s="557" t="str">
        <f ca="1" t="shared" si="6"/>
        <v/>
      </c>
    </row>
    <row r="137" spans="1:5">
      <c r="A137" s="557" t="str">
        <v>军事科学</v>
      </c>
      <c r="B137" s="557" t="str">
        <f ca="1">IF(ISBLANK(人物卡!AM18),"","（"&amp;人物卡!AM18&amp;"）")</f>
        <v>（）</v>
      </c>
      <c r="C137" s="557">
        <f ca="1">人物卡!AS18</f>
        <v>0</v>
      </c>
      <c r="D137" s="557" t="str">
        <f ca="1" t="shared" si="5"/>
        <v/>
      </c>
      <c r="E137" s="557" t="str">
        <f ca="1" t="shared" si="6"/>
        <v/>
      </c>
    </row>
    <row r="138" spans="1:5">
      <c r="A138" s="557" t="str">
        <v>军事科学</v>
      </c>
      <c r="B138" s="557" t="str">
        <f ca="1">IF(ISBLANK(人物卡!AM19),"","（"&amp;人物卡!AM19&amp;"）")</f>
        <v>（）</v>
      </c>
      <c r="C138" s="557">
        <f ca="1">人物卡!AS19</f>
        <v>0</v>
      </c>
      <c r="D138" s="557" t="str">
        <f ca="1" t="shared" si="5"/>
        <v/>
      </c>
      <c r="E138" s="557" t="str">
        <f ca="1" t="shared" si="6"/>
        <v/>
      </c>
    </row>
    <row r="139" spans="1:5">
      <c r="A139" s="557" t="str">
        <v>导航</v>
      </c>
      <c r="B139" s="557" t="str">
        <f>IF(ISBLANK(人物卡!AM20),"","（"&amp;人物卡!AM20&amp;"）")</f>
        <v/>
      </c>
      <c r="C139" s="557">
        <f ca="1">人物卡!AS20</f>
        <v>10</v>
      </c>
      <c r="D139" s="557" t="str">
        <f ca="1" t="shared" si="5"/>
        <v>导航</v>
      </c>
      <c r="E139" s="557" t="str">
        <f ca="1" t="shared" si="6"/>
        <v>导航10</v>
      </c>
    </row>
    <row r="140" spans="1:5">
      <c r="A140" s="557" t="str">
        <v>神秘学</v>
      </c>
      <c r="B140" s="557" t="str">
        <f>IF(ISBLANK(人物卡!AM21),"","（"&amp;人物卡!AM21&amp;"）")</f>
        <v/>
      </c>
      <c r="C140" s="557">
        <f ca="1">人物卡!AS21</f>
        <v>10</v>
      </c>
      <c r="D140" s="557" t="str">
        <f ca="1" t="shared" si="5"/>
        <v>神秘学</v>
      </c>
      <c r="E140" s="557" t="str">
        <f ca="1" t="shared" si="6"/>
        <v>神秘学10</v>
      </c>
    </row>
    <row r="141" spans="1:5">
      <c r="A141" s="557" t="str">
        <v>说服</v>
      </c>
      <c r="B141" s="557" t="str">
        <f>IF(ISBLANK(人物卡!AM22),"","（"&amp;人物卡!AM22&amp;"）")</f>
        <v/>
      </c>
      <c r="C141" s="557">
        <f ca="1">人物卡!AS22</f>
        <v>20</v>
      </c>
      <c r="D141" s="557" t="str">
        <f ca="1" t="shared" si="5"/>
        <v>说服</v>
      </c>
      <c r="E141" s="557" t="str">
        <f ca="1" t="shared" si="6"/>
        <v>说服20</v>
      </c>
    </row>
    <row r="142" spans="1:5">
      <c r="A142" s="557" t="str">
        <v>药学</v>
      </c>
      <c r="B142" s="557" t="str">
        <f>IF(ISBLANK(人物卡!AM23),"","（"&amp;人物卡!AM23&amp;"）")</f>
        <v/>
      </c>
      <c r="C142" s="557">
        <f ca="1">人物卡!AS23</f>
        <v>0</v>
      </c>
      <c r="D142" s="557" t="str">
        <f ca="1" t="shared" si="5"/>
        <v>药学</v>
      </c>
      <c r="E142" s="557" t="str">
        <f ca="1" t="shared" si="6"/>
        <v/>
      </c>
    </row>
    <row r="143" spans="1:5">
      <c r="A143" s="557" t="str">
        <v>特种载具</v>
      </c>
      <c r="B143" s="557" t="str">
        <f ca="1">IF(ISBLANK(人物卡!AM24),"","（"&amp;人物卡!AM24&amp;"）")</f>
        <v>（）</v>
      </c>
      <c r="C143" s="557">
        <f ca="1">人物卡!AS24</f>
        <v>0</v>
      </c>
      <c r="D143" s="557" t="str">
        <f ca="1" t="shared" si="5"/>
        <v/>
      </c>
      <c r="E143" s="557" t="str">
        <f ca="1" t="shared" si="6"/>
        <v/>
      </c>
    </row>
    <row r="144" spans="1:5">
      <c r="A144" s="557" t="str">
        <v>特种载具</v>
      </c>
      <c r="B144" s="557" t="str">
        <f ca="1">IF(ISBLANK(人物卡!AM25),"","（"&amp;人物卡!AM25&amp;"）")</f>
        <v>（）</v>
      </c>
      <c r="C144" s="557">
        <f ca="1">人物卡!AS25</f>
        <v>0</v>
      </c>
      <c r="D144" s="557" t="str">
        <f ca="1" t="shared" si="5"/>
        <v/>
      </c>
      <c r="E144" s="557" t="str">
        <f ca="1" t="shared" si="6"/>
        <v/>
      </c>
    </row>
    <row r="145" spans="1:5">
      <c r="A145" s="557" t="str">
        <v>特种载具</v>
      </c>
      <c r="B145" s="557" t="str">
        <f ca="1">IF(ISBLANK(人物卡!AM26),"","（"&amp;人物卡!AM26&amp;"）")</f>
        <v>（）</v>
      </c>
      <c r="C145" s="557">
        <f ca="1">人物卡!AS26</f>
        <v>0</v>
      </c>
      <c r="D145" s="557" t="str">
        <f ca="1" t="shared" si="5"/>
        <v/>
      </c>
      <c r="E145" s="557" t="str">
        <f ca="1" t="shared" si="6"/>
        <v/>
      </c>
    </row>
    <row r="146" spans="1:5">
      <c r="A146" s="557" t="str">
        <v>精神治疗</v>
      </c>
      <c r="B146" s="557" t="str">
        <f>IF(ISBLANK(人物卡!AM27),"","（"&amp;人物卡!AM27&amp;"）")</f>
        <v/>
      </c>
      <c r="C146" s="557">
        <f ca="1">人物卡!AS27</f>
        <v>10</v>
      </c>
      <c r="D146" s="557" t="str">
        <f ca="1" t="shared" si="5"/>
        <v>精神治疗</v>
      </c>
      <c r="E146" s="557" t="str">
        <f ca="1" t="shared" si="6"/>
        <v>精神治疗10</v>
      </c>
    </row>
    <row r="147" spans="1:5">
      <c r="A147" s="557" t="str">
        <v>骑术</v>
      </c>
      <c r="B147" s="557" t="str">
        <f>IF(ISBLANK(人物卡!AM28),"","（"&amp;人物卡!AM28&amp;"）")</f>
        <v/>
      </c>
      <c r="C147" s="557">
        <f ca="1">人物卡!AS28</f>
        <v>10</v>
      </c>
      <c r="D147" s="557" t="str">
        <f ca="1" t="shared" si="5"/>
        <v>骑术</v>
      </c>
      <c r="E147" s="557" t="str">
        <f ca="1" t="shared" si="6"/>
        <v>骑术10</v>
      </c>
    </row>
    <row r="148" spans="1:5">
      <c r="A148" s="557" t="str">
        <v>科学</v>
      </c>
      <c r="B148" s="557" t="str">
        <f ca="1">IF(ISBLANK(人物卡!AM29),"","（"&amp;人物卡!AM29&amp;"）")</f>
        <v>（）</v>
      </c>
      <c r="C148" s="557">
        <f ca="1">人物卡!AS29</f>
        <v>0</v>
      </c>
      <c r="D148" s="557" t="str">
        <f ca="1" t="shared" si="5"/>
        <v/>
      </c>
      <c r="E148" s="557" t="str">
        <f ca="1" t="shared" si="6"/>
        <v/>
      </c>
    </row>
    <row r="149" spans="1:5">
      <c r="A149" s="557" t="str">
        <v>科学</v>
      </c>
      <c r="B149" s="557" t="str">
        <f ca="1">IF(ISBLANK(人物卡!AM30),"","（"&amp;人物卡!AM30&amp;"）")</f>
        <v>（）</v>
      </c>
      <c r="C149" s="557">
        <f ca="1">人物卡!AS30</f>
        <v>0</v>
      </c>
      <c r="D149" s="557" t="str">
        <f ca="1" t="shared" si="5"/>
        <v/>
      </c>
      <c r="E149" s="557" t="str">
        <f ca="1" t="shared" si="6"/>
        <v/>
      </c>
    </row>
    <row r="150" spans="1:5">
      <c r="A150" s="557" t="str">
        <v>科学</v>
      </c>
      <c r="B150" s="557" t="str">
        <f ca="1">IF(ISBLANK(人物卡!AM31),"","（"&amp;人物卡!AM31&amp;"）")</f>
        <v>（）</v>
      </c>
      <c r="C150" s="557">
        <f ca="1">人物卡!AS31</f>
        <v>0</v>
      </c>
      <c r="D150" s="557" t="str">
        <f ca="1" t="shared" si="5"/>
        <v/>
      </c>
      <c r="E150" s="557" t="str">
        <f ca="1" t="shared" si="6"/>
        <v/>
      </c>
    </row>
    <row r="151" spans="1:5">
      <c r="A151" s="557" t="str">
        <v>搜寻</v>
      </c>
      <c r="B151" s="557" t="str">
        <f>IF(ISBLANK(人物卡!AM32),"","（"&amp;人物卡!AM32&amp;"）")</f>
        <v/>
      </c>
      <c r="C151" s="557">
        <f ca="1">人物卡!AS32</f>
        <v>20</v>
      </c>
      <c r="D151" s="557" t="str">
        <f ca="1" t="shared" si="5"/>
        <v>搜寻</v>
      </c>
      <c r="E151" s="557" t="str">
        <f ca="1" t="shared" si="6"/>
        <v>搜寻20</v>
      </c>
    </row>
    <row r="152" spans="1:5">
      <c r="A152" s="557" t="str">
        <v>信号情报</v>
      </c>
      <c r="B152" s="557" t="str">
        <f>IF(ISBLANK(人物卡!AM33),"","（"&amp;人物卡!AM33&amp;"）")</f>
        <v/>
      </c>
      <c r="C152" s="557">
        <f ca="1">人物卡!AS33</f>
        <v>0</v>
      </c>
      <c r="D152" s="557" t="str">
        <f ca="1" t="shared" si="5"/>
        <v>信号情报</v>
      </c>
      <c r="E152" s="557" t="str">
        <f ca="1" t="shared" si="6"/>
        <v/>
      </c>
    </row>
    <row r="153" spans="1:5">
      <c r="A153" s="557" t="str">
        <v>潜藏</v>
      </c>
      <c r="B153" s="557" t="str">
        <f>IF(ISBLANK(人物卡!AM34),"","（"&amp;人物卡!AM34&amp;"）")</f>
        <v/>
      </c>
      <c r="C153" s="557">
        <f ca="1">人物卡!AS34</f>
        <v>10</v>
      </c>
      <c r="D153" s="557" t="str">
        <f ca="1" t="shared" si="5"/>
        <v>潜藏</v>
      </c>
      <c r="E153" s="557" t="str">
        <f ca="1" t="shared" si="6"/>
        <v>潜藏10</v>
      </c>
    </row>
    <row r="154" spans="1:5">
      <c r="A154" s="557" t="str">
        <v>手术</v>
      </c>
      <c r="B154" s="557" t="str">
        <f>IF(ISBLANK(人物卡!AM35),"","（"&amp;人物卡!AM35&amp;"）")</f>
        <v/>
      </c>
      <c r="C154" s="557">
        <f ca="1">人物卡!AS35</f>
        <v>0</v>
      </c>
      <c r="D154" s="557" t="str">
        <f ca="1" t="shared" si="5"/>
        <v>手术</v>
      </c>
      <c r="E154" s="557" t="str">
        <f ca="1" t="shared" si="6"/>
        <v/>
      </c>
    </row>
    <row r="155" spans="1:5">
      <c r="A155" s="557" t="str">
        <v>生存</v>
      </c>
      <c r="B155" s="557" t="str">
        <f>IF(ISBLANK(人物卡!AM36),"","（"&amp;人物卡!AM36&amp;"）")</f>
        <v/>
      </c>
      <c r="C155" s="557">
        <f ca="1">人物卡!AS36</f>
        <v>10</v>
      </c>
      <c r="D155" s="557" t="str">
        <f ca="1" t="shared" si="5"/>
        <v>生存</v>
      </c>
      <c r="E155" s="557" t="str">
        <f ca="1" t="shared" si="6"/>
        <v>生存10</v>
      </c>
    </row>
    <row r="156" spans="1:5">
      <c r="A156" s="557" t="str">
        <v>游泳</v>
      </c>
      <c r="B156" s="557" t="str">
        <f>IF(ISBLANK(人物卡!AM37),"","（"&amp;人物卡!AM37&amp;"）")</f>
        <v/>
      </c>
      <c r="C156" s="557">
        <f ca="1">人物卡!AS37</f>
        <v>20</v>
      </c>
      <c r="D156" s="557" t="str">
        <f ca="1" t="shared" si="5"/>
        <v>游泳</v>
      </c>
      <c r="E156" s="557" t="str">
        <f ca="1" t="shared" si="6"/>
        <v>游泳20</v>
      </c>
    </row>
    <row r="157" spans="1:5">
      <c r="A157" s="557" t="str">
        <v>徒手搏斗</v>
      </c>
      <c r="B157" s="557" t="str">
        <f>IF(ISBLANK(人物卡!AM38),"","（"&amp;人物卡!AM38&amp;"）")</f>
        <v/>
      </c>
      <c r="C157" s="557">
        <f ca="1">人物卡!AS38</f>
        <v>40</v>
      </c>
      <c r="D157" s="557" t="str">
        <f ca="1" t="shared" si="5"/>
        <v>徒手搏斗</v>
      </c>
      <c r="E157" s="557" t="str">
        <f ca="1" t="shared" si="6"/>
        <v>徒手搏斗40</v>
      </c>
    </row>
    <row r="158" spans="1:5">
      <c r="A158" s="557" t="str">
        <v>非自然知识</v>
      </c>
      <c r="B158" s="557" t="str">
        <f>IF(ISBLANK(人物卡!AM39),"","（"&amp;人物卡!AM39&amp;"）")</f>
        <v/>
      </c>
      <c r="C158" s="557">
        <f>人物卡!AS39</f>
        <v>0</v>
      </c>
      <c r="D158" s="557" t="str">
        <f ca="1" t="shared" si="5"/>
        <v>非自然知识</v>
      </c>
      <c r="E158" s="557" t="str">
        <f ca="1" t="shared" si="6"/>
        <v/>
      </c>
    </row>
    <row r="159" spans="1:5">
      <c r="A159" s="557" t="str">
        <v/>
      </c>
      <c r="B159" s="557" t="str">
        <f>IF(ISBLANK(人物卡!AM40),"","（"&amp;人物卡!AM40&amp;"）")</f>
        <v/>
      </c>
      <c r="C159" s="557">
        <f ca="1">人物卡!AS40</f>
        <v>0</v>
      </c>
      <c r="D159" s="557" t="str">
        <f ca="1" t="shared" si="5"/>
        <v/>
      </c>
      <c r="E159" s="557" t="str">
        <f ca="1" t="shared" si="6"/>
        <v/>
      </c>
    </row>
    <row r="160" spans="1:5">
      <c r="A160" s="557" t="str">
        <v/>
      </c>
      <c r="B160" s="557" t="str">
        <f>IF(ISBLANK(人物卡!AM41),"","（"&amp;人物卡!AM41&amp;"）")</f>
        <v/>
      </c>
      <c r="C160" s="557">
        <f ca="1">人物卡!AS41</f>
        <v>0</v>
      </c>
      <c r="D160" s="557" t="str">
        <f ca="1" t="shared" si="5"/>
        <v/>
      </c>
      <c r="E160" s="557" t="str">
        <f ca="1" t="shared" si="6"/>
        <v/>
      </c>
    </row>
    <row r="161" spans="1:5">
      <c r="A161" s="557" t="str">
        <v/>
      </c>
      <c r="B161" s="557" t="str">
        <f>IF(ISBLANK(人物卡!AM42),"","（"&amp;人物卡!AM42&amp;"）")</f>
        <v/>
      </c>
      <c r="C161" s="557">
        <f ca="1">人物卡!AS42</f>
        <v>0</v>
      </c>
      <c r="D161" s="557" t="str">
        <f ca="1" t="shared" si="5"/>
        <v/>
      </c>
      <c r="E161" s="557" t="str">
        <f ca="1" t="shared" si="6"/>
        <v/>
      </c>
    </row>
    <row r="162" spans="1:5">
      <c r="A162" s="557" t="str">
        <v/>
      </c>
      <c r="B162" s="557" t="str">
        <f>IF(ISBLANK(人物卡!AM43),"","（"&amp;人物卡!AM43&amp;"）")</f>
        <v/>
      </c>
      <c r="C162" s="557">
        <f ca="1">人物卡!AS43</f>
        <v>0</v>
      </c>
      <c r="D162" s="557" t="str">
        <f ca="1" t="shared" si="5"/>
        <v/>
      </c>
      <c r="E162" s="557" t="str">
        <f ca="1" t="shared" si="6"/>
        <v/>
      </c>
    </row>
    <row r="168" spans="1:5">
      <c r="A168" t="s" s="557">
        <v>662</v>
      </c>
    </row>
    <row r="169" spans="1:5">
      <c r="A169" s="557" t="str">
        <f>IFERROR(INDEX(职业列表!A:A,SMALL(职业列表!AO$2:AO$106,ROW()-168))&amp;"","")</f>
        <v>（创建新职业）</v>
      </c>
    </row>
    <row r="170" spans="1:5">
      <c r="A170" s="557" t="str">
        <f>IFERROR(INDEX(职业列表!A:A,SMALL(职业列表!AO$2:AO$106,ROW()-168))&amp;"","")</f>
        <v>人类学家或历史学家</v>
      </c>
    </row>
    <row r="171" spans="1:5">
      <c r="A171" s="557" t="str">
        <f>IFERROR(INDEX(职业列表!A:A,SMALL(职业列表!AO$2:AO$106,ROW()-168))&amp;"","")</f>
        <v>计算机科学家或工程师</v>
      </c>
    </row>
    <row r="172" spans="1:5">
      <c r="A172" s="557" t="str">
        <f>IFERROR(INDEX(职业列表!A:A,SMALL(职业列表!AO$2:AO$106,ROW()-168))&amp;"","")</f>
        <v>联邦探员</v>
      </c>
    </row>
    <row r="173" spans="1:5">
      <c r="A173" s="557" t="str">
        <f>IFERROR(INDEX(职业列表!A:A,SMALL(职业列表!AO$2:AO$106,ROW()-168))&amp;"","")</f>
        <v>医生</v>
      </c>
    </row>
    <row r="174" spans="1:5">
      <c r="A174" s="557" t="str">
        <f>IFERROR(INDEX(职业列表!A:A,SMALL(职业列表!AO$2:AO$106,ROW()-168))&amp;"","")</f>
        <v>科学家</v>
      </c>
    </row>
    <row r="175" spans="1:5">
      <c r="A175" s="557" t="str">
        <f>IFERROR(INDEX(职业列表!A:A,SMALL(职业列表!AO$2:AO$106,ROW()-168))&amp;"","")</f>
        <v>特种作战员</v>
      </c>
    </row>
    <row r="176" spans="1:5">
      <c r="A176" s="557" t="str">
        <f>IFERROR(INDEX(职业列表!A:A,SMALL(职业列表!AO$2:AO$106,ROW()-168))&amp;"","")</f>
        <v>【额外】罪犯</v>
      </c>
    </row>
    <row r="177" spans="1:1">
      <c r="A177" s="557" t="str">
        <f>IFERROR(INDEX(职业列表!A:A,SMALL(职业列表!AO$2:AO$106,ROW()-168))&amp;"","")</f>
        <v>【额外】消防队员</v>
      </c>
    </row>
    <row r="178" spans="1:1">
      <c r="A178" s="557" t="str">
        <f>IFERROR(INDEX(职业列表!A:A,SMALL(职业列表!AO$2:AO$106,ROW()-168))&amp;"","")</f>
        <v>【额外】外事官员</v>
      </c>
    </row>
    <row r="179" spans="1:1">
      <c r="A179" s="557" t="str">
        <f>IFERROR(INDEX(职业列表!A:A,SMALL(职业列表!AO$2:AO$106,ROW()-168))&amp;"","")</f>
        <v>【额外】情报分析员</v>
      </c>
    </row>
    <row r="180" spans="1:1">
      <c r="A180" s="557" t="str">
        <f>IFERROR(INDEX(职业列表!A:A,SMALL(职业列表!AO$2:AO$106,ROW()-168))&amp;"","")</f>
        <v>【额外】情报官员</v>
      </c>
    </row>
    <row r="181" spans="1:1">
      <c r="A181" s="557" t="str">
        <f>IFERROR(INDEX(职业列表!A:A,SMALL(职业列表!AO$2:AO$106,ROW()-168))&amp;"","")</f>
        <v>【额外】律师或商务主管</v>
      </c>
    </row>
    <row r="182" spans="1:1">
      <c r="A182" s="557" t="str">
        <f>IFERROR(INDEX(职业列表!A:A,SMALL(职业列表!AO$2:AO$106,ROW()-168))&amp;"","")</f>
        <v>【额外】媒体专家</v>
      </c>
    </row>
    <row r="183" spans="1:1">
      <c r="A183" s="557" t="str">
        <f>IFERROR(INDEX(职业列表!A:A,SMALL(职业列表!AO$2:AO$106,ROW()-168))&amp;"","")</f>
        <v>【额外】护士或护理人员</v>
      </c>
    </row>
    <row r="184" spans="1:1">
      <c r="A184" s="557" t="str">
        <f>IFERROR(INDEX(职业列表!A:A,SMALL(职业列表!AO$2:AO$106,ROW()-168))&amp;"","")</f>
        <v>【额外】飞行员或水手</v>
      </c>
    </row>
    <row r="185" spans="1:1">
      <c r="A185" s="557" t="str">
        <f>IFERROR(INDEX(职业列表!A:A,SMALL(职业列表!AO$2:AO$106,ROW()-168))&amp;"","")</f>
        <v>【额外】警察</v>
      </c>
    </row>
    <row r="186" spans="1:1">
      <c r="A186" s="557" t="str">
        <f>IFERROR(INDEX(职业列表!A:A,SMALL(职业列表!AO$2:AO$106,ROW()-168))&amp;"","")</f>
        <v>【额外】项目群经理</v>
      </c>
    </row>
    <row r="187" spans="1:1">
      <c r="A187" s="557" t="str">
        <f>IFERROR(INDEX(职业列表!A:A,SMALL(职业列表!AO$2:AO$106,ROW()-168))&amp;"","")</f>
        <v>【额外】士兵或海军陆战队员</v>
      </c>
    </row>
    <row r="188" spans="1:1">
      <c r="A188" s="557" t="str">
        <f>IFERROR(INDEX(职业列表!A:A,SMALL(职业列表!AO$2:AO$106,ROW()-168))&amp;"","")</f>
        <v>FBI / 犯罪调查处（CID）</v>
      </c>
    </row>
    <row r="189" spans="1:1">
      <c r="A189" s="557" t="str">
        <f>IFERROR(INDEX(职业列表!A:A,SMALL(职业列表!AO$2:AO$106,ROW()-168))&amp;"","")</f>
        <v>FBI / 国家安保部（NSB）</v>
      </c>
    </row>
    <row r="190" spans="1:1">
      <c r="A190" s="557" t="str">
        <f>IFERROR(INDEX(职业列表!A:A,SMALL(职业列表!AO$2:AO$106,ROW()-168))&amp;"","")</f>
        <v>FBI / 调查与行动支援科（IOSS）</v>
      </c>
    </row>
    <row r="191" spans="1:1">
      <c r="A191" s="557" t="str">
        <f>IFERROR(INDEX(职业列表!A:A,SMALL(职业列表!AO$2:AO$106,ROW()-168))&amp;"","")</f>
        <v>FBI / 情报部</v>
      </c>
    </row>
    <row r="192" spans="1:1">
      <c r="A192" s="557" t="str">
        <f>IFERROR(INDEX(职业列表!A:A,SMALL(职业列表!AO$2:AO$106,ROW()-168))&amp;"","")</f>
        <v>FBI / 人质救援队（HRT）或特警队（SWAT）</v>
      </c>
    </row>
    <row r="193" spans="1:1">
      <c r="A193" s="557" t="str">
        <f>IFERROR(INDEX(职业列表!A:A,SMALL(职业列表!AO$2:AO$106,ROW()-168))&amp;"","")</f>
        <v>DEA / 行动分处</v>
      </c>
    </row>
    <row r="194" spans="1:1">
      <c r="A194" s="557" t="str">
        <f>IFERROR(INDEX(职业列表!A:A,SMALL(职业列表!AO$2:AO$106,ROW()-168))&amp;"","")</f>
        <v>DEA / 行动支援分处</v>
      </c>
    </row>
    <row r="195" spans="1:1">
      <c r="A195" s="557" t="str">
        <f>IFERROR(INDEX(职业列表!A:A,SMALL(职业列表!AO$2:AO$106,ROW()-168))&amp;"","")</f>
        <v>DEA / 特种作战科（SOD）</v>
      </c>
    </row>
    <row r="196" spans="1:1">
      <c r="A196" s="557" t="str">
        <f>IFERROR(INDEX(职业列表!A:A,SMALL(职业列表!AO$2:AO$106,ROW()-168))&amp;"","")</f>
        <v>DEA / 海外部署咨询与支援小组（FAST）</v>
      </c>
    </row>
    <row r="197" spans="1:1">
      <c r="A197" s="557" t="str">
        <f>IFERROR(INDEX(职业列表!A:A,SMALL(职业列表!AO$2:AO$106,ROW()-168))&amp;"","")</f>
        <v>ICE / 国土调查处（HSI）</v>
      </c>
    </row>
    <row r="198" spans="1:1">
      <c r="A198" s="557" t="str">
        <f>IFERROR(INDEX(职业列表!A:A,SMALL(职业列表!AO$2:AO$106,ROW()-168))&amp;"","")</f>
        <v>ICE / HIS，情报办公室</v>
      </c>
    </row>
    <row r="199" spans="1:1">
      <c r="A199" s="557" t="str">
        <f>IFERROR(INDEX(职业列表!A:A,SMALL(职业列表!AO$2:AO$106,ROW()-168))&amp;"","")</f>
        <v>ICE / 特别应对小组（SRT）</v>
      </c>
    </row>
    <row r="200" spans="1:1">
      <c r="A200" s="557" t="str">
        <f>IFERROR(INDEX(职业列表!A:A,SMALL(职业列表!AO$2:AO$106,ROW()-168))&amp;"","")</f>
        <v>ICE / 遣返行动执法处（ERO）</v>
      </c>
    </row>
    <row r="201" spans="1:1">
      <c r="A201" s="557" t="str">
        <f>IFERROR(INDEX(职业列表!A:A,SMALL(职业列表!AO$2:AO$106,ROW()-168))&amp;"","")</f>
        <v>USMS / 调查行动处</v>
      </c>
    </row>
    <row r="202" spans="1:1">
      <c r="A202" s="557" t="str">
        <f>IFERROR(INDEX(职业列表!A:A,SMALL(职业列表!AO$2:AO$106,ROW()-168))&amp;"","")</f>
        <v>USMS / 特种行动队（SOG）</v>
      </c>
    </row>
    <row r="203" spans="1:1">
      <c r="A203" s="557" t="str">
        <f>IFERROR(INDEX(职业列表!A:A,SMALL(职业列表!AO$2:AO$106,ROW()-168))&amp;"","")</f>
        <v>陆军 / 传染病医学研究院（USAMRIID）</v>
      </c>
    </row>
    <row r="204" spans="1:1">
      <c r="A204" s="557" t="str">
        <f>IFERROR(INDEX(职业列表!A:A,SMALL(职业列表!AO$2:AO$106,ROW()-168))&amp;"","")</f>
        <v>陆军 / 第902军事情报大队</v>
      </c>
    </row>
    <row r="205" spans="1:1">
      <c r="A205" s="557" t="str">
        <f>IFERROR(INDEX(职业列表!A:A,SMALL(职业列表!AO$2:AO$106,ROW()-168))&amp;"","")</f>
        <v>陆军 / 第10山地师</v>
      </c>
    </row>
    <row r="206" spans="1:1">
      <c r="A206" s="557" t="str">
        <f>IFERROR(INDEX(职业列表!A:A,SMALL(职业列表!AO$2:AO$106,ROW()-168))&amp;"","")</f>
        <v>陆军 / 第1旅，第1骑兵师（“铁马旅”）</v>
      </c>
    </row>
    <row r="207" spans="1:1">
      <c r="A207" s="557" t="str">
        <f>IFERROR(INDEX(职业列表!A:A,SMALL(职业列表!AO$2:AO$106,ROW()-168))&amp;"","")</f>
        <v>陆军 / 医疗兵团</v>
      </c>
    </row>
    <row r="208" spans="1:1">
      <c r="A208" s="557" t="str">
        <f>IFERROR(INDEX(职业列表!A:A,SMALL(职业列表!AO$2:AO$106,ROW()-168))&amp;"","")</f>
        <v>陆军SOCOM / 第1特种作战群</v>
      </c>
    </row>
    <row r="209" spans="1:1">
      <c r="A209" s="557" t="str">
        <f>IFERROR(INDEX(职业列表!A:A,SMALL(职业列表!AO$2:AO$106,ROW()-168))&amp;"","")</f>
        <v>陆军SOCOM / 第75游骑兵团</v>
      </c>
    </row>
    <row r="210" spans="1:1">
      <c r="A210" s="557" t="str">
        <f>IFERROR(INDEX(职业列表!A:A,SMALL(职业列表!AO$2:AO$106,ROW()-168))&amp;"","")</f>
        <v>陆军SOCOM / 第4军事信息支援大队</v>
      </c>
    </row>
    <row r="211" spans="1:1">
      <c r="A211" s="557" t="str">
        <f>IFERROR(INDEX(职业列表!A:A,SMALL(职业列表!AO$2:AO$106,ROW()-168))&amp;"","")</f>
        <v>陆军SOCOM / 第160特种作战航空团（“暗夜潜行者”）</v>
      </c>
    </row>
    <row r="212" spans="1:1">
      <c r="A212" s="557" t="str">
        <f>IFERROR(INDEX(职业列表!A:A,SMALL(职业列表!AO$2:AO$106,ROW()-168))&amp;"","")</f>
        <v>陆军SOCOM / 情报支持行动处</v>
      </c>
    </row>
    <row r="213" spans="1:1">
      <c r="A213" s="557" t="str">
        <f>IFERROR(INDEX(职业列表!A:A,SMALL(职业列表!AO$2:AO$106,ROW()-168))&amp;"","")</f>
        <v>空军 / 第41救援中队</v>
      </c>
    </row>
    <row r="214" spans="1:1">
      <c r="A214" s="557" t="str">
        <f>IFERROR(INDEX(职业列表!A:A,SMALL(职业列表!AO$2:AO$106,ROW()-168))&amp;"","")</f>
        <v>空军 / 614航空航天运营中心</v>
      </c>
    </row>
    <row r="215" spans="1:1">
      <c r="A215" s="557" t="str">
        <f>IFERROR(INDEX(职业列表!A:A,SMALL(职业列表!AO$2:AO$106,ROW()-168))&amp;"","")</f>
        <v>空军 / 432d行动小组</v>
      </c>
    </row>
    <row r="216" spans="1:1">
      <c r="A216" s="557" t="str">
        <f>IFERROR(INDEX(职业列表!A:A,SMALL(职业列表!AO$2:AO$106,ROW()-168))&amp;"","")</f>
        <v>空军 / 第70情报、监视和侦察（ISR）联队</v>
      </c>
    </row>
    <row r="217" spans="1:1">
      <c r="A217" s="557" t="str">
        <f>IFERROR(INDEX(职业列表!A:A,SMALL(职业列表!AO$2:AO$106,ROW()-168))&amp;"","")</f>
        <v>空军 / 第354战斗机中队</v>
      </c>
    </row>
    <row r="218" spans="1:1">
      <c r="A218" s="557" t="str">
        <f>IFERROR(INDEX(职业列表!A:A,SMALL(职业列表!AO$2:AO$106,ROW()-168))&amp;"","")</f>
        <v>空军 / 第318网络空间运营小组</v>
      </c>
    </row>
    <row r="219" spans="1:1">
      <c r="A219" s="557" t="str">
        <f>IFERROR(INDEX(职业列表!A:A,SMALL(职业列表!AO$2:AO$106,ROW()-168))&amp;"","")</f>
        <v>空军SOCOM / 第24特战联队，第720特种战术大队</v>
      </c>
    </row>
    <row r="220" spans="1:1">
      <c r="A220" s="557" t="str">
        <f>IFERROR(INDEX(职业列表!A:A,SMALL(职业列表!AO$2:AO$106,ROW()-168))&amp;"","")</f>
        <v>海军 / 罪案调查处（NCIS）</v>
      </c>
    </row>
    <row r="221" spans="1:1">
      <c r="A221" s="557" t="str">
        <f>IFERROR(INDEX(职业列表!A:A,SMALL(职业列表!AO$2:AO$106,ROW()-168))&amp;"","")</f>
        <v>海军 / 爆炸品处理部队（EOD）</v>
      </c>
    </row>
    <row r="222" spans="1:1">
      <c r="A222" s="557" t="str">
        <f>IFERROR(INDEX(职业列表!A:A,SMALL(职业列表!AO$2:AO$106,ROW()-168))&amp;"","")</f>
        <v>海军 / 医务兵</v>
      </c>
    </row>
    <row r="223" spans="1:1">
      <c r="A223" s="557" t="str">
        <f>IFERROR(INDEX(职业列表!A:A,SMALL(职业列表!AO$2:AO$106,ROW()-168))&amp;"","")</f>
        <v>海军SOCOM / 特种作战开发群&amp;三栖特战队第一小队</v>
      </c>
    </row>
    <row r="224" spans="1:1">
      <c r="A224" s="557" t="str">
        <f>IFERROR(INDEX(职业列表!A:A,SMALL(职业列表!AO$2:AO$106,ROW()-168))&amp;"","")</f>
        <v>海军陆战队 / 武装侦察部队</v>
      </c>
    </row>
    <row r="225" spans="1:1">
      <c r="A225" s="557" t="str">
        <f>IFERROR(INDEX(职业列表!A:A,SMALL(职业列表!AO$2:AO$106,ROW()-168))&amp;"","")</f>
        <v>海军陆战队 / 公共事务处战地摄影师</v>
      </c>
    </row>
    <row r="226" spans="1:1">
      <c r="A226" s="557" t="str">
        <f>IFERROR(INDEX(职业列表!A:A,SMALL(职业列表!AO$2:AO$106,ROW()-168))&amp;"","")</f>
        <v>海军陆战队 / 海上特殊目的部队</v>
      </c>
    </row>
    <row r="227" spans="1:1">
      <c r="A227" s="557" t="str">
        <f>IFERROR(INDEX(职业列表!A:A,SMALL(职业列表!AO$2:AO$106,ROW()-168))&amp;"","")</f>
        <v>海军陆战队 / 海军陆战保安团</v>
      </c>
    </row>
    <row r="228" spans="1:1">
      <c r="A228" s="557" t="str">
        <f>IFERROR(INDEX(职业列表!A:A,SMALL(职业列表!AO$2:AO$106,ROW()-168))&amp;"","")</f>
        <v>海军陆战队SOCOM / 陆战队突击团</v>
      </c>
    </row>
    <row r="229" spans="1:1">
      <c r="A229" s="557" t="str">
        <f>IFERROR(INDEX(职业列表!A:A,SMALL(职业列表!AO$2:AO$106,ROW()-168))&amp;"","")</f>
        <v>CIA / 行动处（DO）</v>
      </c>
    </row>
    <row r="230" spans="1:1">
      <c r="A230" s="557" t="str">
        <f>IFERROR(INDEX(职业列表!A:A,SMALL(职业列表!AO$2:AO$106,ROW()-168))&amp;"","")</f>
        <v>CIA / 特别活动处特种作战组（SAD/SOG）</v>
      </c>
    </row>
    <row r="231" spans="1:1">
      <c r="A231" s="557" t="str">
        <f>IFERROR(INDEX(职业列表!A:A,SMALL(职业列表!AO$2:AO$106,ROW()-168))&amp;"","")</f>
        <v>CIA / 特别活动处政治行动组（SAD/PAG）</v>
      </c>
    </row>
    <row r="232" spans="1:1">
      <c r="A232" s="557" t="str">
        <f>IFERROR(INDEX(职业列表!A:A,SMALL(职业列表!AO$2:AO$106,ROW()-168))&amp;"","")</f>
        <v>CIA / 分析科（DA）</v>
      </c>
    </row>
    <row r="233" spans="1:1">
      <c r="A233" s="557" t="str">
        <f>IFERROR(INDEX(职业列表!A:A,SMALL(职业列表!AO$2:AO$106,ROW()-168))&amp;"","")</f>
        <v>DOS / 西半球事务局</v>
      </c>
    </row>
    <row r="234" spans="1:1">
      <c r="A234" s="557" t="str">
        <f>IFERROR(INDEX(职业列表!A:A,SMALL(职业列表!AO$2:AO$106,ROW()-168))&amp;"","")</f>
        <v>DOS / 外交安全局（FSO）</v>
      </c>
    </row>
    <row r="235" spans="1:1">
      <c r="A235" s="557" t="str">
        <f>IFERROR(INDEX(职业列表!A:A,SMALL(职业列表!AO$2:AO$106,ROW()-168))&amp;"","")</f>
        <v>DOS / 外交信使</v>
      </c>
    </row>
    <row r="236" spans="1:1">
      <c r="A236" s="557" t="str">
        <f>IFERROR(INDEX(职业列表!A:A,SMALL(职业列表!AO$2:AO$106,ROW()-168))&amp;"","")</f>
        <v>DOS / 国际毒品与执法事务局（INL）</v>
      </c>
    </row>
    <row r="237" spans="1:1">
      <c r="A237" s="557" t="str">
        <f>IFERROR(INDEX(职业列表!A:A,SMALL(职业列表!AO$2:AO$106,ROW()-168))&amp;"","")</f>
        <v>DOS / 情报研究局（INR）</v>
      </c>
    </row>
    <row r="238" spans="1:1">
      <c r="A238" s="557" t="str">
        <f>IFERROR(INDEX(职业列表!A:A,SMALL(职业列表!AO$2:AO$106,ROW()-168))&amp;"","")</f>
        <v>CDC / 预防和应对中心</v>
      </c>
    </row>
    <row r="239" spans="1:1">
      <c r="A239" s="557" t="str">
        <f>IFERROR(INDEX(职业列表!A:A,SMALL(职业列表!AO$2:AO$106,ROW()-168))&amp;"","")</f>
        <v>CDC / 紧急行动中心</v>
      </c>
    </row>
    <row r="240" spans="1:1">
      <c r="A240" s="557" t="str">
        <f>IFERROR(INDEX(职业列表!A:A,SMALL(职业列表!AO$2:AO$106,ROW()-168))&amp;"","")</f>
        <v>CDC / 全球快速反应小组（RRT）</v>
      </c>
    </row>
    <row r="241" spans="1:1">
      <c r="A241" s="557" t="str">
        <f>IFERROR(INDEX(职业列表!A:A,SMALL(职业列表!AO$2:AO$106,ROW()-168))&amp;"","")</f>
        <v>CDC / 公共卫生服务军官团（PHSCC）</v>
      </c>
    </row>
    <row r="242" spans="1:1">
      <c r="A242" s="557" t="str">
        <f>IFERROR(INDEX(职业列表!A:A,SMALL(职业列表!AO$2:AO$106,ROW()-168))&amp;"","")</f>
        <v>EPA / 刑事执法、司法鉴证与培训处（OCEFT）</v>
      </c>
    </row>
    <row r="243" spans="1:1">
      <c r="A243" s="557" t="str">
        <f>IFERROR(INDEX(职业列表!A:A,SMALL(职业列表!AO$2:AO$106,ROW()-168))&amp;"","")</f>
        <v>EPA / 区域办事处专家</v>
      </c>
    </row>
    <row r="244" spans="1:1">
      <c r="A244" s="557" t="str">
        <f>IFERROR(INDEX(职业列表!A:A,SMALL(职业列表!AO$2:AO$106,ROW()-168))&amp;"","")</f>
        <v>CBP / 边境保护（预先清关或入国审查）（OFO/P）</v>
      </c>
    </row>
    <row r="245" spans="1:1">
      <c r="A245" s="557" t="str">
        <f>IFERROR(INDEX(职业列表!A:A,SMALL(职业列表!AO$2:AO$106,ROW()-168))&amp;"","")</f>
        <v>CBP / 海上拦截（AMO/MI）</v>
      </c>
    </row>
    <row r="246" spans="1:1">
      <c r="A246" s="557" t="str">
        <f>IFERROR(INDEX(职业列表!A:A,SMALL(职业列表!AO$2:AO$106,ROW()-168))&amp;"","")</f>
        <v>CBP / 检测犬项目（OFO/K9）</v>
      </c>
    </row>
    <row r="247" spans="1:1">
      <c r="A247" s="557" t="str">
        <f>IFERROR(INDEX(职业列表!A:A,SMALL(职业列表!AO$2:AO$106,ROW()-168))&amp;"","")</f>
        <v>CBP / 边境巡逻队</v>
      </c>
    </row>
    <row r="248" spans="1:1">
      <c r="A248" s="557" t="str">
        <f>IFERROR(INDEX(职业列表!A:A,SMALL(职业列表!AO$2:AO$106,ROW()-168))&amp;"","")</f>
        <v>CBP / 边境巡逻队战术单位（SOG/BORTAC）</v>
      </c>
    </row>
    <row r="249" spans="1:1">
      <c r="A249" s="557" t="str">
        <f>IFERROR(INDEX(职业列表!A:A,SMALL(职业列表!AO$2:AO$106,ROW()-168))&amp;"","")</f>
        <v>CBP / 边境巡逻队搜索、创伤与救援单位（SOG/BORSTAR）</v>
      </c>
    </row>
    <row r="250" spans="1:1">
      <c r="A250" s="557" t="str">
        <f>IFERROR(INDEX(职业列表!A:A,SMALL(职业列表!AO$2:AO$106,ROW()-168))&amp;"","")</f>
        <v>CBP / 国家空中安全行动（AMO/NASO）</v>
      </c>
    </row>
    <row r="251" spans="1:1">
      <c r="A251" s="557" t="str">
        <f>IFERROR(INDEX(职业列表!A:A,SMALL(职业列表!AO$2:AO$106,ROW()-168))&amp;"","")</f>
        <v>ATF / 特种犬项目（SRT/K9）</v>
      </c>
    </row>
    <row r="252" spans="1:1">
      <c r="A252" s="557" t="str">
        <f>IFERROR(INDEX(职业列表!A:A,SMALL(职业列表!AO$2:AO$106,ROW()-168))&amp;"","")</f>
        <v>ATF / 特种医疗项目（SRT/TMP）</v>
      </c>
    </row>
    <row r="253" spans="1:1">
      <c r="A253" s="557" t="str">
        <f>IFERROR(INDEX(职业列表!A:A,SMALL(职业列表!AO$2:AO$106,ROW()-168))&amp;"","")</f>
        <v>ATF / 特种行动（SRT/TO）</v>
      </c>
    </row>
    <row r="254" spans="1:1">
      <c r="A254" s="557" t="str">
        <f>IFERROR(INDEX(职业列表!A:A,SMALL(职业列表!AO$2:AO$106,ROW()-168))&amp;"","")</f>
        <v>ATF / 外勤行动及调查办公室（OFO）</v>
      </c>
    </row>
    <row r="255" spans="1:1">
      <c r="A255" s="557" t="str">
        <f>IFERROR(INDEX(职业列表!A:A,SMALL(职业列表!AO$2:AO$106,ROW()-168))&amp;"","")</f>
        <v>ATF / 刑事侦查分析员</v>
      </c>
    </row>
    <row r="256" spans="1:1">
      <c r="A256" s="557" t="str">
        <f>IFERROR(INDEX(职业列表!A:A,SMALL(职业列表!AO$2:AO$106,ROW()-168))&amp;"","")</f>
        <v>ATF / 爆炸物专家</v>
      </c>
    </row>
    <row r="257" spans="1:1">
      <c r="A257" s="557" t="str">
        <f>IFERROR(INDEX(职业列表!A:A,SMALL(职业列表!AO$2:AO$106,ROW()-168))&amp;"","")</f>
        <v>USSS / 保护情报和评估处（PID）</v>
      </c>
    </row>
    <row r="258" spans="1:1">
      <c r="A258" s="557" t="str">
        <f>IFERROR(INDEX(职业列表!A:A,SMALL(职业列表!AO$2:AO$106,ROW()-168))&amp;"","")</f>
        <v>USSS / 贴身警卫处（PPD）</v>
      </c>
    </row>
    <row r="259" spans="1:1">
      <c r="A259" s="557" t="str">
        <f>IFERROR(INDEX(职业列表!A:A,SMALL(职业列表!AO$2:AO$106,ROW()-168))&amp;"","")</f>
        <v>USSS / 反突击组（CAT）</v>
      </c>
    </row>
    <row r="260" spans="1:1">
      <c r="A260" s="557" t="str">
        <f>IFERROR(INDEX(职业列表!A:A,SMALL(职业列表!AO$2:AO$106,ROW()-168))&amp;"","")</f>
        <v>USSS / 财务行政、专业和技术支助（F-ATP）</v>
      </c>
    </row>
    <row r="261" spans="1:1">
      <c r="A261" s="557" t="str">
        <f>IFERROR(INDEX(职业列表!A:A,SMALL(职业列表!AO$2:AO$106,ROW()-168))&amp;"","")</f>
        <v>USCG / 搜救组（SAR）</v>
      </c>
    </row>
    <row r="262" spans="1:1">
      <c r="A262" s="557" t="str">
        <f>IFERROR(INDEX(职业列表!A:A,SMALL(职业列表!AO$2:AO$106,ROW()-168))&amp;"","")</f>
        <v>USCG / 响应政策办公室（CG-5R）</v>
      </c>
    </row>
    <row r="263" spans="1:1">
      <c r="A263" s="557" t="str">
        <f>IFERROR(INDEX(职业列表!A:A,SMALL(职业列表!AO$2:AO$106,ROW()-168))&amp;"","")</f>
        <v>USCG / 调查和伤亡分析办公室（INV）</v>
      </c>
    </row>
    <row r="264" spans="1:1">
      <c r="A264" s="557" t="str">
        <f>IFERROR(INDEX(职业列表!A:A,SMALL(职业列表!AO$2:AO$106,ROW()-168))&amp;"","")</f>
        <v>USCG / 直升机拦截战术中队（HITRON）</v>
      </c>
    </row>
    <row r="265" spans="1:1">
      <c r="A265" s="557" t="str">
        <f>IFERROR(INDEX(职业列表!A:A,SMALL(职业列表!AO$2:AO$106,ROW()-168))&amp;"","")</f>
        <v>USCG / 战术执法分队（TACLET）</v>
      </c>
    </row>
    <row r="266" spans="1:1">
      <c r="A266" s="557" t="str">
        <f>IFERROR(INDEX(职业列表!A:A,SMALL(职业列表!AO$2:AO$106,ROW()-168))&amp;"","")</f>
        <v>USCG / 海上安全和保安队（MSST）</v>
      </c>
    </row>
    <row r="267" spans="1:1">
      <c r="A267" s="557" t="str">
        <f>IFERROR(INDEX(职业列表!A:A,SMALL(职业列表!AO$2:AO$106,ROW()-168))&amp;"","")</f>
        <v>USCG / 海上保安应变队（MSRT）</v>
      </c>
    </row>
    <row r="268" spans="1:1">
      <c r="A268" s="557" t="str">
        <f>IFERROR(INDEX(职业列表!A:A,SMALL(职业列表!AO$2:AO$106,ROW()-168))&amp;"","")</f>
        <v>USCG / 国家打击部队（NSF）</v>
      </c>
    </row>
    <row r="269" spans="1:1">
      <c r="A269" s="557" t="str">
        <f>IFERROR(INDEX(职业列表!A:A,SMALL(职业列表!AO$2:AO$106,ROW()-168))&amp;"","")</f>
        <v/>
      </c>
    </row>
    <row r="270" spans="1:1">
      <c r="A270" s="557" t="str">
        <f>IFERROR(INDEX(职业列表!A:A,SMALL(职业列表!AO$2:AO$106,ROW()-168))&amp;"","")</f>
        <v/>
      </c>
    </row>
    <row r="271" spans="1:1">
      <c r="A271" s="557" t="str">
        <f>IFERROR(INDEX(职业列表!A:A,SMALL(职业列表!AO$2:AO$106,ROW()-168))&amp;"","")</f>
        <v/>
      </c>
    </row>
    <row r="272" spans="1:1">
      <c r="A272" s="557" t="str">
        <f>IFERROR(INDEX(职业列表!A:A,SMALL(职业列表!AO$2:AO$106,ROW()-168))&amp;"","")</f>
        <v/>
      </c>
    </row>
    <row r="273" spans="1:1">
      <c r="A273" s="557" t="str">
        <f>IFERROR(INDEX(职业列表!A:A,SMALL(职业列表!AO$2:AO$106,ROW()-168))&amp;"","")</f>
        <v/>
      </c>
    </row>
    <row r="284" spans="1:1">
      <c r="A284" s="572"/>
    </row>
  </sheetData>
  <sheetProtection selectLockedCells="1"/>
  <pageMargins left="0.7" right="0.7" top="0.75" bottom="0.75" header="0.3" footer="0.3"/>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4C6E7"/>
  </sheetPr>
  <dimension ref="A1"/>
  <sheetViews>
    <sheetView workbookViewId="0">
      <selection activeCell="A1" sqref="A1"/>
    </sheetView>
  </sheetViews>
  <sheetFormatPr defaultColWidth="8.66666666666667" defaultRowHeight="14"/>
  <sheetData/>
  <pageMargins left="0.75" right="0.75" top="1" bottom="1" header="0.5" footer="0.5"/>
  <headerFooter/>
</worksheet>
</file>

<file path=xl/worksheets/sheet8.xml><?xml version="1.0" encoding="utf-8"?>
<x:worksheet xmlns:x="http://schemas.openxmlformats.org/spreadsheetml/2006/main">
  <x:sheetPr>
    <x:tabColor rgb="FFB4C6E7"/>
    <x:pageSetUpPr fitToPage="1"/>
  </x:sheetPr>
  <x:sheetViews>
    <x:sheetView showGridLines="0" workbookViewId="0" tabSelected="0">
      <x:pane ySplit="10" topLeftCell="A11" activePane="bottomLeft" state="frozen"/>
    </x:sheetView>
  </x:sheetViews>
  <x:sheetFormatPr defaultRowHeight="15"/>
  <x:cols>
    <x:col min="1" max="1" width="14" hidden="0" customWidth="1"/>
    <x:col min="2" max="2" width="110" hidden="0" customWidth="1"/>
  </x:cols>
  <x:sheetData>
    <x:row r="1" ht="32" customHeight="1">
      <x:c r="A1" s="656" t="str">
        <x:v>绿色三角洲人物卡｜更新记录</x:v>
      </x:c>
      <x:c r="B1" s="656" t="str">
        <x:v>绿色三角洲人物卡｜更新记录</x:v>
      </x:c>
    </x:row>
    <x:row r="2" ht="7" customHeight="1">
      <x:c r="A2" s="657"/>
      <x:c r="B2" s="657"/>
    </x:row>
    <x:row r="3" ht="24" customHeight="1">
      <x:c r="A3" s="658" t="str">
        <x:v>原版作者</x:v>
      </x:c>
      <x:c r="B3" s="657" t="str">
        <x:v>DKWings</x:v>
      </x:c>
    </x:row>
    <x:row r="4" ht="24" customHeight="1">
      <x:c r="A4" s="658" t="str">
        <x:v>联系方式</x:v>
      </x:c>
      <x:c r="B4" s="659" t="str">
        <x:v>QQ：280848250　Email：dkwings@gmail.com</x:v>
      </x:c>
    </x:row>
    <x:row r="5" ht="24" customHeight="1">
      <x:c r="A5" s="658" t="str">
        <x:v>后续改版</x:v>
      </x:c>
      <x:c r="B5" s="657" t="str">
        <x:v>v0.4之后：Lindrich King　QQ：2113155803</x:v>
      </x:c>
    </x:row>
    <x:row r="6" ht="24" customHeight="1">
      <x:c r="A6" s="658" t="str">
        <x:v>项目仓库</x:v>
      </x:c>
      <x:c r="B6" s="659" t="str">
        <x:v>https://github.com/Shylosia/DeltaGreen</x:v>
      </x:c>
    </x:row>
    <x:row r="7" ht="24" customHeight="1">
      <x:c r="A7" s="658" t="str">
        <x:v>当前版本</x:v>
      </x:c>
      <x:c r="B7" s="657" t="str">
        <x:v>v1.8</x:v>
      </x:c>
    </x:row>
    <x:row r="8" ht="24" customHeight="1">
      <x:c r="A8" s="659" t="str">
        <x:v>返回人物卡</x:v>
      </x:c>
      <x:c r="B8" s="659" t="str">
        <x:v>绿箱生成器</x:v>
      </x:c>
    </x:row>
    <x:row r="9" ht="7" customHeight="1">
      <x:c r="A9" s="657"/>
      <x:c r="B9" s="657"/>
    </x:row>
    <x:row r="10" ht="25" customHeight="1">
      <x:c r="A10" s="660" t="str">
        <x:v>版本</x:v>
      </x:c>
      <x:c r="B10" s="660" t="str">
        <x:v>更新内容</x:v>
      </x:c>
    </x:row>
    <x:row r="11" ht="28" customHeight="1">
      <x:c r="A11" s="661" t="str">
        <x:v>v1.8</x:v>
      </x:c>
      <x:c r="B11" s="662" t="str">
        <x:v>固定工艺技能匹配修正（2026-09-22）</x:v>
      </x:c>
    </x:row>
    <x:row r="12" ht="46" customHeight="1">
      <x:c r="A12" s="661"/>
      <x:c r="B12" s="663" t="str">
        <x:v>固定工艺按主卡已有的专攻名称匹配，调整到其他工艺行后仍计入职业值；原位置优先，同名只计一次，无匹配时仍待填，不改写玩家输入。</x:v>
      </x:c>
    </x:row>
    <x:row r="13" ht="46" customHeight="1">
      <x:c r="A13" s="661"/>
      <x:c r="B13" s="663" t="str">
        <x:v>核对计算机科学家或工程师的电工30%、机械30%、微电子40%及相关模板；工艺下拉补入“电子学”，四个工艺名称格均可选择，保留“电子”和“微电子”为独立选项。</x:v>
      </x:c>
    </x:row>
    <x:row r="14" ht="46" customHeight="1">
      <x:c r="A14" s="661"/>
      <x:c r="B14" s="663" t="str">
        <x:v>保留人物卡版式、职业任选规则、技能包逐项替换与额外技能联动；同步角色版、公开空白母版和更新记录为v1.8。</x:v>
      </x:c>
    </x:row>
    <x:row r="15" ht="6" customHeight="1">
      <x:c r="A15" s="657"/>
      <x:c r="B15" s="657"/>
    </x:row>
    <x:row r="16" ht="28" customHeight="1">
      <x:c r="A16" s="661" t="str">
        <x:v>v1.7</x:v>
      </x:c>
      <x:c r="B16" s="662" t="str">
        <x:v>技能包单项替换与分配统计（2026-09-22）</x:v>
      </x:c>
    </x:row>
    <x:row r="17" ht="28" customHeight="1">
      <x:c r="A17" s="661"/>
      <x:c r="B17" s="663" t="str">
        <x:v>技能包的模板固定项也可在右栏替换；例如将运动员的一项换成其他技能，清空手选后恢复该模板默认项。</x:v>
      </x:c>
    </x:row>
    <x:row r="18" ht="46" customHeight="1">
      <x:c r="A18" s="661"/>
      <x:c r="B18" s="663" t="str">
        <x:v>保留八项各+20、同一技能可重复分配及创建上限80%；非自然知识不能通过技能包提升，原有任选与专攻范围保持不变。</x:v>
      </x:c>
    </x:row>
    <x:row r="19" ht="28" customHeight="1">
      <x:c r="A19" s="661"/>
      <x:c r="B19" s="663" t="str">
        <x:v>将分配统计移到第八项技能之后，八项连续排列，便于逐项核对。</x:v>
      </x:c>
    </x:row>
    <x:row r="20" ht="28" customHeight="1">
      <x:c r="A20" s="661"/>
      <x:c r="B20" s="663" t="str">
        <x:v>保留原人物卡行高、列宽及其余联动；同步角色版、公开空白母版和更新记录为v1.7。</x:v>
      </x:c>
    </x:row>
    <x:row r="21" ht="6" customHeight="1">
      <x:c r="A21" s="657"/>
      <x:c r="B21" s="657"/>
    </x:row>
    <x:row r="22" ht="28" customHeight="1">
      <x:c r="A22" s="661" t="str">
        <x:v>v1.6</x:v>
      </x:c>
      <x:c r="B22" s="662" t="str">
        <x:v>导航、模组备忘录与打印占位（2026-09-22）</x:v>
      </x:c>
    </x:row>
    <x:row r="23" ht="46" customHeight="1">
      <x:c r="A23" s="661"/>
      <x:c r="B23" s="663" t="str">
        <x:v>规则速查由68个分类链接精简为12个主题导航；冻结前8行替代原25行，保留538条正文，并提示筛选后先清除筛选再跳转。</x:v>
      </x:c>
    </x:row>
    <x:row r="24" ht="28" customHeight="1">
      <x:c r="A24" s="661"/>
      <x:c r="B24" s="663" t="str">
        <x:v>清理规则速查、精神疾病与参考选项中的出处栏目及备注末尾出处行，参考内容仍完整留在工作表中。</x:v>
      </x:c>
    </x:row>
    <x:row r="25" ht="28" customHeight="1">
      <x:c r="A25" s="661"/>
      <x:c r="B25" s="663" t="str">
        <x:v>新增20条空白场次的模组经历备忘录，可记录日期、行动、掌局者、同行特工、结果、角色变化与下次备忘。</x:v>
      </x:c>
    </x:row>
    <x:row r="26" ht="46" customHeight="1">
      <x:c r="A26" s="661"/>
      <x:c r="B26" s="663" t="str">
        <x:v>主卡底部和备忘录加入绿箱生成器、规则速查和版本记录入口；绿箱地址为 https://greenbox.thebackstop.app/。</x:v>
      </x:c>
    </x:row>
    <x:row r="27" ht="28" customHeight="1">
      <x:c r="A27" s="661"/>
      <x:c r="B27" s="663" t="str">
        <x:v>v0.4之后版本改编维护：Lindrich King，QQ：2113155803；保留原版作者DKWings及既有历史记录。</x:v>
      </x:c>
    </x:row>
    <x:row r="28" ht="28" customHeight="1">
      <x:c r="A28" s="661"/>
      <x:c r="B28" s="663" t="str">
        <x:v>项目入口：https://github.com/Shylosia/DeltaGreen。仓库发布空白母版；已填写角色版保留在本地。</x:v>
      </x:c>
    </x:row>
    <x:row r="29" ht="46" customHeight="1">
      <x:c r="A29" s="661"/>
      <x:c r="B29" s="663" t="str">
        <x:v>打印页135处数值或基础等级标签在空白时以0占位；姓名、专攻名称、背景叙述继续留白。未填力量时伤害加成显示0。</x:v>
      </x:c>
    </x:row>
    <x:row r="30" ht="28" customHeight="1">
      <x:c r="A30" s="661"/>
      <x:c r="B30" s="663" t="str">
        <x:v>同步版本v1.6。保留原人物卡与A4表的行高列宽、原有联动及已填写角色内容；新增底部导航不移动原外框。</x:v>
      </x:c>
    </x:row>
    <x:row r="31" ht="28" customHeight="1">
      <x:c r="A31" s="661"/>
      <x:c r="B31" s="663" t="str">
        <x:v>精简属性、规则和操作备注，删除坐标引导、页码引用及重复提示；关闭重复输入浮窗，保留输入错误提示。</x:v>
      </x:c>
    </x:row>
    <x:row r="32" ht="28" customHeight="1">
      <x:c r="A32" s="661"/>
      <x:c r="B32" s="663" t="str">
        <x:v>规则速查去掉条目后的“｜说明”等冗词；参考选项的共用规则集中保留，更新记录按版本倒序排列。</x:v>
      </x:c>
    </x:row>
    <x:row r="33" ht="46" customHeight="1">
      <x:c r="A33" s="661"/>
      <x:c r="B33" s="663" t="str">
        <x:v>统一新增工作表的黑灰、浅蓝配色、字体及细边框，与人物卡保持一致；原人物卡和A4打印表的行列尺寸保持不变。</x:v>
      </x:c>
    </x:row>
    <x:row r="34" ht="28" customHeight="1">
      <x:c r="A34" s="661"/>
      <x:c r="B34" s="663" t="str">
        <x:v>保留职业候选的下拉勾选与空候选隐藏；计数处显示“下拉选”及已选数量，检查选择状态和技能数值联动。</x:v>
      </x:c>
    </x:row>
    <x:row r="35" ht="6" customHeight="1">
      <x:c r="A35" s="657"/>
      <x:c r="B35" s="657"/>
    </x:row>
    <x:row r="36" ht="28" customHeight="1">
      <x:c r="A36" s="661" t="str">
        <x:v>v1.5</x:v>
      </x:c>
      <x:c r="B36" s="662" t="str">
        <x:v>属性备注与可见参考表（2026-09-22）</x:v>
      </x:c>
    </x:row>
    <x:row r="37" ht="28" customHeight="1">
      <x:c r="A37" s="661"/>
      <x:c r="B37" s="663" t="str">
        <x:v>新增45条基础属性和关键输入说明，正文8pt、标题9pt，保留原技能备注。</x:v>
      </x:c>
    </x:row>
    <x:row r="38" ht="28" customHeight="1">
      <x:c r="A38" s="661"/>
      <x:c r="B38" s="663" t="str">
        <x:v>职业任选改为原位☑／☐状态选择，只显示当前职业有效候选，修复固定多余勾选框；切换职业后核对已有选择。</x:v>
      </x:c>
    </x:row>
    <x:row r="39" ht="46" customHeight="1">
      <x:c r="A39" s="661"/>
      <x:c r="B39" s="663" t="str">
        <x:v>规则速查完整保留在工作簿；新增精神疾病与参考选项两张可编辑表，共87条手册参考，精神疾病含18项及细项、永久疯狂。</x:v>
      </x:c>
    </x:row>
    <x:row r="40" ht="28" customHeight="1">
      <x:c r="A40" s="661"/>
      <x:c r="B40" s="663" t="str">
        <x:v>非自然背景心理疾病下拉引用新表适用的8项；特训名称新增14项手册范例下拉，仍可自填。</x:v>
      </x:c>
    </x:row>
    <x:row r="41" ht="46" customHeight="1">
      <x:c r="A41" s="661"/>
      <x:c r="B41" s="663" t="str">
        <x:v>同步主卡、打印页和文档版本为v1.5；保留当前角色填写、原行高列宽与外框排版。状态区仅拆分原文字预留空间。</x:v>
      </x:c>
    </x:row>
    <x:row r="42" ht="28" customHeight="1">
      <x:c r="A42" s="661"/>
      <x:c r="B42" s="663" t="str">
        <x:v>本次交付为xlsx，所有规则和参考内容都在工作表中，无需另开PDF。</x:v>
      </x:c>
    </x:row>
    <x:row r="43" ht="6" customHeight="1">
      <x:c r="A43" s="657"/>
      <x:c r="B43" s="657"/>
    </x:row>
    <x:row r="44" ht="28" customHeight="1">
      <x:c r="A44" s="661" t="str">
        <x:v>v1.4</x:v>
      </x:c>
      <x:c r="B44" s="662" t="str">
        <x:v>装备、额外技能与创伤联动（2026-09-21）</x:v>
      </x:c>
    </x:row>
    <x:row r="45" ht="28" customHeight="1">
      <x:c r="A45" s="661"/>
      <x:c r="B45" s="663" t="str">
        <x:v>54项武器下拉按特工手册v2.0.1，自动带入技能、伤害、穿甲、射程与半径；增加护甲和特训对应项下拉。</x:v>
      </x:c>
    </x:row>
    <x:row r="46" ht="28" customHeight="1">
      <x:c r="A46" s="661"/>
      <x:c r="B46" s="663" t="str">
        <x:v>技能包自动分配八次+20；原框内选择可选项，科学等细项直接读取主卡，支持个人特长重复分配和80上限提示。</x:v>
      </x:c>
    </x:row>
    <x:row r="47" ht="28" customHeight="1">
      <x:c r="A47" s="661"/>
      <x:c r="B47" s="663" t="str">
        <x:v>创伤背景联动神秘学、非自然知识、理智、毅力、意志、魅力、适应与关系；艰苦经历五项在原框填写。</x:v>
      </x:c>
    </x:row>
    <x:row r="48" ht="28" customHeight="1">
      <x:c r="A48" s="661"/>
      <x:c r="B48" s="663" t="str">
        <x:v>创伤区填写原始意志与魅力，属性区显示修正后的数值；普通三种创伤不自动重置崩溃点。</x:v>
      </x:c>
    </x:row>
    <x:row r="49" ht="28" customHeight="1">
      <x:c r="A49" s="661"/>
      <x:c r="B49" s="663" t="str">
        <x:v>新增规则速查工作表：纯Excel文字表格，补齐检定、对抗、战斗、治疗及理智等；冲突以指定特工手册为准。</x:v>
      </x:c>
    </x:row>
    <x:row r="50" ht="28" customHeight="1">
      <x:c r="A50" s="661"/>
      <x:c r="B50" s="663" t="str">
        <x:v>保持原行高、列宽与既有合并；新增输入仅用原空白区域；人物卡A4可编辑打印表仍置于最后。</x:v>
      </x:c>
    </x:row>
    <x:row r="51" ht="6" customHeight="1">
      <x:c r="A51" s="657"/>
      <x:c r="B51" s="657"/>
    </x:row>
    <x:row r="52" ht="28" customHeight="1">
      <x:c r="A52" s="661" t="str">
        <x:v>v1.3</x:v>
      </x:c>
      <x:c r="B52" s="662" t="str">
        <x:v>原位职业选择与可编辑A4打印（2026-09-21）</x:v>
      </x:c>
    </x:row>
    <x:row r="53" ht="28" customHeight="1">
      <x:c r="A53" s="661"/>
      <x:c r="B53" s="663" t="str">
        <x:v>原职业候选框直接勾选，职业值由隐藏表自动计算；使用普通查表公式。</x:v>
      </x:c>
    </x:row>
    <x:row r="54" ht="28" customHeight="1">
      <x:c r="A54" s="661"/>
      <x:c r="B54" s="663" t="str">
        <x:v>科学、外语、工艺等细项直接填入人物卡对应格，不再跳到职业选项页。</x:v>
      </x:c>
    </x:row>
    <x:row r="55" ht="28" customHeight="1">
      <x:c r="A55" s="661"/>
      <x:c r="B55" s="663" t="str">
        <x:v>人类学／考古学的固定二选一在职业框内补充选择格；重复、超选和未填细项仍提示。</x:v>
      </x:c>
    </x:row>
    <x:row r="56" ht="28" customHeight="1">
      <x:c r="A56" s="661"/>
      <x:c r="B56" s="663" t="str">
        <x:v>保留当前角色输入；切换职业后核对旧选择和细项。</x:v>
      </x:c>
    </x:row>
    <x:row r="57" ht="28" customHeight="1">
      <x:c r="A57" s="661"/>
      <x:c r="B57" s="663" t="str">
        <x:v>备注正文8pt、标题9pt，删除尾部空白并按实际文字收紧备注框。</x:v>
      </x:c>
    </x:row>
    <x:row r="58" ht="28" customHeight="1">
      <x:c r="A58" s="661"/>
      <x:c r="B58" s="663" t="str">
        <x:v>末页重建为纯单元格文字与边框表格，无底图或文字框；完整引用人物数据，仍为两页A4。</x:v>
      </x:c>
    </x:row>
    <x:row r="59" ht="28" customHeight="1">
      <x:c r="A59" s="661"/>
      <x:c r="B59" s="663" t="str">
        <x:v>原人物卡行高、列宽和既有合并位置保留；二选一输入使用职业框原空白位置。</x:v>
      </x:c>
    </x:row>
    <x:row r="60" ht="6" customHeight="1">
      <x:c r="A60" s="657"/>
      <x:c r="B60" s="657"/>
    </x:row>
    <x:row r="61" ht="28" customHeight="1">
      <x:c r="A61" s="661" t="str">
        <x:v>v1.2</x:v>
      </x:c>
      <x:c r="B61" s="662" t="str">
        <x:v>技能悬停说明（2026-09-21）</x:v>
      </x:c>
    </x:row>
    <x:row r="62" ht="28" customHeight="1">
      <x:c r="A62" s="661"/>
      <x:c r="B62" s="663" t="str">
        <x:v>人物卡43种技能、56个技能名称格新增备注；鼠标悬停即可查看基础等级与完整说明。</x:v>
      </x:c>
    </x:row>
    <x:row r="63" ht="28" customHeight="1">
      <x:c r="A63" s="661"/>
      <x:c r="B63" s="663" t="str">
        <x:v>专攻技能各重复栏位均可查看；清理原文页眉、页码及断行，脚注按所属技能归位。</x:v>
      </x:c>
    </x:row>
    <x:row r="64" ht="28" customHeight="1">
      <x:c r="A64" s="661"/>
      <x:c r="B64" s="663" t="str">
        <x:v>保留原技能规则与措辞，现有职业勾选联动、原表排版和两页A4打印设置不变。</x:v>
      </x:c>
    </x:row>
    <x:row r="65" ht="6" customHeight="1">
      <x:c r="A65" s="657"/>
      <x:c r="B65" s="657"/>
    </x:row>
    <x:row r="66" ht="28" customHeight="1">
      <x:c r="A66" s="661" t="str">
        <x:v>v1.1</x:v>
      </x:c>
      <x:c r="B66" s="662" t="str">
        <x:v>职业任选勾选联动（2026-09-21）</x:v>
      </x:c>
    </x:row>
    <x:row r="67" ht="28" customHeight="1">
      <x:c r="A67" s="661"/>
      <x:c r="B67" s="663" t="str">
        <x:v>点击人物卡候选文字直达职业选项，勾选 N 项；各职业及子模板独立保存。</x:v>
      </x:c>
    </x:row>
    <x:row r="68" ht="28" customHeight="1">
      <x:c r="A68" s="661"/>
      <x:c r="B68" s="663" t="str">
        <x:v>新增职业选项页：固定任选、二选一及候选细项均可设置；点击人物卡提示区定位。</x:v>
      </x:c>
    </x:row>
    <x:row r="69" ht="28" customHeight="1">
      <x:c r="A69" s="661"/>
      <x:c r="B69" s="663" t="str">
        <x:v>职业值取模板最终水平；重复技能提示，超选时任选值暂不计入，取消勾选立即撤回。</x:v>
      </x:c>
    </x:row>
    <x:row r="70" ht="28" customHeight="1">
      <x:c r="A70" s="661"/>
      <x:c r="B70" s="663" t="str">
        <x:v>职业列表缺百分号的候选也可解析；明确的重型武器升级项以50替换40。</x:v>
      </x:c>
    </x:row>
    <x:row r="71" ht="28" customHeight="1">
      <x:c r="A71" s="661"/>
      <x:c r="B71" s="663" t="str">
        <x:v>原表行高、列宽、合并和A4两页打印设置保留；打印数据同步更新。</x:v>
      </x:c>
    </x:row>
    <x:row r="72" ht="28" customHeight="1">
      <x:c r="A72" s="661"/>
      <x:c r="B72" s="663" t="str">
        <x:v>各细项按来源固定占位；先确定职业与细项再填额外、成长，改选后核对。</x:v>
      </x:c>
    </x:row>
    <x:row r="73" ht="6" customHeight="1">
      <x:c r="A73" s="657"/>
      <x:c r="B73" s="657"/>
    </x:row>
    <x:row r="74" ht="28" customHeight="1">
      <x:c r="A74" s="661" t="str">
        <x:v>v1.0</x:v>
      </x:c>
      <x:c r="B74" s="662" t="str">
        <x:v>2026-09-21 · 职业联动与A4打印版</x:v>
      </x:c>
    </x:row>
    <x:row r="75" ht="28" customHeight="1">
      <x:c r="A75" s="661"/>
      <x:c r="B75" s="663" t="str">
        <x:v>新增：最后一张工作表“可打印版（A4）”，保留提供PDF的表框、标题与底纹。</x:v>
      </x:c>
    </x:row>
    <x:row r="76" ht="28" customHeight="1">
      <x:c r="A76" s="661"/>
      <x:c r="B76" s="663" t="str">
        <x:v>打印：原PDF为Letter；新表固定A4纵向、两页、指定打印区域及分页，支持双面长边翻页。</x:v>
      </x:c>
    </x:row>
    <x:row r="77" ht="28" customHeight="1">
      <x:c r="A77" s="661"/>
      <x:c r="B77" s="663" t="str">
        <x:v>联动：打印版自动引用人物卡的身份、属性、衍生属性、技能、关系、背景、装备、武器及特训。</x:v>
      </x:c>
    </x:row>
    <x:row r="78" ht="28" customHeight="1">
      <x:c r="A78" s="661"/>
      <x:c r="B78" s="663" t="str">
        <x:v>续栏：超出原PDF容量的重要关系、细分技能、其他技能和特训转入背面个人详情及备注。</x:v>
      </x:c>
    </x:row>
    <x:row r="79" ht="28" customHeight="1">
      <x:c r="A79" s="661"/>
      <x:c r="B79" s="663" t="str">
        <x:v>职业：选择职业及适用子模板后自动填写固定技能；任选项由玩家确认后填写。</x:v>
      </x:c>
    </x:row>
    <x:row r="80" ht="28" customHeight="1">
      <x:c r="A80" s="661"/>
      <x:c r="B80" s="663" t="str">
        <x:v>修复：职业公式空白时正确回落到基础值；保留额外与成长加点；补全职业下拉前两项。</x:v>
      </x:c>
    </x:row>
    <x:row r="81" ht="28" customHeight="1">
      <x:c r="A81" s="661"/>
      <x:c r="B81" s="663" t="str">
        <x:v>修复：武器致死率保留百分号并填入致死等级列；多项细分技能通过独立行与背面续栏完整呈现。</x:v>
      </x:c>
    </x:row>
    <x:row r="82" ht="28" customHeight="1">
      <x:c r="A82" s="661"/>
      <x:c r="B82" s="663" t="str">
        <x:v>保留：原有工作表的行高、列宽、合并、样式和历史更新记录不变。</x:v>
      </x:c>
    </x:row>
    <x:row r="83" ht="28" customHeight="1">
      <x:c r="A83" s="661"/>
      <x:c r="B83" s="663" t="str">
        <x:v>使用：先在“人物卡”编辑，后选择“可打印版（A4）”打印活动工作表；使用A4纸、100%缩放。</x:v>
      </x:c>
    </x:row>
    <x:row r="84" ht="28" customHeight="1">
      <x:c r="A84" s="661"/>
      <x:c r="B84" s="663" t="str">
        <x:v>注意：手动输入职业格会覆盖该格公式；建议保留母版，每名角色另存一份。</x:v>
      </x:c>
    </x:row>
    <x:row r="85" ht="28" customHeight="1">
      <x:c r="A85" s="661"/>
      <x:c r="B85" s="663" t="str">
        <x:v>说明：新打印页采用高分辨率原版式图与联动文字层；表框不是可单独编辑的Excel单元格。</x:v>
      </x:c>
    </x:row>
    <x:row r="86" ht="28" customHeight="1">
      <x:c r="A86" s="661"/>
      <x:c r="B86" s="663" t="str">
        <x:v>说明：原表没有的伤后急救确认、日常变故、弹药及签字保留空白，供纸上补填。</x:v>
      </x:c>
    </x:row>
    <x:row r="87" ht="28" customHeight="1">
      <x:c r="A87" s="661"/>
      <x:c r="B87" s="663" t="str">
        <x:v>已知：原模板“陆军（陆军）40%”名称异常及特种作战员子模板映射沿用原表。</x:v>
      </x:c>
    </x:row>
    <x:row r="88" ht="28" customHeight="1">
      <x:c r="A88" s="661"/>
      <x:c r="B88" s="663" t="str">
        <x:v>打印页保留原表框及文字结构；原作者信息保留。</x:v>
      </x:c>
    </x:row>
    <x:row r="89" ht="6" customHeight="1">
      <x:c r="A89" s="657"/>
      <x:c r="B89" s="657"/>
    </x:row>
    <x:row r="90" ht="28" customHeight="1">
      <x:c r="A90" s="661" t="str">
        <x:v>v0.4.7</x:v>
      </x:c>
      <x:c r="B90" s="662" t="str">
        <x:v>根据官方中文版规则书（2022-8-28）更新了部分译名。</x:v>
      </x:c>
    </x:row>
    <x:row r="91" ht="28" customHeight="1">
      <x:c r="A91" s="661"/>
      <x:c r="B91" s="663" t="str">
        <x:v>同上，根据新版官方人物卡，去除了“代号”一格。</x:v>
      </x:c>
    </x:row>
    <x:row r="92" ht="28" customHeight="1">
      <x:c r="A92" s="661"/>
      <x:c r="B92" s="663" t="str">
        <x:v>修正了创伤经历-艰苦经历的内容。</x:v>
      </x:c>
    </x:row>
    <x:row r="93" ht="28" customHeight="1">
      <x:c r="A93" s="661"/>
      <x:c r="B93" s="663" t="str">
        <x:v>细节格式修正。</x:v>
      </x:c>
    </x:row>
    <x:row r="94" ht="6" customHeight="1">
      <x:c r="A94" s="657"/>
      <x:c r="B94" s="657"/>
    </x:row>
    <x:row r="95" ht="28" customHeight="1">
      <x:c r="A95" s="661" t="str">
        <x:v>v0.4.6</x:v>
      </x:c>
      <x:c r="B95" s="662" t="str">
        <x:v>修正了Excel 2019或更低版本无法使用职业列表的问题。</x:v>
      </x:c>
    </x:row>
    <x:row r="96" ht="28" customHeight="1">
      <x:c r="A96" s="661"/>
      <x:c r="B96" s="663" t="str">
        <x:v>修正了深色行的成长勾的背景颜色错误的问题。</x:v>
      </x:c>
    </x:row>
    <x:row r="97" ht="6" customHeight="1">
      <x:c r="A97" s="657"/>
      <x:c r="B97" s="657"/>
    </x:row>
    <x:row r="98" ht="28" customHeight="1">
      <x:c r="A98" s="661" t="str">
        <x:v>v0.4.5</x:v>
      </x:c>
      <x:c r="B98" s="662" t="str">
        <x:v>修改：专攻技能的骰子指令现在只使用专攻名（括号内的技能）。</x:v>
      </x:c>
    </x:row>
    <x:row r="99" ht="6" customHeight="1">
      <x:c r="A99" s="657"/>
      <x:c r="B99" s="657"/>
    </x:row>
    <x:row r="100" ht="28" customHeight="1">
      <x:c r="A100" s="661" t="str">
        <x:v>v0.4.4</x:v>
      </x:c>
      <x:c r="B100" s="662" t="str">
        <x:v>修复创伤经历在WPS下显示错误的问题。</x:v>
      </x:c>
    </x:row>
    <x:row r="101" ht="28" customHeight="1">
      <x:c r="A101" s="661"/>
      <x:c r="B101" s="663" t="str">
        <x:v>修正了USSS贴身警卫处的职业技能。</x:v>
      </x:c>
    </x:row>
    <x:row r="102" ht="6" customHeight="1">
      <x:c r="A102" s="657"/>
      <x:c r="B102" s="657"/>
    </x:row>
    <x:row r="103" ht="28" customHeight="1">
      <x:c r="A103" s="661" t="str">
        <x:v>v0.4.3</x:v>
      </x:c>
      <x:c r="B103" s="662" t="str">
        <x:v>新功能：显示职业技能点对应的初始重要关系数。</x:v>
      </x:c>
    </x:row>
    <x:row r="104" ht="28" customHeight="1">
      <x:c r="A104" s="661"/>
      <x:c r="B104" s="663" t="str">
        <x:v>新功能：创伤背景查找表。</x:v>
      </x:c>
    </x:row>
    <x:row r="105" ht="28" customHeight="1">
      <x:c r="A105" s="661"/>
      <x:c r="B105" s="663" t="str">
        <x:v>修复职业技能点计算错误的问题。</x:v>
      </x:c>
    </x:row>
    <x:row r="106" ht="6" customHeight="1">
      <x:c r="A106" s="657"/>
      <x:c r="B106" s="657"/>
    </x:row>
    <x:row r="107" ht="28" customHeight="1">
      <x:c r="A107" s="661" t="str">
        <x:v>v0.4.2</x:v>
      </x:c>
      <x:c r="B107" s="662" t="str">
        <x:v>修复DB在WPS下显示错误的问题。</x:v>
      </x:c>
    </x:row>
    <x:row r="108" ht="6" customHeight="1">
      <x:c r="A108" s="657"/>
      <x:c r="B108" s="657"/>
    </x:row>
    <x:row r="109" ht="28" customHeight="1">
      <x:c r="A109" s="661" t="str">
        <x:v>v0.4.1</x:v>
      </x:c>
      <x:c r="B109" s="662" t="str">
        <x:v>职业模板：为职业模板页添加了5个可以自由编辑的栏。</x:v>
      </x:c>
    </x:row>
    <x:row r="110" ht="28" customHeight="1">
      <x:c r="A110" s="661"/>
      <x:c r="B110" s="663" t="str">
        <x:v>外观：带有职业技能值的技能，基础技能值现在会显示为灰色。</x:v>
      </x:c>
    </x:row>
    <x:row r="111" ht="28" customHeight="1">
      <x:c r="A111" s="661"/>
      <x:c r="B111" s="663" t="str">
        <x:v>修正了部分子模板错误。</x:v>
      </x:c>
    </x:row>
    <x:row r="112" ht="28" customHeight="1">
      <x:c r="A112" s="661"/>
      <x:c r="B112" s="663" t="str">
        <x:v>修正了工艺技能下拉菜单不全的问题。</x:v>
      </x:c>
    </x:row>
    <x:row r="113" ht="6" customHeight="1">
      <x:c r="A113" s="657"/>
      <x:c r="B113" s="657"/>
    </x:row>
    <x:row r="114" ht="28" customHeight="1">
      <x:c r="A114" s="661" t="str">
        <x:v>v0.4.0</x:v>
      </x:c>
      <x:c r="B114" s="662" t="str">
        <x:v>添加了来自CBP、ATF、USSS、USCG的职业模板。</x:v>
      </x:c>
    </x:row>
    <x:row r="115" ht="6" customHeight="1">
      <x:c r="A115" s="657"/>
      <x:c r="B115" s="657"/>
    </x:row>
    <x:row r="116" ht="28" customHeight="1">
      <x:c r="A116" s="661" t="str">
        <x:v>v0.3.1</x:v>
      </x:c>
      <x:c r="B116" s="662" t="str">
        <x:v>修正了创建新职业的本职技能点的叙述。</x:v>
      </x:c>
    </x:row>
    <x:row r="117" ht="6" customHeight="1">
      <x:c r="A117" s="657"/>
      <x:c r="B117" s="657"/>
    </x:row>
    <x:row r="118" ht="28" customHeight="1">
      <x:c r="A118" s="661" t="str">
        <x:v>v0.3.0</x:v>
      </x:c>
      <x:c r="B118" s="662" t="str">
        <x:v>新功能：职业技能模板查询。现在包含《特工手册》上的所有职业。</x:v>
      </x:c>
    </x:row>
    <x:row r="119" ht="28" customHeight="1">
      <x:c r="A119" s="661"/>
      <x:c r="B119" s="663" t="str">
        <x:v>新功能：可选额外技能包查询。</x:v>
      </x:c>
    </x:row>
    <x:row r="120" ht="28" customHeight="1">
      <x:c r="A120" s="661"/>
      <x:c r="B120" s="663" t="str">
        <x:v>新功能：骰子属性设置指令。</x:v>
      </x:c>
    </x:row>
    <x:row r="121" ht="28" customHeight="1">
      <x:c r="A121" s="661"/>
      <x:c r="B121" s="663" t="str">
        <x:v>改动了“总本职技能点”的计算方式：现在是技能值减去基础值。</x:v>
      </x:c>
    </x:row>
    <x:row r="122" ht="6" customHeight="1">
      <x:c r="A122" s="657"/>
      <x:c r="B122" s="657"/>
    </x:row>
    <x:row r="123" ht="28" customHeight="1">
      <x:c r="A123" s="661" t="str">
        <x:v>v0.2.1</x:v>
      </x:c>
      <x:c r="B123" s="662" t="str">
        <x:v>移除非自然知识技能前的方框</x:v>
      </x:c>
    </x:row>
    <x:row r="124" ht="28" customHeight="1">
      <x:c r="A124" s="661"/>
      <x:c r="B124" s="663" t="str">
        <x:v>修复了右栏技能方框无法编辑的问题</x:v>
      </x:c>
    </x:row>
    <x:row r="125" ht="28" customHeight="1">
      <x:c r="A125" s="661"/>
      <x:c r="B125" s="663" t="str">
        <x:v>修复了部分行突出属性颜色错误的问题。</x:v>
      </x:c>
    </x:row>
    <x:row r="126" ht="28" customHeight="1">
      <x:c r="A126" s="661"/>
      <x:c r="B126" s="663" t="str">
        <x:v>增加了几个科学技能。</x:v>
      </x:c>
    </x:row>
    <x:row r="127" ht="6" customHeight="1">
      <x:c r="A127" s="657"/>
      <x:c r="B127" s="657"/>
    </x:row>
    <x:row r="128" ht="28" customHeight="1">
      <x:c r="A128" s="661" t="str">
        <x:v>v0.2.0</x:v>
      </x:c>
      <x:c r="B128" s="662" t="str">
        <x:v>大幅度调整布局</x:v>
      </x:c>
    </x:row>
    <x:row r="129" ht="28" customHeight="1">
      <x:c r="A129" s="661"/>
      <x:c r="B129" s="663" t="str">
        <x:v>增加工艺（电子）</x:v>
      </x:c>
    </x:row>
    <x:row r="130" ht="6" customHeight="1">
      <x:c r="A130" s="657"/>
      <x:c r="B130" s="657"/>
    </x:row>
    <x:row r="131" ht="28" customHeight="1">
      <x:c r="A131" s="661" t="str">
        <x:v>v0.1.2</x:v>
      </x:c>
      <x:c r="B131" s="662" t="str">
        <x:v>自动填写初始衍生属性值</x:v>
      </x:c>
    </x:row>
    <x:row r="132" ht="28" customHeight="1">
      <x:c r="A132" s="661"/>
      <x:c r="B132" s="663" t="str">
        <x:v>修复了WPS体力上限显示错误的问题</x:v>
      </x:c>
    </x:row>
    <x:row r="133" ht="28" customHeight="1">
      <x:c r="A133" s="661"/>
      <x:c r="B133" s="663" t="str">
        <x:v>修复了理智上限应该是99-非自然知识的问题</x:v>
      </x:c>
    </x:row>
    <x:row r="134" ht="28" customHeight="1">
      <x:c r="A134" s="661"/>
      <x:c r="B134" s="663" t="str">
        <x:v>删除了重要关系上限（因为并没有上限）</x:v>
      </x:c>
    </x:row>
    <x:row r="135" ht="28" customHeight="1">
      <x:c r="A135" s="661"/>
      <x:c r="B135" s="663" t="str">
        <x:v>修复了重要关系计数错误的问题</x:v>
      </x:c>
    </x:row>
    <x:row r="136" ht="28" customHeight="1">
      <x:c r="A136" s="661"/>
      <x:c r="B136" s="663" t="str">
        <x:v>调整外观</x:v>
      </x:c>
    </x:row>
    <x:row r="137" ht="6" customHeight="1">
      <x:c r="A137" s="657"/>
      <x:c r="B137" s="657"/>
    </x:row>
    <x:row r="138" ht="28" customHeight="1">
      <x:c r="A138" s="661" t="str">
        <x:v>v0.1.1</x:v>
      </x:c>
      <x:c r="B138" s="662" t="str">
        <x:v>增加了武器栏、护甲栏、物品栏和背景栏</x:v>
      </x:c>
    </x:row>
    <x:row r="139" ht="28" customHeight="1">
      <x:c r="A139" s="661"/>
      <x:c r="B139" s="663" t="str">
        <x:v>重要关系栏：增添计数以及CHA显示</x:v>
      </x:c>
    </x:row>
    <x:row r="140" ht="28" customHeight="1">
      <x:c r="A140" s="661"/>
      <x:c r="B140" s="663" t="str">
        <x:v>职业技能点现在替换基础技能点，而不是增添</x:v>
      </x:c>
    </x:row>
    <x:row r="141" ht="6" customHeight="1">
      <x:c r="A141" s="657"/>
      <x:c r="B141" s="657"/>
    </x:row>
    <x:row r="142" ht="28" customHeight="1">
      <x:c r="A142" s="661" t="str">
        <x:v>v0.1.0</x:v>
      </x:c>
      <x:c r="B142" s="662" t="str">
        <x:v>第一版</x:v>
      </x:c>
    </x:row>
  </x:sheetData>
  <x:mergeCells>
    <x:mergeCell ref="A1:B1"/>
  </x:mergeCells>
  <x:hyperlinks>
    <x:hyperlink xmlns:ns0="http://schemas.openxmlformats.org/officeDocument/2006/relationships" ref="B4" ns0:id="rIdHistory1"/>
    <x:hyperlink xmlns:ns1="http://schemas.openxmlformats.org/officeDocument/2006/relationships" ref="B6" ns1:id="rIdHistory2"/>
    <x:hyperlink ref="A8" location="'人物卡'!B2"/>
    <x:hyperlink xmlns:ns2="http://schemas.openxmlformats.org/officeDocument/2006/relationships" ref="B8" ns2:id="rIdHistory4"/>
  </x:hyperlinks>
  <x:printOptions horizontalCentered="1"/>
  <x:pageMargins left="0.25" right="0.25" top="0.35" bottom="0.35" header="0.15" footer="0.15"/>
  <x:pageSetup paperSize="9" orientation="landscape" fitToWidth="1" fitToHeight="0"/>
</x: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611"/>
  <sheetViews>
    <sheetView showGridLines="0" workbookViewId="0">
      <pane ySplit="1" topLeftCell="A2" activePane="bottomLeft" state="frozen"/>
      <selection/>
      <selection pane="bottomLeft" activeCell="A1" sqref="A1"/>
    </sheetView>
  </sheetViews>
  <sheetFormatPr defaultColWidth="9" defaultRowHeight="14"/>
  <cols>
    <col min="1" max="1" width="30" customWidth="1"/>
  </cols>
  <sheetData>
    <row r="1" spans="1:26">
      <c r="S1" t="s">
        <v>663</v>
      </c>
      <c r="T1">
        <f>IFERROR(MATCH(附表!$D$11,职业列表!$A$1:$A$106,0),2)</f>
        <v>2</v>
      </c>
    </row>
    <row r="2" spans="1:26">
      <c r="A2" t="str">
        <f ca="1">IF(INDEX($C$1:$C$1611,$T$2+0)="","",INDEX($C$1:$C$1611,$T$2+0))</f>
        <v/>
      </c>
      <c r="B2" t="str">
        <f ca="1">IF(INDEX($D$1:$D$1611,$T$2+0)="","",INDEX($D$1:$D$1611,$T$2+0))</f>
        <v>fixed</v>
      </c>
      <c r="C2" t="str">
        <f ca="1">IF(INDEX($E$1:$E$1611,$T$2+0)="","",INDEX($E$1:$E$1611,$T$2+0))</f>
        <v/>
      </c>
      <c r="D2">
        <f ca="1">INDEX($F$1:$F$1611,$T$2+0)</f>
        <v>0</v>
      </c>
      <c r="E2" t="str">
        <f ca="1">IF(INDEX($G$1:$G$1611,$T$2+0)="","",INDEX($G$1:$G$1611,$T$2+0))</f>
        <v/>
      </c>
      <c r="F2" t="str">
        <f ca="1">IF(INDEX($H$1:$H$1611,$T$2+0)="","",INDEX($H$1:$H$1611,$T$2+0))</f>
        <v/>
      </c>
      <c r="G2" t="str">
        <f ca="1">IF(INDEX($I$1:$I$1611,$T$2+0)="","",INDEX($I$1:$I$1611,$T$2+0))</f>
        <v/>
      </c>
      <c r="H2" t="str">
        <f ca="1">IF(INDEX($J$1:$J$1611,$T$2+0)="","",INDEX($J$1:$J$1611,$T$2+0))</f>
        <v/>
      </c>
      <c r="I2" t="str">
        <f ca="1">IF(INDEX($K$1:$K$1611,$T$2+0)="","",INDEX($K$1:$K$1611,$T$2+0))</f>
        <v/>
      </c>
      <c r="J2" t="str">
        <f ca="1" t="shared" ref="J2:J28" si="0">IF(P2="","",IF(COUNTBLANK(INDIRECT("'人物卡'!"&amp;P2))&gt;0,"",TRIM(INDIRECT("'人物卡'!"&amp;P2))))</f>
        <v/>
      </c>
      <c r="K2" t="str">
        <f ca="1" t="shared" ref="K2:K28" si="1">IF(P2="",G2,IF(E2="skill",IF(AND(J2&lt;&gt;"",ISNUMBER(FIND("|"&amp;J2&amp;"|","|"&amp;H2&amp;"|"))),J2,""),IF(E2="any",IF(AND(J2&lt;&gt;"",J2&lt;&gt;"0",ISERROR(FIND("任选",J2)),ISERROR(FIND("（",J2)),ISERROR(FIND("）",J2))),C2&amp;"（"&amp;J2&amp;"）",""),IF(E2="limited",IF(AND(J2&lt;&gt;"",ISNUMBER(FIND("|"&amp;J2&amp;"|","|"&amp;H2&amp;"|"))),C2&amp;"（"&amp;J2&amp;"）",""),IF(J2=F2,G2,"")))))</f>
        <v/>
      </c>
      <c r="L2" t="b">
        <f ca="1" t="shared" ref="L2:L17" si="2">AND(A2&lt;&gt;"",TRUE)</f>
        <v>0</v>
      </c>
      <c r="M2" t="b">
        <f ca="1" t="shared" ref="M2:M17" si="3">AND(L2,K2&lt;&gt;"",COUNTIFS($K$2:$K$17,K2,$L$2:$L$17,TRUE)&gt;1)</f>
        <v>0</v>
      </c>
      <c r="N2" t="str">
        <f ca="1" t="shared" ref="N2:N28" si="4">IF(A2="","",IF(NOT(L2),"未勾选",IF(E2="unknown","原文名称异常",IF(K2="","请在主卡填写／修正细项",IF(M2,"重复技能",IF(O2&gt;0,"已计入","超选：暂不计入"))))))</f>
        <v/>
      </c>
      <c r="O2">
        <f ca="1">IF(AND(附表!$I$12,L2,K2&lt;&gt;"",NOT(M2),TRUE),D2,0)</f>
        <v>0</v>
      </c>
      <c r="P2" t="str">
        <f ca="1">IF(AND(C2="工艺",E2="",F2&lt;&gt;""),IF(AND(I2="工艺1",TRIM(人物卡!J25)=F2),"J25",IF(AND(I2="工艺2",TRIM(人物卡!J26)=F2),"J26",IF(AND(I2="工艺3",TRIM(人物卡!J27)=F2),"J27",IF(AND(I2="工艺4",TRIM(人物卡!J28)=F2),"J28",IF(TRIM(人物卡!J25)=F2,"J25",IF(TRIM(人物卡!J26)=F2,"J26",IF(TRIM(人物卡!J27)=F2,"J27",IF(TRIM(人物卡!J28)=F2,"J28",IF(INDEX($L$1:$L$1611,$T$2+0)="","",INDEX($L$1:$L$1611,$T$2+0)))))))))),IF(INDEX($L$1:$L$1611,$T$2+0)="","",INDEX($L$1:$L$1611,$T$2+0)))</f>
        <v/>
      </c>
      <c r="Q2" t="str">
        <f ca="1">IF(INDEX($M$1:$M$1611,$T$2+0)="","",INDEX($M$1:$M$1611,$T$2+0))</f>
        <v>D2</v>
      </c>
      <c r="R2" t="b">
        <f ca="1">INDEX($N$1:$N$1611,$T$2+0)</f>
        <v>0</v>
      </c>
      <c r="T2">
        <f>IFERROR(MATCH(T1,$A$100:$A$1611,0)+99,100)</f>
        <v>100</v>
      </c>
      <c r="Z2" s="0" t="b">
        <f>AND(附表!$I$12,A18&lt;&gt;"",人物卡!P49="☑")</f>
        <v>0</v>
      </c>
      <c r="AA2" s="0" t="inlineStr">
        <is>
          <t xml:space="preserve">☐</t>
        </is>
      </c>
    </row>
    <row r="3" spans="1:26">
      <c r="A3" t="str">
        <f ca="1">IF(INDEX($C$1:$C$1611,$T$2+1)="","",INDEX($C$1:$C$1611,$T$2+1))</f>
        <v/>
      </c>
      <c r="B3" t="str">
        <f ca="1">IF(INDEX($D$1:$D$1611,$T$2+1)="","",INDEX($D$1:$D$1611,$T$2+1))</f>
        <v>fixed</v>
      </c>
      <c r="C3" t="str">
        <f ca="1">IF(INDEX($E$1:$E$1611,$T$2+1)="","",INDEX($E$1:$E$1611,$T$2+1))</f>
        <v/>
      </c>
      <c r="D3">
        <f ca="1">INDEX($F$1:$F$1611,$T$2+1)</f>
        <v>0</v>
      </c>
      <c r="E3" t="str">
        <f ca="1">IF(INDEX($G$1:$G$1611,$T$2+1)="","",INDEX($G$1:$G$1611,$T$2+1))</f>
        <v/>
      </c>
      <c r="F3" t="str">
        <f ca="1">IF(INDEX($H$1:$H$1611,$T$2+1)="","",INDEX($H$1:$H$1611,$T$2+1))</f>
        <v/>
      </c>
      <c r="G3" t="str">
        <f ca="1">IF(INDEX($I$1:$I$1611,$T$2+1)="","",INDEX($I$1:$I$1611,$T$2+1))</f>
        <v/>
      </c>
      <c r="H3" t="str">
        <f ca="1">IF(INDEX($J$1:$J$1611,$T$2+1)="","",INDEX($J$1:$J$1611,$T$2+1))</f>
        <v/>
      </c>
      <c r="I3" t="str">
        <f ca="1">IF(INDEX($K$1:$K$1611,$T$2+1)="","",INDEX($K$1:$K$1611,$T$2+1))</f>
        <v/>
      </c>
      <c r="J3" t="str">
        <f ca="1" t="shared" si="0"/>
        <v/>
      </c>
      <c r="K3" t="str">
        <f ca="1" t="shared" si="1"/>
        <v/>
      </c>
      <c r="L3" t="b">
        <f ca="1" t="shared" si="2"/>
        <v>0</v>
      </c>
      <c r="M3" t="b">
        <f ca="1" t="shared" si="3"/>
        <v>0</v>
      </c>
      <c r="N3" t="str">
        <f ca="1" t="shared" si="4"/>
        <v/>
      </c>
      <c r="O3">
        <f ca="1">IF(AND(附表!$I$12,L3,K3&lt;&gt;"",NOT(M3),TRUE),D3,0)</f>
        <v>0</v>
      </c>
      <c r="P3" t="str">
        <f ca="1">IF(AND(C3="工艺",E3="",F3&lt;&gt;""),IF(AND(I3="工艺1",TRIM(人物卡!J25)=F3),"J25",IF(AND(I3="工艺2",TRIM(人物卡!J26)=F3),"J26",IF(AND(I3="工艺3",TRIM(人物卡!J27)=F3),"J27",IF(AND(I3="工艺4",TRIM(人物卡!J28)=F3),"J28",IF(TRIM(人物卡!J25)=F3,"J25",IF(TRIM(人物卡!J26)=F3,"J26",IF(TRIM(人物卡!J27)=F3,"J27",IF(TRIM(人物卡!J28)=F3,"J28",IF(INDEX($L$1:$L$1611,$T$2+1)="","",INDEX($L$1:$L$1611,$T$2+1)))))))))),IF(INDEX($L$1:$L$1611,$T$2+1)="","",INDEX($L$1:$L$1611,$T$2+1)))</f>
        <v/>
      </c>
      <c r="Q3" t="str">
        <f ca="1">IF(INDEX($M$1:$M$1611,$T$2+1)="","",INDEX($M$1:$M$1611,$T$2+1))</f>
        <v>E2</v>
      </c>
      <c r="R3" t="b">
        <f ca="1">INDEX($N$1:$N$1611,$T$2+1)</f>
        <v>0</v>
      </c>
      <c r="S3" t="s">
        <v>664</v>
      </c>
      <c r="T3">
        <f>IFERROR(INDEX(职业列表!$T$1:$T$106,T1),0)</f>
        <v>0</v>
      </c>
      <c r="Z3" s="0" t="b">
        <f>AND(附表!$I$12,A19&lt;&gt;"",人物卡!P50="☑")</f>
        <v>0</v>
      </c>
      <c r="AA3" s="0" t="inlineStr">
        <is>
          <t xml:space="preserve">☑</t>
        </is>
      </c>
    </row>
    <row r="4" spans="1:26">
      <c r="A4" t="str">
        <f ca="1">IF(INDEX($C$1:$C$1611,$T$2+2)="","",INDEX($C$1:$C$1611,$T$2+2))</f>
        <v/>
      </c>
      <c r="B4" t="str">
        <f ca="1">IF(INDEX($D$1:$D$1611,$T$2+2)="","",INDEX($D$1:$D$1611,$T$2+2))</f>
        <v>fixed</v>
      </c>
      <c r="C4" t="str">
        <f ca="1">IF(INDEX($E$1:$E$1611,$T$2+2)="","",INDEX($E$1:$E$1611,$T$2+2))</f>
        <v/>
      </c>
      <c r="D4">
        <f ca="1">INDEX($F$1:$F$1611,$T$2+2)</f>
        <v>0</v>
      </c>
      <c r="E4" t="str">
        <f ca="1">IF(INDEX($G$1:$G$1611,$T$2+2)="","",INDEX($G$1:$G$1611,$T$2+2))</f>
        <v/>
      </c>
      <c r="F4" t="str">
        <f ca="1">IF(INDEX($H$1:$H$1611,$T$2+2)="","",INDEX($H$1:$H$1611,$T$2+2))</f>
        <v/>
      </c>
      <c r="G4" t="str">
        <f ca="1">IF(INDEX($I$1:$I$1611,$T$2+2)="","",INDEX($I$1:$I$1611,$T$2+2))</f>
        <v/>
      </c>
      <c r="H4" t="str">
        <f ca="1">IF(INDEX($J$1:$J$1611,$T$2+2)="","",INDEX($J$1:$J$1611,$T$2+2))</f>
        <v/>
      </c>
      <c r="I4" t="str">
        <f ca="1">IF(INDEX($K$1:$K$1611,$T$2+2)="","",INDEX($K$1:$K$1611,$T$2+2))</f>
        <v/>
      </c>
      <c r="J4" t="str">
        <f ca="1" t="shared" si="0"/>
        <v/>
      </c>
      <c r="K4" t="str">
        <f ca="1" t="shared" si="1"/>
        <v/>
      </c>
      <c r="L4" t="b">
        <f ca="1" t="shared" si="2"/>
        <v>0</v>
      </c>
      <c r="M4" t="b">
        <f ca="1" t="shared" si="3"/>
        <v>0</v>
      </c>
      <c r="N4" t="str">
        <f ca="1" t="shared" si="4"/>
        <v/>
      </c>
      <c r="O4">
        <f ca="1">IF(AND(附表!$I$12,L4,K4&lt;&gt;"",NOT(M4),TRUE),D4,0)</f>
        <v>0</v>
      </c>
      <c r="P4" t="str">
        <f ca="1">IF(AND(C4="工艺",E4="",F4&lt;&gt;""),IF(AND(I4="工艺1",TRIM(人物卡!J25)=F4),"J25",IF(AND(I4="工艺2",TRIM(人物卡!J26)=F4),"J26",IF(AND(I4="工艺3",TRIM(人物卡!J27)=F4),"J27",IF(AND(I4="工艺4",TRIM(人物卡!J28)=F4),"J28",IF(TRIM(人物卡!J25)=F4,"J25",IF(TRIM(人物卡!J26)=F4,"J26",IF(TRIM(人物卡!J27)=F4,"J27",IF(TRIM(人物卡!J28)=F4,"J28",IF(INDEX($L$1:$L$1611,$T$2+2)="","",INDEX($L$1:$L$1611,$T$2+2)))))))))),IF(INDEX($L$1:$L$1611,$T$2+2)="","",INDEX($L$1:$L$1611,$T$2+2)))</f>
        <v/>
      </c>
      <c r="Q4" t="str">
        <f ca="1">IF(INDEX($M$1:$M$1611,$T$2+2)="","",INDEX($M$1:$M$1611,$T$2+2))</f>
        <v>F2</v>
      </c>
      <c r="R4" t="b">
        <f ca="1">INDEX($N$1:$N$1611,$T$2+2)</f>
        <v>0</v>
      </c>
      <c r="S4" t="s">
        <v>665</v>
      </c>
      <c r="T4">
        <f ca="1">COUNTIFS($L$18:$L$28,TRUE,$A$18:$A$28,"&lt;&gt;")</f>
        <v>0</v>
      </c>
      <c r="Z4" s="0" t="b">
        <f>AND(附表!$I$12,A20&lt;&gt;"",人物卡!P51="☑")</f>
        <v>0</v>
      </c>
      <c r="AA4" s="0" t="inlineStr">
        <is>
          <t xml:space="preserve"/>
        </is>
      </c>
    </row>
    <row r="5" spans="1:26">
      <c r="A5" t="str">
        <f ca="1">IF(INDEX($C$1:$C$1611,$T$2+3)="","",INDEX($C$1:$C$1611,$T$2+3))</f>
        <v/>
      </c>
      <c r="B5" t="str">
        <f ca="1">IF(INDEX($D$1:$D$1611,$T$2+3)="","",INDEX($D$1:$D$1611,$T$2+3))</f>
        <v>fixed</v>
      </c>
      <c r="C5" t="str">
        <f ca="1">IF(INDEX($E$1:$E$1611,$T$2+3)="","",INDEX($E$1:$E$1611,$T$2+3))</f>
        <v/>
      </c>
      <c r="D5">
        <f ca="1">INDEX($F$1:$F$1611,$T$2+3)</f>
        <v>0</v>
      </c>
      <c r="E5" t="str">
        <f ca="1">IF(INDEX($G$1:$G$1611,$T$2+3)="","",INDEX($G$1:$G$1611,$T$2+3))</f>
        <v/>
      </c>
      <c r="F5" t="str">
        <f ca="1">IF(INDEX($H$1:$H$1611,$T$2+3)="","",INDEX($H$1:$H$1611,$T$2+3))</f>
        <v/>
      </c>
      <c r="G5" t="str">
        <f ca="1">IF(INDEX($I$1:$I$1611,$T$2+3)="","",INDEX($I$1:$I$1611,$T$2+3))</f>
        <v/>
      </c>
      <c r="H5" t="str">
        <f ca="1">IF(INDEX($J$1:$J$1611,$T$2+3)="","",INDEX($J$1:$J$1611,$T$2+3))</f>
        <v/>
      </c>
      <c r="I5" t="str">
        <f ca="1">IF(INDEX($K$1:$K$1611,$T$2+3)="","",INDEX($K$1:$K$1611,$T$2+3))</f>
        <v/>
      </c>
      <c r="J5" t="str">
        <f ca="1" t="shared" si="0"/>
        <v/>
      </c>
      <c r="K5" t="str">
        <f ca="1" t="shared" si="1"/>
        <v/>
      </c>
      <c r="L5" t="b">
        <f ca="1" t="shared" si="2"/>
        <v>0</v>
      </c>
      <c r="M5" t="b">
        <f ca="1" t="shared" si="3"/>
        <v>0</v>
      </c>
      <c r="N5" t="str">
        <f ca="1" t="shared" si="4"/>
        <v/>
      </c>
      <c r="O5">
        <f ca="1">IF(AND(附表!$I$12,L5,K5&lt;&gt;"",NOT(M5),TRUE),D5,0)</f>
        <v>0</v>
      </c>
      <c r="P5" t="str">
        <f ca="1">IF(AND(C5="工艺",E5="",F5&lt;&gt;""),IF(AND(I5="工艺1",TRIM(人物卡!J25)=F5),"J25",IF(AND(I5="工艺2",TRIM(人物卡!J26)=F5),"J26",IF(AND(I5="工艺3",TRIM(人物卡!J27)=F5),"J27",IF(AND(I5="工艺4",TRIM(人物卡!J28)=F5),"J28",IF(TRIM(人物卡!J25)=F5,"J25",IF(TRIM(人物卡!J26)=F5,"J26",IF(TRIM(人物卡!J27)=F5,"J27",IF(TRIM(人物卡!J28)=F5,"J28",IF(INDEX($L$1:$L$1611,$T$2+3)="","",INDEX($L$1:$L$1611,$T$2+3)))))))))),IF(INDEX($L$1:$L$1611,$T$2+3)="","",INDEX($L$1:$L$1611,$T$2+3)))</f>
        <v/>
      </c>
      <c r="Q5" t="str">
        <f ca="1">IF(INDEX($M$1:$M$1611,$T$2+3)="","",INDEX($M$1:$M$1611,$T$2+3))</f>
        <v>G2</v>
      </c>
      <c r="R5" t="b">
        <f ca="1">INDEX($N$1:$N$1611,$T$2+3)</f>
        <v>0</v>
      </c>
      <c r="S5" t="s">
        <v>666</v>
      </c>
      <c r="T5">
        <f ca="1">COUNTIF($O$18:$O$28,"&gt;0")</f>
        <v>0</v>
      </c>
      <c r="Z5" s="0" t="b">
        <f>AND(附表!$I$12,A21&lt;&gt;"",人物卡!P52="☑")</f>
        <v>0</v>
      </c>
    </row>
    <row r="6" spans="1:26">
      <c r="A6" t="str">
        <f ca="1">IF(INDEX($C$1:$C$1611,$T$2+4)="","",INDEX($C$1:$C$1611,$T$2+4))</f>
        <v/>
      </c>
      <c r="B6" t="str">
        <f ca="1">IF(INDEX($D$1:$D$1611,$T$2+4)="","",INDEX($D$1:$D$1611,$T$2+4))</f>
        <v>fixed</v>
      </c>
      <c r="C6" t="str">
        <f ca="1">IF(INDEX($E$1:$E$1611,$T$2+4)="","",INDEX($E$1:$E$1611,$T$2+4))</f>
        <v/>
      </c>
      <c r="D6">
        <f ca="1">INDEX($F$1:$F$1611,$T$2+4)</f>
        <v>0</v>
      </c>
      <c r="E6" t="str">
        <f ca="1">IF(INDEX($G$1:$G$1611,$T$2+4)="","",INDEX($G$1:$G$1611,$T$2+4))</f>
        <v/>
      </c>
      <c r="F6" t="str">
        <f ca="1">IF(INDEX($H$1:$H$1611,$T$2+4)="","",INDEX($H$1:$H$1611,$T$2+4))</f>
        <v/>
      </c>
      <c r="G6" t="str">
        <f ca="1">IF(INDEX($I$1:$I$1611,$T$2+4)="","",INDEX($I$1:$I$1611,$T$2+4))</f>
        <v/>
      </c>
      <c r="H6" t="str">
        <f ca="1">IF(INDEX($J$1:$J$1611,$T$2+4)="","",INDEX($J$1:$J$1611,$T$2+4))</f>
        <v/>
      </c>
      <c r="I6" t="str">
        <f ca="1">IF(INDEX($K$1:$K$1611,$T$2+4)="","",INDEX($K$1:$K$1611,$T$2+4))</f>
        <v/>
      </c>
      <c r="J6" t="str">
        <f ca="1" t="shared" si="0"/>
        <v/>
      </c>
      <c r="K6" t="str">
        <f ca="1" t="shared" si="1"/>
        <v/>
      </c>
      <c r="L6" t="b">
        <f ca="1" t="shared" si="2"/>
        <v>0</v>
      </c>
      <c r="M6" t="b">
        <f ca="1" t="shared" si="3"/>
        <v>0</v>
      </c>
      <c r="N6" t="str">
        <f ca="1" t="shared" si="4"/>
        <v/>
      </c>
      <c r="O6">
        <f ca="1">IF(AND(附表!$I$12,L6,K6&lt;&gt;"",NOT(M6),TRUE),D6,0)</f>
        <v>0</v>
      </c>
      <c r="P6" t="str">
        <f ca="1">IF(AND(C6="工艺",E6="",F6&lt;&gt;""),IF(AND(I6="工艺1",TRIM(人物卡!J25)=F6),"J25",IF(AND(I6="工艺2",TRIM(人物卡!J26)=F6),"J26",IF(AND(I6="工艺3",TRIM(人物卡!J27)=F6),"J27",IF(AND(I6="工艺4",TRIM(人物卡!J28)=F6),"J28",IF(TRIM(人物卡!J25)=F6,"J25",IF(TRIM(人物卡!J26)=F6,"J26",IF(TRIM(人物卡!J27)=F6,"J27",IF(TRIM(人物卡!J28)=F6,"J28",IF(INDEX($L$1:$L$1611,$T$2+4)="","",INDEX($L$1:$L$1611,$T$2+4)))))))))),IF(INDEX($L$1:$L$1611,$T$2+4)="","",INDEX($L$1:$L$1611,$T$2+4)))</f>
        <v/>
      </c>
      <c r="Q6" t="str">
        <f ca="1">IF(INDEX($M$1:$M$1611,$T$2+4)="","",INDEX($M$1:$M$1611,$T$2+4))</f>
        <v>H2</v>
      </c>
      <c r="R6" t="b">
        <f ca="1">INDEX($N$1:$N$1611,$T$2+4)</f>
        <v>0</v>
      </c>
      <c r="S6" t="s">
        <v>667</v>
      </c>
      <c r="T6">
        <f ca="1">SUMPRODUCT(--($A$2:$A$17&lt;&gt;""),--($P$2:$P$17&lt;&gt;""),--($O$2:$O$17=0))</f>
        <v>0</v>
      </c>
      <c r="Z6" s="0" t="b">
        <f>AND(附表!$I$12,A22&lt;&gt;"",人物卡!P53="☑")</f>
        <v>0</v>
      </c>
    </row>
    <row r="7" spans="1:26">
      <c r="A7" t="str">
        <f ca="1">IF(INDEX($C$1:$C$1611,$T$2+5)="","",INDEX($C$1:$C$1611,$T$2+5))</f>
        <v/>
      </c>
      <c r="B7" t="str">
        <f ca="1">IF(INDEX($D$1:$D$1611,$T$2+5)="","",INDEX($D$1:$D$1611,$T$2+5))</f>
        <v>fixed</v>
      </c>
      <c r="C7" t="str">
        <f ca="1">IF(INDEX($E$1:$E$1611,$T$2+5)="","",INDEX($E$1:$E$1611,$T$2+5))</f>
        <v/>
      </c>
      <c r="D7">
        <f ca="1">INDEX($F$1:$F$1611,$T$2+5)</f>
        <v>0</v>
      </c>
      <c r="E7" t="str">
        <f ca="1">IF(INDEX($G$1:$G$1611,$T$2+5)="","",INDEX($G$1:$G$1611,$T$2+5))</f>
        <v/>
      </c>
      <c r="F7" t="str">
        <f ca="1">IF(INDEX($H$1:$H$1611,$T$2+5)="","",INDEX($H$1:$H$1611,$T$2+5))</f>
        <v/>
      </c>
      <c r="G7" t="str">
        <f ca="1">IF(INDEX($I$1:$I$1611,$T$2+5)="","",INDEX($I$1:$I$1611,$T$2+5))</f>
        <v/>
      </c>
      <c r="H7" t="str">
        <f ca="1">IF(INDEX($J$1:$J$1611,$T$2+5)="","",INDEX($J$1:$J$1611,$T$2+5))</f>
        <v/>
      </c>
      <c r="I7" t="str">
        <f ca="1">IF(INDEX($K$1:$K$1611,$T$2+5)="","",INDEX($K$1:$K$1611,$T$2+5))</f>
        <v/>
      </c>
      <c r="J7" t="str">
        <f ca="1" t="shared" si="0"/>
        <v/>
      </c>
      <c r="K7" t="str">
        <f ca="1" t="shared" si="1"/>
        <v/>
      </c>
      <c r="L7" t="b">
        <f ca="1" t="shared" si="2"/>
        <v>0</v>
      </c>
      <c r="M7" t="b">
        <f ca="1" t="shared" si="3"/>
        <v>0</v>
      </c>
      <c r="N7" t="str">
        <f ca="1" t="shared" si="4"/>
        <v/>
      </c>
      <c r="O7">
        <f ca="1">IF(AND(附表!$I$12,L7,K7&lt;&gt;"",NOT(M7),TRUE),D7,0)</f>
        <v>0</v>
      </c>
      <c r="P7" t="str">
        <f ca="1">IF(AND(C7="工艺",E7="",F7&lt;&gt;""),IF(AND(I7="工艺1",TRIM(人物卡!J25)=F7),"J25",IF(AND(I7="工艺2",TRIM(人物卡!J26)=F7),"J26",IF(AND(I7="工艺3",TRIM(人物卡!J27)=F7),"J27",IF(AND(I7="工艺4",TRIM(人物卡!J28)=F7),"J28",IF(TRIM(人物卡!J25)=F7,"J25",IF(TRIM(人物卡!J26)=F7,"J26",IF(TRIM(人物卡!J27)=F7,"J27",IF(TRIM(人物卡!J28)=F7,"J28",IF(INDEX($L$1:$L$1611,$T$2+5)="","",INDEX($L$1:$L$1611,$T$2+5)))))))))),IF(INDEX($L$1:$L$1611,$T$2+5)="","",INDEX($L$1:$L$1611,$T$2+5)))</f>
        <v/>
      </c>
      <c r="Q7" t="str">
        <f ca="1">IF(INDEX($M$1:$M$1611,$T$2+5)="","",INDEX($M$1:$M$1611,$T$2+5))</f>
        <v>I2</v>
      </c>
      <c r="R7" t="b">
        <f ca="1">INDEX($N$1:$N$1611,$T$2+5)</f>
        <v>0</v>
      </c>
      <c r="T7">
        <f ca="1">COUNTIF($E$2:$E$28,"unknown")</f>
        <v>0</v>
      </c>
      <c r="Z7" s="0" t="b">
        <f>AND(附表!$I$12,A23&lt;&gt;"",人物卡!P54="☑")</f>
        <v>0</v>
      </c>
    </row>
    <row r="8" spans="1:26">
      <c r="A8" t="str">
        <f ca="1">IF(INDEX($C$1:$C$1611,$T$2+6)="","",INDEX($C$1:$C$1611,$T$2+6))</f>
        <v/>
      </c>
      <c r="B8" t="str">
        <f ca="1">IF(INDEX($D$1:$D$1611,$T$2+6)="","",INDEX($D$1:$D$1611,$T$2+6))</f>
        <v>fixed</v>
      </c>
      <c r="C8" t="str">
        <f ca="1">IF(INDEX($E$1:$E$1611,$T$2+6)="","",INDEX($E$1:$E$1611,$T$2+6))</f>
        <v/>
      </c>
      <c r="D8">
        <f ca="1">INDEX($F$1:$F$1611,$T$2+6)</f>
        <v>0</v>
      </c>
      <c r="E8" t="str">
        <f ca="1">IF(INDEX($G$1:$G$1611,$T$2+6)="","",INDEX($G$1:$G$1611,$T$2+6))</f>
        <v/>
      </c>
      <c r="F8" t="str">
        <f ca="1">IF(INDEX($H$1:$H$1611,$T$2+6)="","",INDEX($H$1:$H$1611,$T$2+6))</f>
        <v/>
      </c>
      <c r="G8" t="str">
        <f ca="1">IF(INDEX($I$1:$I$1611,$T$2+6)="","",INDEX($I$1:$I$1611,$T$2+6))</f>
        <v/>
      </c>
      <c r="H8" t="str">
        <f ca="1">IF(INDEX($J$1:$J$1611,$T$2+6)="","",INDEX($J$1:$J$1611,$T$2+6))</f>
        <v/>
      </c>
      <c r="I8" t="str">
        <f ca="1">IF(INDEX($K$1:$K$1611,$T$2+6)="","",INDEX($K$1:$K$1611,$T$2+6))</f>
        <v/>
      </c>
      <c r="J8" t="str">
        <f ca="1" t="shared" si="0"/>
        <v/>
      </c>
      <c r="K8" t="str">
        <f ca="1" t="shared" si="1"/>
        <v/>
      </c>
      <c r="L8" t="b">
        <f ca="1" t="shared" si="2"/>
        <v>0</v>
      </c>
      <c r="M8" t="b">
        <f ca="1" t="shared" si="3"/>
        <v>0</v>
      </c>
      <c r="N8" t="str">
        <f ca="1" t="shared" si="4"/>
        <v/>
      </c>
      <c r="O8">
        <f ca="1">IF(AND(附表!$I$12,L8,K8&lt;&gt;"",NOT(M8),TRUE),D8,0)</f>
        <v>0</v>
      </c>
      <c r="P8" t="str">
        <f ca="1">IF(AND(C8="工艺",E8="",F8&lt;&gt;""),IF(AND(I8="工艺1",TRIM(人物卡!J25)=F8),"J25",IF(AND(I8="工艺2",TRIM(人物卡!J26)=F8),"J26",IF(AND(I8="工艺3",TRIM(人物卡!J27)=F8),"J27",IF(AND(I8="工艺4",TRIM(人物卡!J28)=F8),"J28",IF(TRIM(人物卡!J25)=F8,"J25",IF(TRIM(人物卡!J26)=F8,"J26",IF(TRIM(人物卡!J27)=F8,"J27",IF(TRIM(人物卡!J28)=F8,"J28",IF(INDEX($L$1:$L$1611,$T$2+6)="","",INDEX($L$1:$L$1611,$T$2+6)))))))))),IF(INDEX($L$1:$L$1611,$T$2+6)="","",INDEX($L$1:$L$1611,$T$2+6)))</f>
        <v/>
      </c>
      <c r="Q8" t="str">
        <f ca="1">IF(INDEX($M$1:$M$1611,$T$2+6)="","",INDEX($M$1:$M$1611,$T$2+6))</f>
        <v>J2</v>
      </c>
      <c r="R8" t="b">
        <f ca="1">INDEX($N$1:$N$1611,$T$2+6)</f>
        <v>0</v>
      </c>
      <c r="S8" t="s">
        <v>668</v>
      </c>
      <c r="T8" t="str">
        <f ca="1">IF(NOT(附表!$I$12),"请选择有效职业／子模板",IF(T4&gt;T3,"超选：任选暂不计入",IF(T5&lt;T3,"任选未选满","任选已完成"))&amp;IF(T6&gt;0,CHAR(10)&amp;"待填／核对细项 "&amp;T6,"")&amp;IF(T4&lt;=T3,IF(T4&gt;T5,CHAR(10)&amp;"检查重复／空细项",""),"")&amp;IF(T7&gt;0,CHAR(10)&amp;"原文技能名称异常","")&amp;CHAR(10)&amp;"细项直接填上方")</f>
        <v>任选已完成
细项直接填上方</v>
      </c>
      <c r="Z8" s="0" t="b">
        <f>AND(附表!$I$12,A24&lt;&gt;"",人物卡!P55="☑")</f>
        <v>0</v>
      </c>
    </row>
    <row r="9" spans="1:26">
      <c r="A9" t="str">
        <f ca="1">IF(INDEX($C$1:$C$1611,$T$2+7)="","",INDEX($C$1:$C$1611,$T$2+7))</f>
        <v/>
      </c>
      <c r="B9" t="str">
        <f ca="1">IF(INDEX($D$1:$D$1611,$T$2+7)="","",INDEX($D$1:$D$1611,$T$2+7))</f>
        <v>fixed</v>
      </c>
      <c r="C9" t="str">
        <f ca="1">IF(INDEX($E$1:$E$1611,$T$2+7)="","",INDEX($E$1:$E$1611,$T$2+7))</f>
        <v/>
      </c>
      <c r="D9">
        <f ca="1">INDEX($F$1:$F$1611,$T$2+7)</f>
        <v>0</v>
      </c>
      <c r="E9" t="str">
        <f ca="1">IF(INDEX($G$1:$G$1611,$T$2+7)="","",INDEX($G$1:$G$1611,$T$2+7))</f>
        <v/>
      </c>
      <c r="F9" t="str">
        <f ca="1">IF(INDEX($H$1:$H$1611,$T$2+7)="","",INDEX($H$1:$H$1611,$T$2+7))</f>
        <v/>
      </c>
      <c r="G9" t="str">
        <f ca="1">IF(INDEX($I$1:$I$1611,$T$2+7)="","",INDEX($I$1:$I$1611,$T$2+7))</f>
        <v/>
      </c>
      <c r="H9" t="str">
        <f ca="1">IF(INDEX($J$1:$J$1611,$T$2+7)="","",INDEX($J$1:$J$1611,$T$2+7))</f>
        <v/>
      </c>
      <c r="I9" t="str">
        <f ca="1">IF(INDEX($K$1:$K$1611,$T$2+7)="","",INDEX($K$1:$K$1611,$T$2+7))</f>
        <v/>
      </c>
      <c r="J9" t="str">
        <f ca="1" t="shared" si="0"/>
        <v/>
      </c>
      <c r="K9" t="str">
        <f ca="1" t="shared" si="1"/>
        <v/>
      </c>
      <c r="L9" t="b">
        <f ca="1" t="shared" si="2"/>
        <v>0</v>
      </c>
      <c r="M9" t="b">
        <f ca="1" t="shared" si="3"/>
        <v>0</v>
      </c>
      <c r="N9" t="str">
        <f ca="1" t="shared" si="4"/>
        <v/>
      </c>
      <c r="O9">
        <f ca="1">IF(AND(附表!$I$12,L9,K9&lt;&gt;"",NOT(M9),TRUE),D9,0)</f>
        <v>0</v>
      </c>
      <c r="P9" t="str">
        <f ca="1">IF(AND(C9="工艺",E9="",F9&lt;&gt;""),IF(AND(I9="工艺1",TRIM(人物卡!J25)=F9),"J25",IF(AND(I9="工艺2",TRIM(人物卡!J26)=F9),"J26",IF(AND(I9="工艺3",TRIM(人物卡!J27)=F9),"J27",IF(AND(I9="工艺4",TRIM(人物卡!J28)=F9),"J28",IF(TRIM(人物卡!J25)=F9,"J25",IF(TRIM(人物卡!J26)=F9,"J26",IF(TRIM(人物卡!J27)=F9,"J27",IF(TRIM(人物卡!J28)=F9,"J28",IF(INDEX($L$1:$L$1611,$T$2+7)="","",INDEX($L$1:$L$1611,$T$2+7)))))))))),IF(INDEX($L$1:$L$1611,$T$2+7)="","",INDEX($L$1:$L$1611,$T$2+7)))</f>
        <v/>
      </c>
      <c r="Q9" t="str">
        <f ca="1">IF(INDEX($M$1:$M$1611,$T$2+7)="","",INDEX($M$1:$M$1611,$T$2+7))</f>
        <v>K2</v>
      </c>
      <c r="R9" t="b">
        <f ca="1">INDEX($N$1:$N$1611,$T$2+7)</f>
        <v>0</v>
      </c>
      <c r="Z9" s="0" t="b">
        <f>AND(附表!$I$12,A25&lt;&gt;"",人物卡!P56="☑")</f>
        <v>0</v>
      </c>
    </row>
    <row r="10" spans="1:26">
      <c r="A10" t="str">
        <f ca="1">IF(INDEX($C$1:$C$1611,$T$2+8)="","",INDEX($C$1:$C$1611,$T$2+8))</f>
        <v/>
      </c>
      <c r="B10" t="str">
        <f ca="1">IF(INDEX($D$1:$D$1611,$T$2+8)="","",INDEX($D$1:$D$1611,$T$2+8))</f>
        <v>fixed</v>
      </c>
      <c r="C10" t="str">
        <f ca="1">IF(INDEX($E$1:$E$1611,$T$2+8)="","",INDEX($E$1:$E$1611,$T$2+8))</f>
        <v/>
      </c>
      <c r="D10">
        <f ca="1">INDEX($F$1:$F$1611,$T$2+8)</f>
        <v>0</v>
      </c>
      <c r="E10" t="str">
        <f ca="1">IF(INDEX($G$1:$G$1611,$T$2+8)="","",INDEX($G$1:$G$1611,$T$2+8))</f>
        <v/>
      </c>
      <c r="F10" t="str">
        <f ca="1">IF(INDEX($H$1:$H$1611,$T$2+8)="","",INDEX($H$1:$H$1611,$T$2+8))</f>
        <v/>
      </c>
      <c r="G10" t="str">
        <f ca="1">IF(INDEX($I$1:$I$1611,$T$2+8)="","",INDEX($I$1:$I$1611,$T$2+8))</f>
        <v/>
      </c>
      <c r="H10" t="str">
        <f ca="1">IF(INDEX($J$1:$J$1611,$T$2+8)="","",INDEX($J$1:$J$1611,$T$2+8))</f>
        <v/>
      </c>
      <c r="I10" t="str">
        <f ca="1">IF(INDEX($K$1:$K$1611,$T$2+8)="","",INDEX($K$1:$K$1611,$T$2+8))</f>
        <v/>
      </c>
      <c r="J10" t="str">
        <f ca="1" t="shared" si="0"/>
        <v/>
      </c>
      <c r="K10" t="str">
        <f ca="1" t="shared" si="1"/>
        <v/>
      </c>
      <c r="L10" t="b">
        <f ca="1" t="shared" si="2"/>
        <v>0</v>
      </c>
      <c r="M10" t="b">
        <f ca="1" t="shared" si="3"/>
        <v>0</v>
      </c>
      <c r="N10" t="str">
        <f ca="1" t="shared" si="4"/>
        <v/>
      </c>
      <c r="O10">
        <f ca="1">IF(AND(附表!$I$12,L10,K10&lt;&gt;"",NOT(M10),TRUE),D10,0)</f>
        <v>0</v>
      </c>
      <c r="P10" t="str">
        <f ca="1">IF(AND(C10="工艺",E10="",F10&lt;&gt;""),IF(AND(I10="工艺1",TRIM(人物卡!J25)=F10),"J25",IF(AND(I10="工艺2",TRIM(人物卡!J26)=F10),"J26",IF(AND(I10="工艺3",TRIM(人物卡!J27)=F10),"J27",IF(AND(I10="工艺4",TRIM(人物卡!J28)=F10),"J28",IF(TRIM(人物卡!J25)=F10,"J25",IF(TRIM(人物卡!J26)=F10,"J26",IF(TRIM(人物卡!J27)=F10,"J27",IF(TRIM(人物卡!J28)=F10,"J28",IF(INDEX($L$1:$L$1611,$T$2+8)="","",INDEX($L$1:$L$1611,$T$2+8)))))))))),IF(INDEX($L$1:$L$1611,$T$2+8)="","",INDEX($L$1:$L$1611,$T$2+8)))</f>
        <v/>
      </c>
      <c r="Q10" t="str">
        <f ca="1">IF(INDEX($M$1:$M$1611,$T$2+8)="","",INDEX($M$1:$M$1611,$T$2+8))</f>
        <v>L2</v>
      </c>
      <c r="R10" t="b">
        <f ca="1">INDEX($N$1:$N$1611,$T$2+8)</f>
        <v>0</v>
      </c>
      <c r="Z10" s="0" t="b">
        <f>AND(附表!$I$12,A26&lt;&gt;"",人物卡!P57="☑")</f>
        <v>0</v>
      </c>
    </row>
    <row r="11" spans="1:26">
      <c r="A11" t="str">
        <f ca="1">IF(INDEX($C$1:$C$1611,$T$2+9)="","",INDEX($C$1:$C$1611,$T$2+9))</f>
        <v/>
      </c>
      <c r="B11" t="str">
        <f ca="1">IF(INDEX($D$1:$D$1611,$T$2+9)="","",INDEX($D$1:$D$1611,$T$2+9))</f>
        <v>fixed</v>
      </c>
      <c r="C11" t="str">
        <f ca="1">IF(INDEX($E$1:$E$1611,$T$2+9)="","",INDEX($E$1:$E$1611,$T$2+9))</f>
        <v/>
      </c>
      <c r="D11">
        <f ca="1">INDEX($F$1:$F$1611,$T$2+9)</f>
        <v>0</v>
      </c>
      <c r="E11" t="str">
        <f ca="1">IF(INDEX($G$1:$G$1611,$T$2+9)="","",INDEX($G$1:$G$1611,$T$2+9))</f>
        <v/>
      </c>
      <c r="F11" t="str">
        <f ca="1">IF(INDEX($H$1:$H$1611,$T$2+9)="","",INDEX($H$1:$H$1611,$T$2+9))</f>
        <v/>
      </c>
      <c r="G11" t="str">
        <f ca="1">IF(INDEX($I$1:$I$1611,$T$2+9)="","",INDEX($I$1:$I$1611,$T$2+9))</f>
        <v/>
      </c>
      <c r="H11" t="str">
        <f ca="1">IF(INDEX($J$1:$J$1611,$T$2+9)="","",INDEX($J$1:$J$1611,$T$2+9))</f>
        <v/>
      </c>
      <c r="I11" t="str">
        <f ca="1">IF(INDEX($K$1:$K$1611,$T$2+9)="","",INDEX($K$1:$K$1611,$T$2+9))</f>
        <v/>
      </c>
      <c r="J11" t="str">
        <f ca="1" t="shared" si="0"/>
        <v/>
      </c>
      <c r="K11" t="str">
        <f ca="1" t="shared" si="1"/>
        <v/>
      </c>
      <c r="L11" t="b">
        <f ca="1" t="shared" si="2"/>
        <v>0</v>
      </c>
      <c r="M11" t="b">
        <f ca="1" t="shared" si="3"/>
        <v>0</v>
      </c>
      <c r="N11" t="str">
        <f ca="1" t="shared" si="4"/>
        <v/>
      </c>
      <c r="O11">
        <f ca="1">IF(AND(附表!$I$12,L11,K11&lt;&gt;"",NOT(M11),TRUE),D11,0)</f>
        <v>0</v>
      </c>
      <c r="P11" t="str">
        <f ca="1">IF(AND(C11="工艺",E11="",F11&lt;&gt;""),IF(AND(I11="工艺1",TRIM(人物卡!J25)=F11),"J25",IF(AND(I11="工艺2",TRIM(人物卡!J26)=F11),"J26",IF(AND(I11="工艺3",TRIM(人物卡!J27)=F11),"J27",IF(AND(I11="工艺4",TRIM(人物卡!J28)=F11),"J28",IF(TRIM(人物卡!J25)=F11,"J25",IF(TRIM(人物卡!J26)=F11,"J26",IF(TRIM(人物卡!J27)=F11,"J27",IF(TRIM(人物卡!J28)=F11,"J28",IF(INDEX($L$1:$L$1611,$T$2+9)="","",INDEX($L$1:$L$1611,$T$2+9)))))))))),IF(INDEX($L$1:$L$1611,$T$2+9)="","",INDEX($L$1:$L$1611,$T$2+9)))</f>
        <v/>
      </c>
      <c r="Q11" t="str">
        <f ca="1">IF(INDEX($M$1:$M$1611,$T$2+9)="","",INDEX($M$1:$M$1611,$T$2+9))</f>
        <v>M2</v>
      </c>
      <c r="R11" t="b">
        <f ca="1">INDEX($N$1:$N$1611,$T$2+9)</f>
        <v>0</v>
      </c>
      <c r="Z11" s="0" t="b">
        <f>AND(附表!$I$12,A27&lt;&gt;"",人物卡!P58="☑")</f>
        <v>0</v>
      </c>
    </row>
    <row r="12" spans="1:26">
      <c r="A12" t="str">
        <f ca="1">IF(INDEX($C$1:$C$1611,$T$2+10)="","",INDEX($C$1:$C$1611,$T$2+10))</f>
        <v/>
      </c>
      <c r="B12" t="str">
        <f ca="1">IF(INDEX($D$1:$D$1611,$T$2+10)="","",INDEX($D$1:$D$1611,$T$2+10))</f>
        <v>fixed</v>
      </c>
      <c r="C12" t="str">
        <f ca="1">IF(INDEX($E$1:$E$1611,$T$2+10)="","",INDEX($E$1:$E$1611,$T$2+10))</f>
        <v/>
      </c>
      <c r="D12">
        <f ca="1">INDEX($F$1:$F$1611,$T$2+10)</f>
        <v>0</v>
      </c>
      <c r="E12" t="str">
        <f ca="1">IF(INDEX($G$1:$G$1611,$T$2+10)="","",INDEX($G$1:$G$1611,$T$2+10))</f>
        <v/>
      </c>
      <c r="F12" t="str">
        <f ca="1">IF(INDEX($H$1:$H$1611,$T$2+10)="","",INDEX($H$1:$H$1611,$T$2+10))</f>
        <v/>
      </c>
      <c r="G12" t="str">
        <f ca="1">IF(INDEX($I$1:$I$1611,$T$2+10)="","",INDEX($I$1:$I$1611,$T$2+10))</f>
        <v/>
      </c>
      <c r="H12" t="str">
        <f ca="1">IF(INDEX($J$1:$J$1611,$T$2+10)="","",INDEX($J$1:$J$1611,$T$2+10))</f>
        <v/>
      </c>
      <c r="I12" t="str">
        <f ca="1">IF(INDEX($K$1:$K$1611,$T$2+10)="","",INDEX($K$1:$K$1611,$T$2+10))</f>
        <v/>
      </c>
      <c r="J12" t="str">
        <f ca="1" t="shared" si="0"/>
        <v/>
      </c>
      <c r="K12" t="str">
        <f ca="1" t="shared" si="1"/>
        <v/>
      </c>
      <c r="L12" t="b">
        <f ca="1" t="shared" si="2"/>
        <v>0</v>
      </c>
      <c r="M12" t="b">
        <f ca="1" t="shared" si="3"/>
        <v>0</v>
      </c>
      <c r="N12" t="str">
        <f ca="1" t="shared" si="4"/>
        <v/>
      </c>
      <c r="O12">
        <f ca="1">IF(AND(附表!$I$12,L12,K12&lt;&gt;"",NOT(M12),TRUE),D12,0)</f>
        <v>0</v>
      </c>
      <c r="P12" t="str">
        <f ca="1">IF(AND(C12="工艺",E12="",F12&lt;&gt;""),IF(AND(I12="工艺1",TRIM(人物卡!J25)=F12),"J25",IF(AND(I12="工艺2",TRIM(人物卡!J26)=F12),"J26",IF(AND(I12="工艺3",TRIM(人物卡!J27)=F12),"J27",IF(AND(I12="工艺4",TRIM(人物卡!J28)=F12),"J28",IF(TRIM(人物卡!J25)=F12,"J25",IF(TRIM(人物卡!J26)=F12,"J26",IF(TRIM(人物卡!J27)=F12,"J27",IF(TRIM(人物卡!J28)=F12,"J28",IF(INDEX($L$1:$L$1611,$T$2+10)="","",INDEX($L$1:$L$1611,$T$2+10)))))))))),IF(INDEX($L$1:$L$1611,$T$2+10)="","",INDEX($L$1:$L$1611,$T$2+10)))</f>
        <v/>
      </c>
      <c r="Q12" t="str">
        <f ca="1">IF(INDEX($M$1:$M$1611,$T$2+10)="","",INDEX($M$1:$M$1611,$T$2+10))</f>
        <v>N2</v>
      </c>
      <c r="R12" t="b">
        <f ca="1">INDEX($N$1:$N$1611,$T$2+10)</f>
        <v>0</v>
      </c>
      <c r="Z12" s="0" t="b">
        <f>AND(附表!$I$12,A28&lt;&gt;"",人物卡!P59="☑")</f>
        <v>0</v>
      </c>
    </row>
    <row r="13" spans="1:26">
      <c r="A13" t="str">
        <f ca="1">IF(INDEX($C$1:$C$1611,$T$2+11)="","",INDEX($C$1:$C$1611,$T$2+11))</f>
        <v/>
      </c>
      <c r="B13" t="str">
        <f ca="1">IF(INDEX($D$1:$D$1611,$T$2+11)="","",INDEX($D$1:$D$1611,$T$2+11))</f>
        <v>fixed</v>
      </c>
      <c r="C13" t="str">
        <f ca="1">IF(INDEX($E$1:$E$1611,$T$2+11)="","",INDEX($E$1:$E$1611,$T$2+11))</f>
        <v/>
      </c>
      <c r="D13">
        <f ca="1">INDEX($F$1:$F$1611,$T$2+11)</f>
        <v>0</v>
      </c>
      <c r="E13" t="str">
        <f ca="1">IF(INDEX($G$1:$G$1611,$T$2+11)="","",INDEX($G$1:$G$1611,$T$2+11))</f>
        <v/>
      </c>
      <c r="F13" t="str">
        <f ca="1">IF(INDEX($H$1:$H$1611,$T$2+11)="","",INDEX($H$1:$H$1611,$T$2+11))</f>
        <v/>
      </c>
      <c r="G13" t="str">
        <f ca="1">IF(INDEX($I$1:$I$1611,$T$2+11)="","",INDEX($I$1:$I$1611,$T$2+11))</f>
        <v/>
      </c>
      <c r="H13" t="str">
        <f ca="1">IF(INDEX($J$1:$J$1611,$T$2+11)="","",INDEX($J$1:$J$1611,$T$2+11))</f>
        <v/>
      </c>
      <c r="I13" t="str">
        <f ca="1">IF(INDEX($K$1:$K$1611,$T$2+11)="","",INDEX($K$1:$K$1611,$T$2+11))</f>
        <v/>
      </c>
      <c r="J13" t="str">
        <f ca="1" t="shared" si="0"/>
        <v/>
      </c>
      <c r="K13" t="str">
        <f ca="1" t="shared" si="1"/>
        <v/>
      </c>
      <c r="L13" t="b">
        <f ca="1" t="shared" si="2"/>
        <v>0</v>
      </c>
      <c r="M13" t="b">
        <f ca="1" t="shared" si="3"/>
        <v>0</v>
      </c>
      <c r="N13" t="str">
        <f ca="1" t="shared" si="4"/>
        <v/>
      </c>
      <c r="O13">
        <f ca="1">IF(AND(附表!$I$12,L13,K13&lt;&gt;"",NOT(M13),TRUE),D13,0)</f>
        <v>0</v>
      </c>
      <c r="P13" t="str">
        <f ca="1">IF(AND(C13="工艺",E13="",F13&lt;&gt;""),IF(AND(I13="工艺1",TRIM(人物卡!J25)=F13),"J25",IF(AND(I13="工艺2",TRIM(人物卡!J26)=F13),"J26",IF(AND(I13="工艺3",TRIM(人物卡!J27)=F13),"J27",IF(AND(I13="工艺4",TRIM(人物卡!J28)=F13),"J28",IF(TRIM(人物卡!J25)=F13,"J25",IF(TRIM(人物卡!J26)=F13,"J26",IF(TRIM(人物卡!J27)=F13,"J27",IF(TRIM(人物卡!J28)=F13,"J28",IF(INDEX($L$1:$L$1611,$T$2+11)="","",INDEX($L$1:$L$1611,$T$2+11)))))))))),IF(INDEX($L$1:$L$1611,$T$2+11)="","",INDEX($L$1:$L$1611,$T$2+11)))</f>
        <v/>
      </c>
      <c r="Q13" t="str">
        <f ca="1">IF(INDEX($M$1:$M$1611,$T$2+11)="","",INDEX($M$1:$M$1611,$T$2+11))</f>
        <v>O2</v>
      </c>
      <c r="R13" t="b">
        <f ca="1">INDEX($N$1:$N$1611,$T$2+11)</f>
        <v>0</v>
      </c>
    </row>
    <row r="14" spans="1:26">
      <c r="A14" t="str">
        <f ca="1">IF(INDEX($C$1:$C$1611,$T$2+12)="","",INDEX($C$1:$C$1611,$T$2+12))</f>
        <v/>
      </c>
      <c r="B14" t="str">
        <f ca="1">IF(INDEX($D$1:$D$1611,$T$2+12)="","",INDEX($D$1:$D$1611,$T$2+12))</f>
        <v>fixed</v>
      </c>
      <c r="C14" t="str">
        <f ca="1">IF(INDEX($E$1:$E$1611,$T$2+12)="","",INDEX($E$1:$E$1611,$T$2+12))</f>
        <v/>
      </c>
      <c r="D14">
        <f ca="1">INDEX($F$1:$F$1611,$T$2+12)</f>
        <v>0</v>
      </c>
      <c r="E14" t="str">
        <f ca="1">IF(INDEX($G$1:$G$1611,$T$2+12)="","",INDEX($G$1:$G$1611,$T$2+12))</f>
        <v/>
      </c>
      <c r="F14" t="str">
        <f ca="1">IF(INDEX($H$1:$H$1611,$T$2+12)="","",INDEX($H$1:$H$1611,$T$2+12))</f>
        <v/>
      </c>
      <c r="G14" t="str">
        <f ca="1">IF(INDEX($I$1:$I$1611,$T$2+12)="","",INDEX($I$1:$I$1611,$T$2+12))</f>
        <v/>
      </c>
      <c r="H14" t="str">
        <f ca="1">IF(INDEX($J$1:$J$1611,$T$2+12)="","",INDEX($J$1:$J$1611,$T$2+12))</f>
        <v/>
      </c>
      <c r="I14" t="str">
        <f ca="1">IF(INDEX($K$1:$K$1611,$T$2+12)="","",INDEX($K$1:$K$1611,$T$2+12))</f>
        <v/>
      </c>
      <c r="J14" t="str">
        <f ca="1" t="shared" si="0"/>
        <v/>
      </c>
      <c r="K14" t="str">
        <f ca="1" t="shared" si="1"/>
        <v/>
      </c>
      <c r="L14" t="b">
        <f ca="1" t="shared" si="2"/>
        <v>0</v>
      </c>
      <c r="M14" t="b">
        <f ca="1" t="shared" si="3"/>
        <v>0</v>
      </c>
      <c r="N14" t="str">
        <f ca="1" t="shared" si="4"/>
        <v/>
      </c>
      <c r="O14">
        <f ca="1">IF(AND(附表!$I$12,L14,K14&lt;&gt;"",NOT(M14),TRUE),D14,0)</f>
        <v>0</v>
      </c>
      <c r="P14" t="str">
        <f ca="1">IF(AND(C14="工艺",E14="",F14&lt;&gt;""),IF(AND(I14="工艺1",TRIM(人物卡!J25)=F14),"J25",IF(AND(I14="工艺2",TRIM(人物卡!J26)=F14),"J26",IF(AND(I14="工艺3",TRIM(人物卡!J27)=F14),"J27",IF(AND(I14="工艺4",TRIM(人物卡!J28)=F14),"J28",IF(TRIM(人物卡!J25)=F14,"J25",IF(TRIM(人物卡!J26)=F14,"J26",IF(TRIM(人物卡!J27)=F14,"J27",IF(TRIM(人物卡!J28)=F14,"J28",IF(INDEX($L$1:$L$1611,$T$2+12)="","",INDEX($L$1:$L$1611,$T$2+12)))))))))),IF(INDEX($L$1:$L$1611,$T$2+12)="","",INDEX($L$1:$L$1611,$T$2+12)))</f>
        <v/>
      </c>
      <c r="Q14" t="str">
        <f ca="1">IF(INDEX($M$1:$M$1611,$T$2+12)="","",INDEX($M$1:$M$1611,$T$2+12))</f>
        <v>P2</v>
      </c>
      <c r="R14" t="b">
        <f ca="1">INDEX($N$1:$N$1611,$T$2+12)</f>
        <v>0</v>
      </c>
    </row>
    <row r="15" spans="1:26">
      <c r="A15" t="str">
        <f ca="1">IF(INDEX($C$1:$C$1611,$T$2+13)="","",INDEX($C$1:$C$1611,$T$2+13))</f>
        <v/>
      </c>
      <c r="B15" t="str">
        <f ca="1">IF(INDEX($D$1:$D$1611,$T$2+13)="","",INDEX($D$1:$D$1611,$T$2+13))</f>
        <v>fixed</v>
      </c>
      <c r="C15" t="str">
        <f ca="1">IF(INDEX($E$1:$E$1611,$T$2+13)="","",INDEX($E$1:$E$1611,$T$2+13))</f>
        <v/>
      </c>
      <c r="D15">
        <f ca="1">INDEX($F$1:$F$1611,$T$2+13)</f>
        <v>0</v>
      </c>
      <c r="E15" t="str">
        <f ca="1">IF(INDEX($G$1:$G$1611,$T$2+13)="","",INDEX($G$1:$G$1611,$T$2+13))</f>
        <v/>
      </c>
      <c r="F15" t="str">
        <f ca="1">IF(INDEX($H$1:$H$1611,$T$2+13)="","",INDEX($H$1:$H$1611,$T$2+13))</f>
        <v/>
      </c>
      <c r="G15" t="str">
        <f ca="1">IF(INDEX($I$1:$I$1611,$T$2+13)="","",INDEX($I$1:$I$1611,$T$2+13))</f>
        <v/>
      </c>
      <c r="H15" t="str">
        <f ca="1">IF(INDEX($J$1:$J$1611,$T$2+13)="","",INDEX($J$1:$J$1611,$T$2+13))</f>
        <v/>
      </c>
      <c r="I15" t="str">
        <f ca="1">IF(INDEX($K$1:$K$1611,$T$2+13)="","",INDEX($K$1:$K$1611,$T$2+13))</f>
        <v/>
      </c>
      <c r="J15" t="str">
        <f ca="1" t="shared" si="0"/>
        <v/>
      </c>
      <c r="K15" t="str">
        <f ca="1" t="shared" si="1"/>
        <v/>
      </c>
      <c r="L15" t="b">
        <f ca="1" t="shared" si="2"/>
        <v>0</v>
      </c>
      <c r="M15" t="b">
        <f ca="1" t="shared" si="3"/>
        <v>0</v>
      </c>
      <c r="N15" t="str">
        <f ca="1" t="shared" si="4"/>
        <v/>
      </c>
      <c r="O15">
        <f ca="1">IF(AND(附表!$I$12,L15,K15&lt;&gt;"",NOT(M15),TRUE),D15,0)</f>
        <v>0</v>
      </c>
      <c r="P15" t="str">
        <f ca="1">IF(AND(C15="工艺",E15="",F15&lt;&gt;""),IF(AND(I15="工艺1",TRIM(人物卡!J25)=F15),"J25",IF(AND(I15="工艺2",TRIM(人物卡!J26)=F15),"J26",IF(AND(I15="工艺3",TRIM(人物卡!J27)=F15),"J27",IF(AND(I15="工艺4",TRIM(人物卡!J28)=F15),"J28",IF(TRIM(人物卡!J25)=F15,"J25",IF(TRIM(人物卡!J26)=F15,"J26",IF(TRIM(人物卡!J27)=F15,"J27",IF(TRIM(人物卡!J28)=F15,"J28",IF(INDEX($L$1:$L$1611,$T$2+13)="","",INDEX($L$1:$L$1611,$T$2+13)))))))))),IF(INDEX($L$1:$L$1611,$T$2+13)="","",INDEX($L$1:$L$1611,$T$2+13)))</f>
        <v/>
      </c>
      <c r="Q15" t="str">
        <f ca="1">IF(INDEX($M$1:$M$1611,$T$2+13)="","",INDEX($M$1:$M$1611,$T$2+13))</f>
        <v>Q2</v>
      </c>
      <c r="R15" t="b">
        <f ca="1">INDEX($N$1:$N$1611,$T$2+13)</f>
        <v>0</v>
      </c>
    </row>
    <row r="16" spans="1:26">
      <c r="A16" t="str">
        <f ca="1">IF(INDEX($C$1:$C$1611,$T$2+14)="","",INDEX($C$1:$C$1611,$T$2+14))</f>
        <v/>
      </c>
      <c r="B16" t="str">
        <f ca="1">IF(INDEX($D$1:$D$1611,$T$2+14)="","",INDEX($D$1:$D$1611,$T$2+14))</f>
        <v>fixed</v>
      </c>
      <c r="C16" t="str">
        <f ca="1">IF(INDEX($E$1:$E$1611,$T$2+14)="","",INDEX($E$1:$E$1611,$T$2+14))</f>
        <v/>
      </c>
      <c r="D16">
        <f ca="1">INDEX($F$1:$F$1611,$T$2+14)</f>
        <v>0</v>
      </c>
      <c r="E16" t="str">
        <f ca="1">IF(INDEX($G$1:$G$1611,$T$2+14)="","",INDEX($G$1:$G$1611,$T$2+14))</f>
        <v/>
      </c>
      <c r="F16" t="str">
        <f ca="1">IF(INDEX($H$1:$H$1611,$T$2+14)="","",INDEX($H$1:$H$1611,$T$2+14))</f>
        <v/>
      </c>
      <c r="G16" t="str">
        <f ca="1">IF(INDEX($I$1:$I$1611,$T$2+14)="","",INDEX($I$1:$I$1611,$T$2+14))</f>
        <v/>
      </c>
      <c r="H16" t="str">
        <f ca="1">IF(INDEX($J$1:$J$1611,$T$2+14)="","",INDEX($J$1:$J$1611,$T$2+14))</f>
        <v/>
      </c>
      <c r="I16" t="str">
        <f ca="1">IF(INDEX($K$1:$K$1611,$T$2+14)="","",INDEX($K$1:$K$1611,$T$2+14))</f>
        <v/>
      </c>
      <c r="J16" t="str">
        <f ca="1" t="shared" si="0"/>
        <v/>
      </c>
      <c r="K16" t="str">
        <f ca="1" t="shared" si="1"/>
        <v/>
      </c>
      <c r="L16" t="b">
        <f ca="1" t="shared" si="2"/>
        <v>0</v>
      </c>
      <c r="M16" t="b">
        <f ca="1" t="shared" si="3"/>
        <v>0</v>
      </c>
      <c r="N16" t="str">
        <f ca="1" t="shared" si="4"/>
        <v/>
      </c>
      <c r="O16">
        <f ca="1">IF(AND(附表!$I$12,L16,K16&lt;&gt;"",NOT(M16),TRUE),D16,0)</f>
        <v>0</v>
      </c>
      <c r="P16" t="str">
        <f ca="1">IF(AND(C16="工艺",E16="",F16&lt;&gt;""),IF(AND(I16="工艺1",TRIM(人物卡!J25)=F16),"J25",IF(AND(I16="工艺2",TRIM(人物卡!J26)=F16),"J26",IF(AND(I16="工艺3",TRIM(人物卡!J27)=F16),"J27",IF(AND(I16="工艺4",TRIM(人物卡!J28)=F16),"J28",IF(TRIM(人物卡!J25)=F16,"J25",IF(TRIM(人物卡!J26)=F16,"J26",IF(TRIM(人物卡!J27)=F16,"J27",IF(TRIM(人物卡!J28)=F16,"J28",IF(INDEX($L$1:$L$1611,$T$2+14)="","",INDEX($L$1:$L$1611,$T$2+14)))))))))),IF(INDEX($L$1:$L$1611,$T$2+14)="","",INDEX($L$1:$L$1611,$T$2+14)))</f>
        <v/>
      </c>
      <c r="Q16" t="str">
        <f ca="1">IF(INDEX($M$1:$M$1611,$T$2+14)="","",INDEX($M$1:$M$1611,$T$2+14))</f>
        <v>R2</v>
      </c>
      <c r="R16" t="b">
        <f ca="1">INDEX($N$1:$N$1611,$T$2+14)</f>
        <v>0</v>
      </c>
    </row>
    <row r="17" spans="1:18">
      <c r="A17" t="str">
        <f ca="1">IF(INDEX($C$1:$C$1611,$T$2+15)="","",INDEX($C$1:$C$1611,$T$2+15))</f>
        <v/>
      </c>
      <c r="B17" t="str">
        <f ca="1">IF(INDEX($D$1:$D$1611,$T$2+15)="","",INDEX($D$1:$D$1611,$T$2+15))</f>
        <v>fixed</v>
      </c>
      <c r="C17" t="str">
        <f ca="1">IF(INDEX($E$1:$E$1611,$T$2+15)="","",INDEX($E$1:$E$1611,$T$2+15))</f>
        <v/>
      </c>
      <c r="D17">
        <f ca="1">INDEX($F$1:$F$1611,$T$2+15)</f>
        <v>0</v>
      </c>
      <c r="E17" t="str">
        <f ca="1">IF(INDEX($G$1:$G$1611,$T$2+15)="","",INDEX($G$1:$G$1611,$T$2+15))</f>
        <v/>
      </c>
      <c r="F17" t="str">
        <f ca="1">IF(INDEX($H$1:$H$1611,$T$2+15)="","",INDEX($H$1:$H$1611,$T$2+15))</f>
        <v/>
      </c>
      <c r="G17" t="str">
        <f ca="1">IF(INDEX($I$1:$I$1611,$T$2+15)="","",INDEX($I$1:$I$1611,$T$2+15))</f>
        <v/>
      </c>
      <c r="H17" t="str">
        <f ca="1">IF(INDEX($J$1:$J$1611,$T$2+15)="","",INDEX($J$1:$J$1611,$T$2+15))</f>
        <v/>
      </c>
      <c r="I17" t="str">
        <f ca="1">IF(INDEX($K$1:$K$1611,$T$2+15)="","",INDEX($K$1:$K$1611,$T$2+15))</f>
        <v/>
      </c>
      <c r="J17" t="str">
        <f ca="1" t="shared" si="0"/>
        <v/>
      </c>
      <c r="K17" t="str">
        <f ca="1" t="shared" si="1"/>
        <v/>
      </c>
      <c r="L17" t="b">
        <f ca="1" t="shared" si="2"/>
        <v>0</v>
      </c>
      <c r="M17" t="b">
        <f ca="1" t="shared" si="3"/>
        <v>0</v>
      </c>
      <c r="N17" t="str">
        <f ca="1" t="shared" si="4"/>
        <v/>
      </c>
      <c r="O17">
        <f ca="1">IF(AND(附表!$I$12,L17,K17&lt;&gt;"",NOT(M17),TRUE),D17,0)</f>
        <v>0</v>
      </c>
      <c r="P17" t="str">
        <f ca="1">IF(AND(C17="工艺",E17="",F17&lt;&gt;""),IF(AND(I17="工艺1",TRIM(人物卡!J25)=F17),"J25",IF(AND(I17="工艺2",TRIM(人物卡!J26)=F17),"J26",IF(AND(I17="工艺3",TRIM(人物卡!J27)=F17),"J27",IF(AND(I17="工艺4",TRIM(人物卡!J28)=F17),"J28",IF(TRIM(人物卡!J25)=F17,"J25",IF(TRIM(人物卡!J26)=F17,"J26",IF(TRIM(人物卡!J27)=F17,"J27",IF(TRIM(人物卡!J28)=F17,"J28",IF(INDEX($L$1:$L$1611,$T$2+15)="","",INDEX($L$1:$L$1611,$T$2+15)))))))))),IF(INDEX($L$1:$L$1611,$T$2+15)="","",INDEX($L$1:$L$1611,$T$2+15)))</f>
        <v/>
      </c>
      <c r="Q17" t="str">
        <f ca="1">IF(INDEX($M$1:$M$1611,$T$2+15)="","",INDEX($M$1:$M$1611,$T$2+15))</f>
        <v>S2</v>
      </c>
      <c r="R17" t="b">
        <f ca="1">INDEX($N$1:$N$1611,$T$2+15)</f>
        <v>0</v>
      </c>
    </row>
    <row r="18" spans="1:18">
      <c r="A18" t="str">
        <f ca="1">IF(INDEX($C$1:$C$1611,$T$2+16)="","",INDEX($C$1:$C$1611,$T$2+16))</f>
        <v/>
      </c>
      <c r="B18" t="str">
        <f ca="1">IF(INDEX($D$1:$D$1611,$T$2+16)="","",INDEX($D$1:$D$1611,$T$2+16))</f>
        <v>free</v>
      </c>
      <c r="C18" t="str">
        <f ca="1">IF(INDEX($E$1:$E$1611,$T$2+16)="","",INDEX($E$1:$E$1611,$T$2+16))</f>
        <v/>
      </c>
      <c r="D18">
        <f ca="1">INDEX($F$1:$F$1611,$T$2+16)</f>
        <v>0</v>
      </c>
      <c r="E18" t="str">
        <f ca="1">IF(INDEX($G$1:$G$1611,$T$2+16)="","",INDEX($G$1:$G$1611,$T$2+16))</f>
        <v/>
      </c>
      <c r="F18" t="str">
        <f ca="1">IF(INDEX($H$1:$H$1611,$T$2+16)="","",INDEX($H$1:$H$1611,$T$2+16))</f>
        <v/>
      </c>
      <c r="G18" t="str">
        <f ca="1">IF(INDEX($I$1:$I$1611,$T$2+16)="","",INDEX($I$1:$I$1611,$T$2+16))</f>
        <v/>
      </c>
      <c r="H18" t="str">
        <f ca="1">IF(INDEX($J$1:$J$1611,$T$2+16)="","",INDEX($J$1:$J$1611,$T$2+16))</f>
        <v/>
      </c>
      <c r="I18" t="str">
        <f ca="1">IF(INDEX($K$1:$K$1611,$T$2+16)="","",INDEX($K$1:$K$1611,$T$2+16))</f>
        <v/>
      </c>
      <c r="J18" t="str">
        <f ca="1" t="shared" si="0"/>
        <v/>
      </c>
      <c r="K18" t="str">
        <f ca="1" t="shared" si="1"/>
        <v/>
      </c>
      <c r="L18" t="b">
        <f ca="1">AND(A18&lt;&gt;"",$Z$2=TRUE)</f>
        <v>0</v>
      </c>
      <c r="M18" t="b">
        <f ca="1" t="shared" ref="M18:M28" si="5">AND(L18,K18&lt;&gt;"",OR(COUNTIFS($K$18:$K$28,K18,$L$18:$L$28,TRUE)&gt;1,AND(COUNTIFS($K$2:$K$17,K18,$L$2:$L$17,TRUE)&gt;0,NOT(R18))))</f>
        <v>0</v>
      </c>
      <c r="N18" t="str">
        <f ca="1" t="shared" si="4"/>
        <v/>
      </c>
      <c r="O18">
        <f ca="1">IF(AND(附表!$I$12,L18,K18&lt;&gt;"",NOT(M18),$T$4&lt;=$T$3),D18,0)</f>
        <v>0</v>
      </c>
      <c r="P18" t="str">
        <f ca="1">IF(AND(C18="工艺",E18="",F18&lt;&gt;""),IF(AND(I18="工艺1",TRIM(人物卡!J25)=F18),"J25",IF(AND(I18="工艺2",TRIM(人物卡!J26)=F18),"J26",IF(AND(I18="工艺3",TRIM(人物卡!J27)=F18),"J27",IF(AND(I18="工艺4",TRIM(人物卡!J28)=F18),"J28",IF(TRIM(人物卡!J25)=F18,"J25",IF(TRIM(人物卡!J26)=F18,"J26",IF(TRIM(人物卡!J27)=F18,"J27",IF(TRIM(人物卡!J28)=F18,"J28",IF(INDEX($L$1:$L$1611,$T$2+16)="","",INDEX($L$1:$L$1611,$T$2+16)))))))))),IF(INDEX($L$1:$L$1611,$T$2+16)="","",INDEX($L$1:$L$1611,$T$2+16)))</f>
        <v/>
      </c>
      <c r="Q18" t="str">
        <f ca="1">IF(INDEX($M$1:$M$1611,$T$2+16)="","",INDEX($M$1:$M$1611,$T$2+16))</f>
        <v>U2</v>
      </c>
      <c r="R18" t="b">
        <f ca="1">INDEX($N$1:$N$1611,$T$2+16)</f>
        <v>0</v>
      </c>
    </row>
    <row r="19" spans="1:18">
      <c r="A19" t="str">
        <f ca="1">IF(INDEX($C$1:$C$1611,$T$2+17)="","",INDEX($C$1:$C$1611,$T$2+17))</f>
        <v/>
      </c>
      <c r="B19" t="str">
        <f ca="1">IF(INDEX($D$1:$D$1611,$T$2+17)="","",INDEX($D$1:$D$1611,$T$2+17))</f>
        <v>free</v>
      </c>
      <c r="C19" t="str">
        <f ca="1">IF(INDEX($E$1:$E$1611,$T$2+17)="","",INDEX($E$1:$E$1611,$T$2+17))</f>
        <v/>
      </c>
      <c r="D19">
        <f ca="1">INDEX($F$1:$F$1611,$T$2+17)</f>
        <v>0</v>
      </c>
      <c r="E19" t="str">
        <f ca="1">IF(INDEX($G$1:$G$1611,$T$2+17)="","",INDEX($G$1:$G$1611,$T$2+17))</f>
        <v/>
      </c>
      <c r="F19" t="str">
        <f ca="1">IF(INDEX($H$1:$H$1611,$T$2+17)="","",INDEX($H$1:$H$1611,$T$2+17))</f>
        <v/>
      </c>
      <c r="G19" t="str">
        <f ca="1">IF(INDEX($I$1:$I$1611,$T$2+17)="","",INDEX($I$1:$I$1611,$T$2+17))</f>
        <v/>
      </c>
      <c r="H19" t="str">
        <f ca="1">IF(INDEX($J$1:$J$1611,$T$2+17)="","",INDEX($J$1:$J$1611,$T$2+17))</f>
        <v/>
      </c>
      <c r="I19" t="str">
        <f ca="1">IF(INDEX($K$1:$K$1611,$T$2+17)="","",INDEX($K$1:$K$1611,$T$2+17))</f>
        <v/>
      </c>
      <c r="J19" t="str">
        <f ca="1" t="shared" si="0"/>
        <v/>
      </c>
      <c r="K19" t="str">
        <f ca="1" t="shared" si="1"/>
        <v/>
      </c>
      <c r="L19" t="b">
        <f ca="1">AND(A19&lt;&gt;"",$Z$3=TRUE)</f>
        <v>0</v>
      </c>
      <c r="M19" t="b">
        <f ca="1" t="shared" si="5"/>
        <v>0</v>
      </c>
      <c r="N19" t="str">
        <f ca="1" t="shared" si="4"/>
        <v/>
      </c>
      <c r="O19">
        <f ca="1">IF(AND(附表!$I$12,L19,K19&lt;&gt;"",NOT(M19),$T$4&lt;=$T$3),D19,0)</f>
        <v>0</v>
      </c>
      <c r="P19" t="str">
        <f ca="1">IF(AND(C19="工艺",E19="",F19&lt;&gt;""),IF(AND(I19="工艺1",TRIM(人物卡!J25)=F19),"J25",IF(AND(I19="工艺2",TRIM(人物卡!J26)=F19),"J26",IF(AND(I19="工艺3",TRIM(人物卡!J27)=F19),"J27",IF(AND(I19="工艺4",TRIM(人物卡!J28)=F19),"J28",IF(TRIM(人物卡!J25)=F19,"J25",IF(TRIM(人物卡!J26)=F19,"J26",IF(TRIM(人物卡!J27)=F19,"J27",IF(TRIM(人物卡!J28)=F19,"J28",IF(INDEX($L$1:$L$1611,$T$2+17)="","",INDEX($L$1:$L$1611,$T$2+17)))))))))),IF(INDEX($L$1:$L$1611,$T$2+17)="","",INDEX($L$1:$L$1611,$T$2+17)))</f>
        <v/>
      </c>
      <c r="Q19" t="str">
        <f ca="1">IF(INDEX($M$1:$M$1611,$T$2+17)="","",INDEX($M$1:$M$1611,$T$2+17))</f>
        <v>V2</v>
      </c>
      <c r="R19" t="b">
        <f ca="1">INDEX($N$1:$N$1611,$T$2+17)</f>
        <v>0</v>
      </c>
    </row>
    <row r="20" spans="1:18">
      <c r="A20" t="str">
        <f ca="1">IF(INDEX($C$1:$C$1611,$T$2+18)="","",INDEX($C$1:$C$1611,$T$2+18))</f>
        <v/>
      </c>
      <c r="B20" t="str">
        <f ca="1">IF(INDEX($D$1:$D$1611,$T$2+18)="","",INDEX($D$1:$D$1611,$T$2+18))</f>
        <v>free</v>
      </c>
      <c r="C20" t="str">
        <f ca="1">IF(INDEX($E$1:$E$1611,$T$2+18)="","",INDEX($E$1:$E$1611,$T$2+18))</f>
        <v/>
      </c>
      <c r="D20">
        <f ca="1">INDEX($F$1:$F$1611,$T$2+18)</f>
        <v>0</v>
      </c>
      <c r="E20" t="str">
        <f ca="1">IF(INDEX($G$1:$G$1611,$T$2+18)="","",INDEX($G$1:$G$1611,$T$2+18))</f>
        <v/>
      </c>
      <c r="F20" t="str">
        <f ca="1">IF(INDEX($H$1:$H$1611,$T$2+18)="","",INDEX($H$1:$H$1611,$T$2+18))</f>
        <v/>
      </c>
      <c r="G20" t="str">
        <f ca="1">IF(INDEX($I$1:$I$1611,$T$2+18)="","",INDEX($I$1:$I$1611,$T$2+18))</f>
        <v/>
      </c>
      <c r="H20" t="str">
        <f ca="1">IF(INDEX($J$1:$J$1611,$T$2+18)="","",INDEX($J$1:$J$1611,$T$2+18))</f>
        <v/>
      </c>
      <c r="I20" t="str">
        <f ca="1">IF(INDEX($K$1:$K$1611,$T$2+18)="","",INDEX($K$1:$K$1611,$T$2+18))</f>
        <v/>
      </c>
      <c r="J20" t="str">
        <f ca="1" t="shared" si="0"/>
        <v/>
      </c>
      <c r="K20" t="str">
        <f ca="1" t="shared" si="1"/>
        <v/>
      </c>
      <c r="L20" t="b">
        <f ca="1">AND(A20&lt;&gt;"",$Z$4=TRUE)</f>
        <v>0</v>
      </c>
      <c r="M20" t="b">
        <f ca="1" t="shared" si="5"/>
        <v>0</v>
      </c>
      <c r="N20" t="str">
        <f ca="1" t="shared" si="4"/>
        <v/>
      </c>
      <c r="O20">
        <f ca="1">IF(AND(附表!$I$12,L20,K20&lt;&gt;"",NOT(M20),$T$4&lt;=$T$3),D20,0)</f>
        <v>0</v>
      </c>
      <c r="P20" t="str">
        <f ca="1">IF(AND(C20="工艺",E20="",F20&lt;&gt;""),IF(AND(I20="工艺1",TRIM(人物卡!J25)=F20),"J25",IF(AND(I20="工艺2",TRIM(人物卡!J26)=F20),"J26",IF(AND(I20="工艺3",TRIM(人物卡!J27)=F20),"J27",IF(AND(I20="工艺4",TRIM(人物卡!J28)=F20),"J28",IF(TRIM(人物卡!J25)=F20,"J25",IF(TRIM(人物卡!J26)=F20,"J26",IF(TRIM(人物卡!J27)=F20,"J27",IF(TRIM(人物卡!J28)=F20,"J28",IF(INDEX($L$1:$L$1611,$T$2+18)="","",INDEX($L$1:$L$1611,$T$2+18)))))))))),IF(INDEX($L$1:$L$1611,$T$2+18)="","",INDEX($L$1:$L$1611,$T$2+18)))</f>
        <v/>
      </c>
      <c r="Q20" t="str">
        <f ca="1">IF(INDEX($M$1:$M$1611,$T$2+18)="","",INDEX($M$1:$M$1611,$T$2+18))</f>
        <v>W2</v>
      </c>
      <c r="R20" t="b">
        <f ca="1">INDEX($N$1:$N$1611,$T$2+18)</f>
        <v>0</v>
      </c>
    </row>
    <row r="21" spans="1:18">
      <c r="A21" t="str">
        <f ca="1">IF(INDEX($C$1:$C$1611,$T$2+19)="","",INDEX($C$1:$C$1611,$T$2+19))</f>
        <v/>
      </c>
      <c r="B21" t="str">
        <f ca="1">IF(INDEX($D$1:$D$1611,$T$2+19)="","",INDEX($D$1:$D$1611,$T$2+19))</f>
        <v>free</v>
      </c>
      <c r="C21" t="str">
        <f ca="1">IF(INDEX($E$1:$E$1611,$T$2+19)="","",INDEX($E$1:$E$1611,$T$2+19))</f>
        <v/>
      </c>
      <c r="D21">
        <f ca="1">INDEX($F$1:$F$1611,$T$2+19)</f>
        <v>0</v>
      </c>
      <c r="E21" t="str">
        <f ca="1">IF(INDEX($G$1:$G$1611,$T$2+19)="","",INDEX($G$1:$G$1611,$T$2+19))</f>
        <v/>
      </c>
      <c r="F21" t="str">
        <f ca="1">IF(INDEX($H$1:$H$1611,$T$2+19)="","",INDEX($H$1:$H$1611,$T$2+19))</f>
        <v/>
      </c>
      <c r="G21" t="str">
        <f ca="1">IF(INDEX($I$1:$I$1611,$T$2+19)="","",INDEX($I$1:$I$1611,$T$2+19))</f>
        <v/>
      </c>
      <c r="H21" t="str">
        <f ca="1">IF(INDEX($J$1:$J$1611,$T$2+19)="","",INDEX($J$1:$J$1611,$T$2+19))</f>
        <v/>
      </c>
      <c r="I21" t="str">
        <f ca="1">IF(INDEX($K$1:$K$1611,$T$2+19)="","",INDEX($K$1:$K$1611,$T$2+19))</f>
        <v/>
      </c>
      <c r="J21" t="str">
        <f ca="1" t="shared" si="0"/>
        <v/>
      </c>
      <c r="K21" t="str">
        <f ca="1" t="shared" si="1"/>
        <v/>
      </c>
      <c r="L21" t="b">
        <f ca="1">AND(A21&lt;&gt;"",$Z$5=TRUE)</f>
        <v>0</v>
      </c>
      <c r="M21" t="b">
        <f ca="1" t="shared" si="5"/>
        <v>0</v>
      </c>
      <c r="N21" t="str">
        <f ca="1" t="shared" si="4"/>
        <v/>
      </c>
      <c r="O21">
        <f ca="1">IF(AND(附表!$I$12,L21,K21&lt;&gt;"",NOT(M21),$T$4&lt;=$T$3),D21,0)</f>
        <v>0</v>
      </c>
      <c r="P21" t="str">
        <f ca="1">IF(AND(C21="工艺",E21="",F21&lt;&gt;""),IF(AND(I21="工艺1",TRIM(人物卡!J25)=F21),"J25",IF(AND(I21="工艺2",TRIM(人物卡!J26)=F21),"J26",IF(AND(I21="工艺3",TRIM(人物卡!J27)=F21),"J27",IF(AND(I21="工艺4",TRIM(人物卡!J28)=F21),"J28",IF(TRIM(人物卡!J25)=F21,"J25",IF(TRIM(人物卡!J26)=F21,"J26",IF(TRIM(人物卡!J27)=F21,"J27",IF(TRIM(人物卡!J28)=F21,"J28",IF(INDEX($L$1:$L$1611,$T$2+19)="","",INDEX($L$1:$L$1611,$T$2+19)))))))))),IF(INDEX($L$1:$L$1611,$T$2+19)="","",INDEX($L$1:$L$1611,$T$2+19)))</f>
        <v/>
      </c>
      <c r="Q21" t="str">
        <f ca="1">IF(INDEX($M$1:$M$1611,$T$2+19)="","",INDEX($M$1:$M$1611,$T$2+19))</f>
        <v>X2</v>
      </c>
      <c r="R21" t="b">
        <f ca="1">INDEX($N$1:$N$1611,$T$2+19)</f>
        <v>0</v>
      </c>
    </row>
    <row r="22" spans="1:18">
      <c r="A22" t="str">
        <f ca="1">IF(INDEX($C$1:$C$1611,$T$2+20)="","",INDEX($C$1:$C$1611,$T$2+20))</f>
        <v/>
      </c>
      <c r="B22" t="str">
        <f ca="1">IF(INDEX($D$1:$D$1611,$T$2+20)="","",INDEX($D$1:$D$1611,$T$2+20))</f>
        <v>free</v>
      </c>
      <c r="C22" t="str">
        <f ca="1">IF(INDEX($E$1:$E$1611,$T$2+20)="","",INDEX($E$1:$E$1611,$T$2+20))</f>
        <v/>
      </c>
      <c r="D22">
        <f ca="1">INDEX($F$1:$F$1611,$T$2+20)</f>
        <v>0</v>
      </c>
      <c r="E22" t="str">
        <f ca="1">IF(INDEX($G$1:$G$1611,$T$2+20)="","",INDEX($G$1:$G$1611,$T$2+20))</f>
        <v/>
      </c>
      <c r="F22" t="str">
        <f ca="1">IF(INDEX($H$1:$H$1611,$T$2+20)="","",INDEX($H$1:$H$1611,$T$2+20))</f>
        <v/>
      </c>
      <c r="G22" t="str">
        <f ca="1">IF(INDEX($I$1:$I$1611,$T$2+20)="","",INDEX($I$1:$I$1611,$T$2+20))</f>
        <v/>
      </c>
      <c r="H22" t="str">
        <f ca="1">IF(INDEX($J$1:$J$1611,$T$2+20)="","",INDEX($J$1:$J$1611,$T$2+20))</f>
        <v/>
      </c>
      <c r="I22" t="str">
        <f ca="1">IF(INDEX($K$1:$K$1611,$T$2+20)="","",INDEX($K$1:$K$1611,$T$2+20))</f>
        <v/>
      </c>
      <c r="J22" t="str">
        <f ca="1" t="shared" si="0"/>
        <v/>
      </c>
      <c r="K22" t="str">
        <f ca="1" t="shared" si="1"/>
        <v/>
      </c>
      <c r="L22" t="b">
        <f ca="1">AND(A22&lt;&gt;"",$Z$6=TRUE)</f>
        <v>0</v>
      </c>
      <c r="M22" t="b">
        <f ca="1" t="shared" si="5"/>
        <v>0</v>
      </c>
      <c r="N22" t="str">
        <f ca="1" t="shared" si="4"/>
        <v/>
      </c>
      <c r="O22">
        <f ca="1">IF(AND(附表!$I$12,L22,K22&lt;&gt;"",NOT(M22),$T$4&lt;=$T$3),D22,0)</f>
        <v>0</v>
      </c>
      <c r="P22" t="str">
        <f ca="1">IF(AND(C22="工艺",E22="",F22&lt;&gt;""),IF(AND(I22="工艺1",TRIM(人物卡!J25)=F22),"J25",IF(AND(I22="工艺2",TRIM(人物卡!J26)=F22),"J26",IF(AND(I22="工艺3",TRIM(人物卡!J27)=F22),"J27",IF(AND(I22="工艺4",TRIM(人物卡!J28)=F22),"J28",IF(TRIM(人物卡!J25)=F22,"J25",IF(TRIM(人物卡!J26)=F22,"J26",IF(TRIM(人物卡!J27)=F22,"J27",IF(TRIM(人物卡!J28)=F22,"J28",IF(INDEX($L$1:$L$1611,$T$2+20)="","",INDEX($L$1:$L$1611,$T$2+20)))))))))),IF(INDEX($L$1:$L$1611,$T$2+20)="","",INDEX($L$1:$L$1611,$T$2+20)))</f>
        <v/>
      </c>
      <c r="Q22" t="str">
        <f ca="1">IF(INDEX($M$1:$M$1611,$T$2+20)="","",INDEX($M$1:$M$1611,$T$2+20))</f>
        <v>Y2</v>
      </c>
      <c r="R22" t="b">
        <f ca="1">INDEX($N$1:$N$1611,$T$2+20)</f>
        <v>0</v>
      </c>
    </row>
    <row r="23" spans="1:18">
      <c r="A23" t="str">
        <f ca="1">IF(INDEX($C$1:$C$1611,$T$2+21)="","",INDEX($C$1:$C$1611,$T$2+21))</f>
        <v/>
      </c>
      <c r="B23" t="str">
        <f ca="1">IF(INDEX($D$1:$D$1611,$T$2+21)="","",INDEX($D$1:$D$1611,$T$2+21))</f>
        <v>free</v>
      </c>
      <c r="C23" t="str">
        <f ca="1">IF(INDEX($E$1:$E$1611,$T$2+21)="","",INDEX($E$1:$E$1611,$T$2+21))</f>
        <v/>
      </c>
      <c r="D23">
        <f ca="1">INDEX($F$1:$F$1611,$T$2+21)</f>
        <v>0</v>
      </c>
      <c r="E23" t="str">
        <f ca="1">IF(INDEX($G$1:$G$1611,$T$2+21)="","",INDEX($G$1:$G$1611,$T$2+21))</f>
        <v/>
      </c>
      <c r="F23" t="str">
        <f ca="1">IF(INDEX($H$1:$H$1611,$T$2+21)="","",INDEX($H$1:$H$1611,$T$2+21))</f>
        <v/>
      </c>
      <c r="G23" t="str">
        <f ca="1">IF(INDEX($I$1:$I$1611,$T$2+21)="","",INDEX($I$1:$I$1611,$T$2+21))</f>
        <v/>
      </c>
      <c r="H23" t="str">
        <f ca="1">IF(INDEX($J$1:$J$1611,$T$2+21)="","",INDEX($J$1:$J$1611,$T$2+21))</f>
        <v/>
      </c>
      <c r="I23" t="str">
        <f ca="1">IF(INDEX($K$1:$K$1611,$T$2+21)="","",INDEX($K$1:$K$1611,$T$2+21))</f>
        <v/>
      </c>
      <c r="J23" t="str">
        <f ca="1" t="shared" si="0"/>
        <v/>
      </c>
      <c r="K23" t="str">
        <f ca="1" t="shared" si="1"/>
        <v/>
      </c>
      <c r="L23" t="b">
        <f ca="1">AND(A23&lt;&gt;"",$Z$7=TRUE)</f>
        <v>0</v>
      </c>
      <c r="M23" t="b">
        <f ca="1" t="shared" si="5"/>
        <v>0</v>
      </c>
      <c r="N23" t="str">
        <f ca="1" t="shared" si="4"/>
        <v/>
      </c>
      <c r="O23">
        <f ca="1">IF(AND(附表!$I$12,L23,K23&lt;&gt;"",NOT(M23),$T$4&lt;=$T$3),D23,0)</f>
        <v>0</v>
      </c>
      <c r="P23" t="str">
        <f ca="1">IF(AND(C23="工艺",E23="",F23&lt;&gt;""),IF(AND(I23="工艺1",TRIM(人物卡!J25)=F23),"J25",IF(AND(I23="工艺2",TRIM(人物卡!J26)=F23),"J26",IF(AND(I23="工艺3",TRIM(人物卡!J27)=F23),"J27",IF(AND(I23="工艺4",TRIM(人物卡!J28)=F23),"J28",IF(TRIM(人物卡!J25)=F23,"J25",IF(TRIM(人物卡!J26)=F23,"J26",IF(TRIM(人物卡!J27)=F23,"J27",IF(TRIM(人物卡!J28)=F23,"J28",IF(INDEX($L$1:$L$1611,$T$2+21)="","",INDEX($L$1:$L$1611,$T$2+21)))))))))),IF(INDEX($L$1:$L$1611,$T$2+21)="","",INDEX($L$1:$L$1611,$T$2+21)))</f>
        <v/>
      </c>
      <c r="Q23" t="str">
        <f ca="1">IF(INDEX($M$1:$M$1611,$T$2+21)="","",INDEX($M$1:$M$1611,$T$2+21))</f>
        <v>Z2</v>
      </c>
      <c r="R23" t="b">
        <f ca="1">INDEX($N$1:$N$1611,$T$2+21)</f>
        <v>0</v>
      </c>
    </row>
    <row r="24" spans="1:18">
      <c r="A24" t="str">
        <f ca="1">IF(INDEX($C$1:$C$1611,$T$2+22)="","",INDEX($C$1:$C$1611,$T$2+22))</f>
        <v/>
      </c>
      <c r="B24" t="str">
        <f ca="1">IF(INDEX($D$1:$D$1611,$T$2+22)="","",INDEX($D$1:$D$1611,$T$2+22))</f>
        <v>free</v>
      </c>
      <c r="C24" t="str">
        <f ca="1">IF(INDEX($E$1:$E$1611,$T$2+22)="","",INDEX($E$1:$E$1611,$T$2+22))</f>
        <v/>
      </c>
      <c r="D24">
        <f ca="1">INDEX($F$1:$F$1611,$T$2+22)</f>
        <v>0</v>
      </c>
      <c r="E24" t="str">
        <f ca="1">IF(INDEX($G$1:$G$1611,$T$2+22)="","",INDEX($G$1:$G$1611,$T$2+22))</f>
        <v/>
      </c>
      <c r="F24" t="str">
        <f ca="1">IF(INDEX($H$1:$H$1611,$T$2+22)="","",INDEX($H$1:$H$1611,$T$2+22))</f>
        <v/>
      </c>
      <c r="G24" t="str">
        <f ca="1">IF(INDEX($I$1:$I$1611,$T$2+22)="","",INDEX($I$1:$I$1611,$T$2+22))</f>
        <v/>
      </c>
      <c r="H24" t="str">
        <f ca="1">IF(INDEX($J$1:$J$1611,$T$2+22)="","",INDEX($J$1:$J$1611,$T$2+22))</f>
        <v/>
      </c>
      <c r="I24" t="str">
        <f ca="1">IF(INDEX($K$1:$K$1611,$T$2+22)="","",INDEX($K$1:$K$1611,$T$2+22))</f>
        <v/>
      </c>
      <c r="J24" t="str">
        <f ca="1" t="shared" si="0"/>
        <v/>
      </c>
      <c r="K24" t="str">
        <f ca="1" t="shared" si="1"/>
        <v/>
      </c>
      <c r="L24" t="b">
        <f ca="1">AND(A24&lt;&gt;"",$Z$8=TRUE)</f>
        <v>0</v>
      </c>
      <c r="M24" t="b">
        <f ca="1" t="shared" si="5"/>
        <v>0</v>
      </c>
      <c r="N24" t="str">
        <f ca="1" t="shared" si="4"/>
        <v/>
      </c>
      <c r="O24">
        <f ca="1">IF(AND(附表!$I$12,L24,K24&lt;&gt;"",NOT(M24),$T$4&lt;=$T$3),D24,0)</f>
        <v>0</v>
      </c>
      <c r="P24" t="str">
        <f ca="1">IF(AND(C24="工艺",E24="",F24&lt;&gt;""),IF(AND(I24="工艺1",TRIM(人物卡!J25)=F24),"J25",IF(AND(I24="工艺2",TRIM(人物卡!J26)=F24),"J26",IF(AND(I24="工艺3",TRIM(人物卡!J27)=F24),"J27",IF(AND(I24="工艺4",TRIM(人物卡!J28)=F24),"J28",IF(TRIM(人物卡!J25)=F24,"J25",IF(TRIM(人物卡!J26)=F24,"J26",IF(TRIM(人物卡!J27)=F24,"J27",IF(TRIM(人物卡!J28)=F24,"J28",IF(INDEX($L$1:$L$1611,$T$2+22)="","",INDEX($L$1:$L$1611,$T$2+22)))))))))),IF(INDEX($L$1:$L$1611,$T$2+22)="","",INDEX($L$1:$L$1611,$T$2+22)))</f>
        <v/>
      </c>
      <c r="Q24" t="str">
        <f ca="1">IF(INDEX($M$1:$M$1611,$T$2+22)="","",INDEX($M$1:$M$1611,$T$2+22))</f>
        <v>AA2</v>
      </c>
      <c r="R24" t="b">
        <f ca="1">INDEX($N$1:$N$1611,$T$2+22)</f>
        <v>0</v>
      </c>
    </row>
    <row r="25" spans="1:18">
      <c r="A25" t="str">
        <f ca="1">IF(INDEX($C$1:$C$1611,$T$2+23)="","",INDEX($C$1:$C$1611,$T$2+23))</f>
        <v/>
      </c>
      <c r="B25" t="str">
        <f ca="1">IF(INDEX($D$1:$D$1611,$T$2+23)="","",INDEX($D$1:$D$1611,$T$2+23))</f>
        <v>free</v>
      </c>
      <c r="C25" t="str">
        <f ca="1">IF(INDEX($E$1:$E$1611,$T$2+23)="","",INDEX($E$1:$E$1611,$T$2+23))</f>
        <v/>
      </c>
      <c r="D25">
        <f ca="1">INDEX($F$1:$F$1611,$T$2+23)</f>
        <v>0</v>
      </c>
      <c r="E25" t="str">
        <f ca="1">IF(INDEX($G$1:$G$1611,$T$2+23)="","",INDEX($G$1:$G$1611,$T$2+23))</f>
        <v/>
      </c>
      <c r="F25" t="str">
        <f ca="1">IF(INDEX($H$1:$H$1611,$T$2+23)="","",INDEX($H$1:$H$1611,$T$2+23))</f>
        <v/>
      </c>
      <c r="G25" t="str">
        <f ca="1">IF(INDEX($I$1:$I$1611,$T$2+23)="","",INDEX($I$1:$I$1611,$T$2+23))</f>
        <v/>
      </c>
      <c r="H25" t="str">
        <f ca="1">IF(INDEX($J$1:$J$1611,$T$2+23)="","",INDEX($J$1:$J$1611,$T$2+23))</f>
        <v/>
      </c>
      <c r="I25" t="str">
        <f ca="1">IF(INDEX($K$1:$K$1611,$T$2+23)="","",INDEX($K$1:$K$1611,$T$2+23))</f>
        <v/>
      </c>
      <c r="J25" t="str">
        <f ca="1" t="shared" si="0"/>
        <v/>
      </c>
      <c r="K25" t="str">
        <f ca="1" t="shared" si="1"/>
        <v/>
      </c>
      <c r="L25" t="b">
        <f ca="1">AND(A25&lt;&gt;"",$Z$9=TRUE)</f>
        <v>0</v>
      </c>
      <c r="M25" t="b">
        <f ca="1" t="shared" si="5"/>
        <v>0</v>
      </c>
      <c r="N25" t="str">
        <f ca="1" t="shared" si="4"/>
        <v/>
      </c>
      <c r="O25">
        <f ca="1">IF(AND(附表!$I$12,L25,K25&lt;&gt;"",NOT(M25),$T$4&lt;=$T$3),D25,0)</f>
        <v>0</v>
      </c>
      <c r="P25" t="str">
        <f ca="1">IF(AND(C25="工艺",E25="",F25&lt;&gt;""),IF(AND(I25="工艺1",TRIM(人物卡!J25)=F25),"J25",IF(AND(I25="工艺2",TRIM(人物卡!J26)=F25),"J26",IF(AND(I25="工艺3",TRIM(人物卡!J27)=F25),"J27",IF(AND(I25="工艺4",TRIM(人物卡!J28)=F25),"J28",IF(TRIM(人物卡!J25)=F25,"J25",IF(TRIM(人物卡!J26)=F25,"J26",IF(TRIM(人物卡!J27)=F25,"J27",IF(TRIM(人物卡!J28)=F25,"J28",IF(INDEX($L$1:$L$1611,$T$2+23)="","",INDEX($L$1:$L$1611,$T$2+23)))))))))),IF(INDEX($L$1:$L$1611,$T$2+23)="","",INDEX($L$1:$L$1611,$T$2+23)))</f>
        <v/>
      </c>
      <c r="Q25" t="str">
        <f ca="1">IF(INDEX($M$1:$M$1611,$T$2+23)="","",INDEX($M$1:$M$1611,$T$2+23))</f>
        <v>AB2</v>
      </c>
      <c r="R25" t="b">
        <f ca="1">INDEX($N$1:$N$1611,$T$2+23)</f>
        <v>0</v>
      </c>
    </row>
    <row r="26" spans="1:18">
      <c r="A26" t="str">
        <f ca="1">IF(INDEX($C$1:$C$1611,$T$2+24)="","",INDEX($C$1:$C$1611,$T$2+24))</f>
        <v/>
      </c>
      <c r="B26" t="str">
        <f ca="1">IF(INDEX($D$1:$D$1611,$T$2+24)="","",INDEX($D$1:$D$1611,$T$2+24))</f>
        <v>free</v>
      </c>
      <c r="C26" t="str">
        <f ca="1">IF(INDEX($E$1:$E$1611,$T$2+24)="","",INDEX($E$1:$E$1611,$T$2+24))</f>
        <v/>
      </c>
      <c r="D26">
        <f ca="1">INDEX($F$1:$F$1611,$T$2+24)</f>
        <v>0</v>
      </c>
      <c r="E26" t="str">
        <f ca="1">IF(INDEX($G$1:$G$1611,$T$2+24)="","",INDEX($G$1:$G$1611,$T$2+24))</f>
        <v/>
      </c>
      <c r="F26" t="str">
        <f ca="1">IF(INDEX($H$1:$H$1611,$T$2+24)="","",INDEX($H$1:$H$1611,$T$2+24))</f>
        <v/>
      </c>
      <c r="G26" t="str">
        <f ca="1">IF(INDEX($I$1:$I$1611,$T$2+24)="","",INDEX($I$1:$I$1611,$T$2+24))</f>
        <v/>
      </c>
      <c r="H26" t="str">
        <f ca="1">IF(INDEX($J$1:$J$1611,$T$2+24)="","",INDEX($J$1:$J$1611,$T$2+24))</f>
        <v/>
      </c>
      <c r="I26" t="str">
        <f ca="1">IF(INDEX($K$1:$K$1611,$T$2+24)="","",INDEX($K$1:$K$1611,$T$2+24))</f>
        <v/>
      </c>
      <c r="J26" t="str">
        <f ca="1" t="shared" si="0"/>
        <v/>
      </c>
      <c r="K26" t="str">
        <f ca="1" t="shared" si="1"/>
        <v/>
      </c>
      <c r="L26" t="b">
        <f ca="1">AND(A26&lt;&gt;"",$Z$10=TRUE)</f>
        <v>0</v>
      </c>
      <c r="M26" t="b">
        <f ca="1" t="shared" si="5"/>
        <v>0</v>
      </c>
      <c r="N26" t="str">
        <f ca="1" t="shared" si="4"/>
        <v/>
      </c>
      <c r="O26">
        <f ca="1">IF(AND(附表!$I$12,L26,K26&lt;&gt;"",NOT(M26),$T$4&lt;=$T$3),D26,0)</f>
        <v>0</v>
      </c>
      <c r="P26" t="str">
        <f ca="1">IF(AND(C26="工艺",E26="",F26&lt;&gt;""),IF(AND(I26="工艺1",TRIM(人物卡!J25)=F26),"J25",IF(AND(I26="工艺2",TRIM(人物卡!J26)=F26),"J26",IF(AND(I26="工艺3",TRIM(人物卡!J27)=F26),"J27",IF(AND(I26="工艺4",TRIM(人物卡!J28)=F26),"J28",IF(TRIM(人物卡!J25)=F26,"J25",IF(TRIM(人物卡!J26)=F26,"J26",IF(TRIM(人物卡!J27)=F26,"J27",IF(TRIM(人物卡!J28)=F26,"J28",IF(INDEX($L$1:$L$1611,$T$2+24)="","",INDEX($L$1:$L$1611,$T$2+24)))))))))),IF(INDEX($L$1:$L$1611,$T$2+24)="","",INDEX($L$1:$L$1611,$T$2+24)))</f>
        <v/>
      </c>
      <c r="Q26" t="str">
        <f ca="1">IF(INDEX($M$1:$M$1611,$T$2+24)="","",INDEX($M$1:$M$1611,$T$2+24))</f>
        <v>AC2</v>
      </c>
      <c r="R26" t="b">
        <f ca="1">INDEX($N$1:$N$1611,$T$2+24)</f>
        <v>0</v>
      </c>
    </row>
    <row r="27" spans="1:18">
      <c r="A27" t="str">
        <f ca="1">IF(INDEX($C$1:$C$1611,$T$2+25)="","",INDEX($C$1:$C$1611,$T$2+25))</f>
        <v/>
      </c>
      <c r="B27" t="str">
        <f ca="1">IF(INDEX($D$1:$D$1611,$T$2+25)="","",INDEX($D$1:$D$1611,$T$2+25))</f>
        <v>free</v>
      </c>
      <c r="C27" t="str">
        <f ca="1">IF(INDEX($E$1:$E$1611,$T$2+25)="","",INDEX($E$1:$E$1611,$T$2+25))</f>
        <v/>
      </c>
      <c r="D27">
        <f ca="1">INDEX($F$1:$F$1611,$T$2+25)</f>
        <v>0</v>
      </c>
      <c r="E27" t="str">
        <f ca="1">IF(INDEX($G$1:$G$1611,$T$2+25)="","",INDEX($G$1:$G$1611,$T$2+25))</f>
        <v/>
      </c>
      <c r="F27" t="str">
        <f ca="1">IF(INDEX($H$1:$H$1611,$T$2+25)="","",INDEX($H$1:$H$1611,$T$2+25))</f>
        <v/>
      </c>
      <c r="G27" t="str">
        <f ca="1">IF(INDEX($I$1:$I$1611,$T$2+25)="","",INDEX($I$1:$I$1611,$T$2+25))</f>
        <v/>
      </c>
      <c r="H27" t="str">
        <f ca="1">IF(INDEX($J$1:$J$1611,$T$2+25)="","",INDEX($J$1:$J$1611,$T$2+25))</f>
        <v/>
      </c>
      <c r="I27" t="str">
        <f ca="1">IF(INDEX($K$1:$K$1611,$T$2+25)="","",INDEX($K$1:$K$1611,$T$2+25))</f>
        <v/>
      </c>
      <c r="J27" t="str">
        <f ca="1" t="shared" si="0"/>
        <v/>
      </c>
      <c r="K27" t="str">
        <f ca="1" t="shared" si="1"/>
        <v/>
      </c>
      <c r="L27" t="b">
        <f ca="1">AND(A27&lt;&gt;"",$Z$11=TRUE)</f>
        <v>0</v>
      </c>
      <c r="M27" t="b">
        <f ca="1" t="shared" si="5"/>
        <v>0</v>
      </c>
      <c r="N27" t="str">
        <f ca="1" t="shared" si="4"/>
        <v/>
      </c>
      <c r="O27">
        <f ca="1">IF(AND(附表!$I$12,L27,K27&lt;&gt;"",NOT(M27),$T$4&lt;=$T$3),D27,0)</f>
        <v>0</v>
      </c>
      <c r="P27" t="str">
        <f ca="1">IF(AND(C27="工艺",E27="",F27&lt;&gt;""),IF(AND(I27="工艺1",TRIM(人物卡!J25)=F27),"J25",IF(AND(I27="工艺2",TRIM(人物卡!J26)=F27),"J26",IF(AND(I27="工艺3",TRIM(人物卡!J27)=F27),"J27",IF(AND(I27="工艺4",TRIM(人物卡!J28)=F27),"J28",IF(TRIM(人物卡!J25)=F27,"J25",IF(TRIM(人物卡!J26)=F27,"J26",IF(TRIM(人物卡!J27)=F27,"J27",IF(TRIM(人物卡!J28)=F27,"J28",IF(INDEX($L$1:$L$1611,$T$2+25)="","",INDEX($L$1:$L$1611,$T$2+25)))))))))),IF(INDEX($L$1:$L$1611,$T$2+25)="","",INDEX($L$1:$L$1611,$T$2+25)))</f>
        <v/>
      </c>
      <c r="Q27" t="str">
        <f ca="1">IF(INDEX($M$1:$M$1611,$T$2+25)="","",INDEX($M$1:$M$1611,$T$2+25))</f>
        <v>AD2</v>
      </c>
      <c r="R27" t="b">
        <f ca="1">INDEX($N$1:$N$1611,$T$2+25)</f>
        <v>0</v>
      </c>
    </row>
    <row r="28" spans="1:18">
      <c r="A28" t="str">
        <f ca="1">IF(INDEX($C$1:$C$1611,$T$2+26)="","",INDEX($C$1:$C$1611,$T$2+26))</f>
        <v/>
      </c>
      <c r="B28" t="str">
        <f ca="1">IF(INDEX($D$1:$D$1611,$T$2+26)="","",INDEX($D$1:$D$1611,$T$2+26))</f>
        <v>free</v>
      </c>
      <c r="C28" t="str">
        <f ca="1">IF(INDEX($E$1:$E$1611,$T$2+26)="","",INDEX($E$1:$E$1611,$T$2+26))</f>
        <v/>
      </c>
      <c r="D28">
        <f ca="1">INDEX($F$1:$F$1611,$T$2+26)</f>
        <v>0</v>
      </c>
      <c r="E28" t="str">
        <f ca="1">IF(INDEX($G$1:$G$1611,$T$2+26)="","",INDEX($G$1:$G$1611,$T$2+26))</f>
        <v/>
      </c>
      <c r="F28" t="str">
        <f ca="1">IF(INDEX($H$1:$H$1611,$T$2+26)="","",INDEX($H$1:$H$1611,$T$2+26))</f>
        <v/>
      </c>
      <c r="G28" t="str">
        <f ca="1">IF(INDEX($I$1:$I$1611,$T$2+26)="","",INDEX($I$1:$I$1611,$T$2+26))</f>
        <v/>
      </c>
      <c r="H28" t="str">
        <f ca="1">IF(INDEX($J$1:$J$1611,$T$2+26)="","",INDEX($J$1:$J$1611,$T$2+26))</f>
        <v/>
      </c>
      <c r="I28" t="str">
        <f ca="1">IF(INDEX($K$1:$K$1611,$T$2+26)="","",INDEX($K$1:$K$1611,$T$2+26))</f>
        <v/>
      </c>
      <c r="J28" t="str">
        <f ca="1" t="shared" si="0"/>
        <v/>
      </c>
      <c r="K28" t="str">
        <f ca="1" t="shared" si="1"/>
        <v/>
      </c>
      <c r="L28" t="b">
        <f ca="1">AND(A28&lt;&gt;"",$Z$12=TRUE)</f>
        <v>0</v>
      </c>
      <c r="M28" t="b">
        <f ca="1" t="shared" si="5"/>
        <v>0</v>
      </c>
      <c r="N28" t="str">
        <f ca="1" t="shared" si="4"/>
        <v/>
      </c>
      <c r="O28">
        <f ca="1">IF(AND(附表!$I$12,L28,K28&lt;&gt;"",NOT(M28),$T$4&lt;=$T$3),D28,0)</f>
        <v>0</v>
      </c>
      <c r="P28" t="str">
        <f ca="1">IF(AND(C28="工艺",E28="",F28&lt;&gt;""),IF(AND(I28="工艺1",TRIM(人物卡!J25)=F28),"J25",IF(AND(I28="工艺2",TRIM(人物卡!J26)=F28),"J26",IF(AND(I28="工艺3",TRIM(人物卡!J27)=F28),"J27",IF(AND(I28="工艺4",TRIM(人物卡!J28)=F28),"J28",IF(TRIM(人物卡!J25)=F28,"J25",IF(TRIM(人物卡!J26)=F28,"J26",IF(TRIM(人物卡!J27)=F28,"J27",IF(TRIM(人物卡!J28)=F28,"J28",IF(INDEX($L$1:$L$1611,$T$2+26)="","",INDEX($L$1:$L$1611,$T$2+26)))))))))),IF(INDEX($L$1:$L$1611,$T$2+26)="","",INDEX($L$1:$L$1611,$T$2+26)))</f>
        <v/>
      </c>
      <c r="Q28" t="str">
        <f ca="1">IF(INDEX($M$1:$M$1611,$T$2+26)="","",INDEX($M$1:$M$1611,$T$2+26))</f>
        <v>AE2</v>
      </c>
      <c r="R28" t="b">
        <f ca="1">INDEX($N$1:$N$1611,$T$2+26)</f>
        <v>0</v>
      </c>
    </row>
    <row r="40" spans="21:23">
      <c r="U40" t="str">
        <f>人物卡!D14</f>
        <v>会计学</v>
      </c>
      <c r="V40">
        <f ca="1">IF(附表!$I$12,MAX(IF($K$2=U40,$O$2,0),IF($K$3=U40,$O$3,0),IF($K$4=U40,$O$4,0),IF($K$5=U40,$O$5,0),IF($K$6=U40,$O$6,0),IF($K$7=U40,$O$7,0),IF($K$8=U40,$O$8,0),IF($K$9=U40,$O$9,0),IF($K$10=U40,$O$10,0),IF($K$11=U40,$O$11,0),IF($K$12=U40,$O$12,0),IF($K$13=U40,$O$13,0),IF($K$14=U40,$O$14,0),IF($K$15=U40,$O$15,0),IF($K$16=U40,$O$16,0),IF($K$17=U40,$O$17,0),IF($K$18=U40,$O$18,0),IF($K$19=U40,$O$19,0),IF($K$20=U40,$O$20,0),IF($K$21=U40,$O$21,0),IF($K$22=U40,$O$22,0),IF($K$23=U40,$O$23,0),IF($K$24=U40,$O$24,0),IF($K$25=U40,$O$25,0),IF($K$26=U40,$O$26,0),IF($K$27=U40,$O$27,0),IF($K$28=U40,$O$28,0)),0)</f>
        <v>0</v>
      </c>
      <c r="W40" t="s">
        <v>669</v>
      </c>
    </row>
    <row r="41" spans="21:23">
      <c r="U41" t="str">
        <f>人物卡!AG14</f>
        <v>法律</v>
      </c>
      <c r="V41">
        <f ca="1">IF(附表!$I$12,MAX(IF($K$2=U41,$O$2,0),IF($K$3=U41,$O$3,0),IF($K$4=U41,$O$4,0),IF($K$5=U41,$O$5,0),IF($K$6=U41,$O$6,0),IF($K$7=U41,$O$7,0),IF($K$8=U41,$O$8,0),IF($K$9=U41,$O$9,0),IF($K$10=U41,$O$10,0),IF($K$11=U41,$O$11,0),IF($K$12=U41,$O$12,0),IF($K$13=U41,$O$13,0),IF($K$14=U41,$O$14,0),IF($K$15=U41,$O$15,0),IF($K$16=U41,$O$16,0),IF($K$17=U41,$O$17,0),IF($K$18=U41,$O$18,0),IF($K$19=U41,$O$19,0),IF($K$20=U41,$O$20,0),IF($K$21=U41,$O$21,0),IF($K$22=U41,$O$22,0),IF($K$23=U41,$O$23,0),IF($K$24=U41,$O$24,0),IF($K$25=U41,$O$25,0),IF($K$26=U41,$O$26,0),IF($K$27=U41,$O$27,0),IF($K$28=U41,$O$28,0)),0)</f>
        <v>0</v>
      </c>
      <c r="W41" t="s">
        <v>670</v>
      </c>
    </row>
    <row r="42" spans="21:23">
      <c r="U42" t="str">
        <f>人物卡!D15</f>
        <v>警觉</v>
      </c>
      <c r="V42">
        <f ca="1">IF(附表!$I$12,MAX(IF($K$2=U42,$O$2,0),IF($K$3=U42,$O$3,0),IF($K$4=U42,$O$4,0),IF($K$5=U42,$O$5,0),IF($K$6=U42,$O$6,0),IF($K$7=U42,$O$7,0),IF($K$8=U42,$O$8,0),IF($K$9=U42,$O$9,0),IF($K$10=U42,$O$10,0),IF($K$11=U42,$O$11,0),IF($K$12=U42,$O$12,0),IF($K$13=U42,$O$13,0),IF($K$14=U42,$O$14,0),IF($K$15=U42,$O$15,0),IF($K$16=U42,$O$16,0),IF($K$17=U42,$O$17,0),IF($K$18=U42,$O$18,0),IF($K$19=U42,$O$19,0),IF($K$20=U42,$O$20,0),IF($K$21=U42,$O$21,0),IF($K$22=U42,$O$22,0),IF($K$23=U42,$O$23,0),IF($K$24=U42,$O$24,0),IF($K$25=U42,$O$25,0),IF($K$26=U42,$O$26,0),IF($K$27=U42,$O$27,0),IF($K$28=U42,$O$28,0)),0)</f>
        <v>0</v>
      </c>
      <c r="W42" t="s">
        <v>671</v>
      </c>
    </row>
    <row r="43" spans="21:23">
      <c r="U43" t="str">
        <f>人物卡!AG15</f>
        <v>医学</v>
      </c>
      <c r="V43">
        <f ca="1">IF(附表!$I$12,MAX(IF($K$2=U43,$O$2,0),IF($K$3=U43,$O$3,0),IF($K$4=U43,$O$4,0),IF($K$5=U43,$O$5,0),IF($K$6=U43,$O$6,0),IF($K$7=U43,$O$7,0),IF($K$8=U43,$O$8,0),IF($K$9=U43,$O$9,0),IF($K$10=U43,$O$10,0),IF($K$11=U43,$O$11,0),IF($K$12=U43,$O$12,0),IF($K$13=U43,$O$13,0),IF($K$14=U43,$O$14,0),IF($K$15=U43,$O$15,0),IF($K$16=U43,$O$16,0),IF($K$17=U43,$O$17,0),IF($K$18=U43,$O$18,0),IF($K$19=U43,$O$19,0),IF($K$20=U43,$O$20,0),IF($K$21=U43,$O$21,0),IF($K$22=U43,$O$22,0),IF($K$23=U43,$O$23,0),IF($K$24=U43,$O$24,0),IF($K$25=U43,$O$25,0),IF($K$26=U43,$O$26,0),IF($K$27=U43,$O$27,0),IF($K$28=U43,$O$28,0)),0)</f>
        <v>0</v>
      </c>
      <c r="W43" t="s">
        <v>672</v>
      </c>
    </row>
    <row r="44" spans="21:23">
      <c r="U44" t="str">
        <f>人物卡!D16</f>
        <v>人类学</v>
      </c>
      <c r="V44">
        <f ca="1">IF(附表!$I$12,MAX(IF($K$2=U44,$O$2,0),IF($K$3=U44,$O$3,0),IF($K$4=U44,$O$4,0),IF($K$5=U44,$O$5,0),IF($K$6=U44,$O$6,0),IF($K$7=U44,$O$7,0),IF($K$8=U44,$O$8,0),IF($K$9=U44,$O$9,0),IF($K$10=U44,$O$10,0),IF($K$11=U44,$O$11,0),IF($K$12=U44,$O$12,0),IF($K$13=U44,$O$13,0),IF($K$14=U44,$O$14,0),IF($K$15=U44,$O$15,0),IF($K$16=U44,$O$16,0),IF($K$17=U44,$O$17,0),IF($K$18=U44,$O$18,0),IF($K$19=U44,$O$19,0),IF($K$20=U44,$O$20,0),IF($K$21=U44,$O$21,0),IF($K$22=U44,$O$22,0),IF($K$23=U44,$O$23,0),IF($K$24=U44,$O$24,0),IF($K$25=U44,$O$25,0),IF($K$26=U44,$O$26,0),IF($K$27=U44,$O$27,0),IF($K$28=U44,$O$28,0)),0)</f>
        <v>0</v>
      </c>
      <c r="W44" t="s">
        <v>673</v>
      </c>
    </row>
    <row r="45" spans="21:23">
      <c r="U45" t="str">
        <f>人物卡!AG16</f>
        <v>近战武器</v>
      </c>
      <c r="V45">
        <f ca="1">IF(附表!$I$12,MAX(IF($K$2=U45,$O$2,0),IF($K$3=U45,$O$3,0),IF($K$4=U45,$O$4,0),IF($K$5=U45,$O$5,0),IF($K$6=U45,$O$6,0),IF($K$7=U45,$O$7,0),IF($K$8=U45,$O$8,0),IF($K$9=U45,$O$9,0),IF($K$10=U45,$O$10,0),IF($K$11=U45,$O$11,0),IF($K$12=U45,$O$12,0),IF($K$13=U45,$O$13,0),IF($K$14=U45,$O$14,0),IF($K$15=U45,$O$15,0),IF($K$16=U45,$O$16,0),IF($K$17=U45,$O$17,0),IF($K$18=U45,$O$18,0),IF($K$19=U45,$O$19,0),IF($K$20=U45,$O$20,0),IF($K$21=U45,$O$21,0),IF($K$22=U45,$O$22,0),IF($K$23=U45,$O$23,0),IF($K$24=U45,$O$24,0),IF($K$25=U45,$O$25,0),IF($K$26=U45,$O$26,0),IF($K$27=U45,$O$27,0),IF($K$28=U45,$O$28,0)),0)</f>
        <v>0</v>
      </c>
      <c r="W45" t="s">
        <v>674</v>
      </c>
    </row>
    <row r="46" spans="21:23">
      <c r="U46" t="str">
        <f>人物卡!D17</f>
        <v>考古学</v>
      </c>
      <c r="V46">
        <f ca="1">IF(附表!$I$12,MAX(IF($K$2=U46,$O$2,0),IF($K$3=U46,$O$3,0),IF($K$4=U46,$O$4,0),IF($K$5=U46,$O$5,0),IF($K$6=U46,$O$6,0),IF($K$7=U46,$O$7,0),IF($K$8=U46,$O$8,0),IF($K$9=U46,$O$9,0),IF($K$10=U46,$O$10,0),IF($K$11=U46,$O$11,0),IF($K$12=U46,$O$12,0),IF($K$13=U46,$O$13,0),IF($K$14=U46,$O$14,0),IF($K$15=U46,$O$15,0),IF($K$16=U46,$O$16,0),IF($K$17=U46,$O$17,0),IF($K$18=U46,$O$18,0),IF($K$19=U46,$O$19,0),IF($K$20=U46,$O$20,0),IF($K$21=U46,$O$21,0),IF($K$22=U46,$O$22,0),IF($K$23=U46,$O$23,0),IF($K$24=U46,$O$24,0),IF($K$25=U46,$O$25,0),IF($K$26=U46,$O$26,0),IF($K$27=U46,$O$27,0),IF($K$28=U46,$O$28,0)),0)</f>
        <v>0</v>
      </c>
      <c r="W46" t="s">
        <v>675</v>
      </c>
    </row>
    <row r="47" spans="21:23">
      <c r="U47" t="str">
        <f ca="1">SUBSTITUTE(人物卡!AG17,"：","")&amp;"（"&amp;TRIM(人物卡!AM17)&amp;"）"</f>
        <v>军事科学（）</v>
      </c>
      <c r="V47">
        <f ca="1">IF(附表!$I$12,MAX(IF(AND($K$2=U47,$P$2="AM17"),$O$2,0),IF(AND($K$3=U47,$P$3="AM17"),$O$3,0),IF(AND($K$4=U47,$P$4="AM17"),$O$4,0),IF(AND($K$5=U47,$P$5="AM17"),$O$5,0),IF(AND($K$6=U47,$P$6="AM17"),$O$6,0),IF(AND($K$7=U47,$P$7="AM17"),$O$7,0),IF(AND($K$8=U47,$P$8="AM17"),$O$8,0),IF(AND($K$9=U47,$P$9="AM17"),$O$9,0),IF(AND($K$10=U47,$P$10="AM17"),$O$10,0),IF(AND($K$11=U47,$P$11="AM17"),$O$11,0),IF(AND($K$12=U47,$P$12="AM17"),$O$12,0),IF(AND($K$13=U47,$P$13="AM17"),$O$13,0),IF(AND($K$14=U47,$P$14="AM17"),$O$14,0),IF(AND($K$15=U47,$P$15="AM17"),$O$15,0),IF(AND($K$16=U47,$P$16="AM17"),$O$16,0),IF(AND($K$17=U47,$P$17="AM17"),$O$17,0),IF(AND($K$18=U47,$P$18="AM17"),$O$18,0),IF(AND($K$19=U47,$P$19="AM17"),$O$19,0),IF(AND($K$20=U47,$P$20="AM17"),$O$20,0),IF(AND($K$21=U47,$P$21="AM17"),$O$21,0),IF(AND($K$22=U47,$P$22="AM17"),$O$22,0),IF(AND($K$23=U47,$P$23="AM17"),$O$23,0),IF(AND($K$24=U47,$P$24="AM17"),$O$24,0),IF(AND($K$25=U47,$P$25="AM17"),$O$25,0),IF(AND($K$26=U47,$P$26="AM17"),$O$26,0),IF(AND($K$27=U47,$P$27="AM17"),$O$27,0),IF(AND($K$28=U47,$P$28="AM17"),$O$28,0)),0)</f>
        <v>0</v>
      </c>
      <c r="W47" t="s">
        <v>676</v>
      </c>
    </row>
    <row r="48" spans="21:23">
      <c r="U48" t="str">
        <f ca="1">SUBSTITUTE(人物卡!D18,"：","")&amp;"（"&amp;TRIM(人物卡!J18)&amp;"）"</f>
        <v>艺术（）</v>
      </c>
      <c r="V48">
        <f ca="1">IF(附表!$I$12,MAX(IF(AND($K$2=U48,$P$2="J18"),$O$2,0),IF(AND($K$3=U48,$P$3="J18"),$O$3,0),IF(AND($K$4=U48,$P$4="J18"),$O$4,0),IF(AND($K$5=U48,$P$5="J18"),$O$5,0),IF(AND($K$6=U48,$P$6="J18"),$O$6,0),IF(AND($K$7=U48,$P$7="J18"),$O$7,0),IF(AND($K$8=U48,$P$8="J18"),$O$8,0),IF(AND($K$9=U48,$P$9="J18"),$O$9,0),IF(AND($K$10=U48,$P$10="J18"),$O$10,0),IF(AND($K$11=U48,$P$11="J18"),$O$11,0),IF(AND($K$12=U48,$P$12="J18"),$O$12,0),IF(AND($K$13=U48,$P$13="J18"),$O$13,0),IF(AND($K$14=U48,$P$14="J18"),$O$14,0),IF(AND($K$15=U48,$P$15="J18"),$O$15,0),IF(AND($K$16=U48,$P$16="J18"),$O$16,0),IF(AND($K$17=U48,$P$17="J18"),$O$17,0),IF(AND($K$18=U48,$P$18="J18"),$O$18,0),IF(AND($K$19=U48,$P$19="J18"),$O$19,0),IF(AND($K$20=U48,$P$20="J18"),$O$20,0),IF(AND($K$21=U48,$P$21="J18"),$O$21,0),IF(AND($K$22=U48,$P$22="J18"),$O$22,0),IF(AND($K$23=U48,$P$23="J18"),$O$23,0),IF(AND($K$24=U48,$P$24="J18"),$O$24,0),IF(AND($K$25=U48,$P$25="J18"),$O$25,0),IF(AND($K$26=U48,$P$26="J18"),$O$26,0),IF(AND($K$27=U48,$P$27="J18"),$O$27,0),IF(AND($K$28=U48,$P$28="J18"),$O$28,0)),0)</f>
        <v>0</v>
      </c>
      <c r="W48" t="s">
        <v>677</v>
      </c>
    </row>
    <row r="49" spans="21:23">
      <c r="U49" t="str">
        <f ca="1">SUBSTITUTE(人物卡!AG18,"：","")&amp;"（"&amp;TRIM(人物卡!AM18)&amp;"）"</f>
        <v>军事科学（）</v>
      </c>
      <c r="V49">
        <f ca="1">IF(附表!$I$12,MAX(IF(AND($K$2=U49,$P$2="AM18"),$O$2,0),IF(AND($K$3=U49,$P$3="AM18"),$O$3,0),IF(AND($K$4=U49,$P$4="AM18"),$O$4,0),IF(AND($K$5=U49,$P$5="AM18"),$O$5,0),IF(AND($K$6=U49,$P$6="AM18"),$O$6,0),IF(AND($K$7=U49,$P$7="AM18"),$O$7,0),IF(AND($K$8=U49,$P$8="AM18"),$O$8,0),IF(AND($K$9=U49,$P$9="AM18"),$O$9,0),IF(AND($K$10=U49,$P$10="AM18"),$O$10,0),IF(AND($K$11=U49,$P$11="AM18"),$O$11,0),IF(AND($K$12=U49,$P$12="AM18"),$O$12,0),IF(AND($K$13=U49,$P$13="AM18"),$O$13,0),IF(AND($K$14=U49,$P$14="AM18"),$O$14,0),IF(AND($K$15=U49,$P$15="AM18"),$O$15,0),IF(AND($K$16=U49,$P$16="AM18"),$O$16,0),IF(AND($K$17=U49,$P$17="AM18"),$O$17,0),IF(AND($K$18=U49,$P$18="AM18"),$O$18,0),IF(AND($K$19=U49,$P$19="AM18"),$O$19,0),IF(AND($K$20=U49,$P$20="AM18"),$O$20,0),IF(AND($K$21=U49,$P$21="AM18"),$O$21,0),IF(AND($K$22=U49,$P$22="AM18"),$O$22,0),IF(AND($K$23=U49,$P$23="AM18"),$O$23,0),IF(AND($K$24=U49,$P$24="AM18"),$O$24,0),IF(AND($K$25=U49,$P$25="AM18"),$O$25,0),IF(AND($K$26=U49,$P$26="AM18"),$O$26,0),IF(AND($K$27=U49,$P$27="AM18"),$O$27,0),IF(AND($K$28=U49,$P$28="AM18"),$O$28,0)),0)</f>
        <v>0</v>
      </c>
      <c r="W49" t="s">
        <v>678</v>
      </c>
    </row>
    <row r="50" spans="21:23">
      <c r="U50" t="str">
        <f ca="1">SUBSTITUTE(人物卡!D19,"：","")&amp;"（"&amp;TRIM(人物卡!J19)&amp;"）"</f>
        <v>艺术（）</v>
      </c>
      <c r="V50">
        <f ca="1">IF(附表!$I$12,MAX(IF(AND($K$2=U50,$P$2="J19"),$O$2,0),IF(AND($K$3=U50,$P$3="J19"),$O$3,0),IF(AND($K$4=U50,$P$4="J19"),$O$4,0),IF(AND($K$5=U50,$P$5="J19"),$O$5,0),IF(AND($K$6=U50,$P$6="J19"),$O$6,0),IF(AND($K$7=U50,$P$7="J19"),$O$7,0),IF(AND($K$8=U50,$P$8="J19"),$O$8,0),IF(AND($K$9=U50,$P$9="J19"),$O$9,0),IF(AND($K$10=U50,$P$10="J19"),$O$10,0),IF(AND($K$11=U50,$P$11="J19"),$O$11,0),IF(AND($K$12=U50,$P$12="J19"),$O$12,0),IF(AND($K$13=U50,$P$13="J19"),$O$13,0),IF(AND($K$14=U50,$P$14="J19"),$O$14,0),IF(AND($K$15=U50,$P$15="J19"),$O$15,0),IF(AND($K$16=U50,$P$16="J19"),$O$16,0),IF(AND($K$17=U50,$P$17="J19"),$O$17,0),IF(AND($K$18=U50,$P$18="J19"),$O$18,0),IF(AND($K$19=U50,$P$19="J19"),$O$19,0),IF(AND($K$20=U50,$P$20="J19"),$O$20,0),IF(AND($K$21=U50,$P$21="J19"),$O$21,0),IF(AND($K$22=U50,$P$22="J19"),$O$22,0),IF(AND($K$23=U50,$P$23="J19"),$O$23,0),IF(AND($K$24=U50,$P$24="J19"),$O$24,0),IF(AND($K$25=U50,$P$25="J19"),$O$25,0),IF(AND($K$26=U50,$P$26="J19"),$O$26,0),IF(AND($K$27=U50,$P$27="J19"),$O$27,0),IF(AND($K$28=U50,$P$28="J19"),$O$28,0)),0)</f>
        <v>0</v>
      </c>
      <c r="W50" t="s">
        <v>679</v>
      </c>
    </row>
    <row r="51" spans="21:23">
      <c r="U51" t="str">
        <f ca="1">SUBSTITUTE(人物卡!AG19,"：","")&amp;"（"&amp;TRIM(人物卡!AM19)&amp;"）"</f>
        <v>军事科学（）</v>
      </c>
      <c r="V51">
        <f ca="1">IF(附表!$I$12,MAX(IF(AND($K$2=U51,$P$2="AM19"),$O$2,0),IF(AND($K$3=U51,$P$3="AM19"),$O$3,0),IF(AND($K$4=U51,$P$4="AM19"),$O$4,0),IF(AND($K$5=U51,$P$5="AM19"),$O$5,0),IF(AND($K$6=U51,$P$6="AM19"),$O$6,0),IF(AND($K$7=U51,$P$7="AM19"),$O$7,0),IF(AND($K$8=U51,$P$8="AM19"),$O$8,0),IF(AND($K$9=U51,$P$9="AM19"),$O$9,0),IF(AND($K$10=U51,$P$10="AM19"),$O$10,0),IF(AND($K$11=U51,$P$11="AM19"),$O$11,0),IF(AND($K$12=U51,$P$12="AM19"),$O$12,0),IF(AND($K$13=U51,$P$13="AM19"),$O$13,0),IF(AND($K$14=U51,$P$14="AM19"),$O$14,0),IF(AND($K$15=U51,$P$15="AM19"),$O$15,0),IF(AND($K$16=U51,$P$16="AM19"),$O$16,0),IF(AND($K$17=U51,$P$17="AM19"),$O$17,0),IF(AND($K$18=U51,$P$18="AM19"),$O$18,0),IF(AND($K$19=U51,$P$19="AM19"),$O$19,0),IF(AND($K$20=U51,$P$20="AM19"),$O$20,0),IF(AND($K$21=U51,$P$21="AM19"),$O$21,0),IF(AND($K$22=U51,$P$22="AM19"),$O$22,0),IF(AND($K$23=U51,$P$23="AM19"),$O$23,0),IF(AND($K$24=U51,$P$24="AM19"),$O$24,0),IF(AND($K$25=U51,$P$25="AM19"),$O$25,0),IF(AND($K$26=U51,$P$26="AM19"),$O$26,0),IF(AND($K$27=U51,$P$27="AM19"),$O$27,0),IF(AND($K$28=U51,$P$28="AM19"),$O$28,0)),0)</f>
        <v>0</v>
      </c>
      <c r="W51" t="s">
        <v>680</v>
      </c>
    </row>
    <row r="52" spans="21:23">
      <c r="U52" t="str">
        <f ca="1">SUBSTITUTE(人物卡!D20,"：","")&amp;"（"&amp;TRIM(人物卡!J20)&amp;"）"</f>
        <v>艺术（）</v>
      </c>
      <c r="V52">
        <f ca="1">IF(附表!$I$12,MAX(IF(AND($K$2=U52,$P$2="J20"),$O$2,0),IF(AND($K$3=U52,$P$3="J20"),$O$3,0),IF(AND($K$4=U52,$P$4="J20"),$O$4,0),IF(AND($K$5=U52,$P$5="J20"),$O$5,0),IF(AND($K$6=U52,$P$6="J20"),$O$6,0),IF(AND($K$7=U52,$P$7="J20"),$O$7,0),IF(AND($K$8=U52,$P$8="J20"),$O$8,0),IF(AND($K$9=U52,$P$9="J20"),$O$9,0),IF(AND($K$10=U52,$P$10="J20"),$O$10,0),IF(AND($K$11=U52,$P$11="J20"),$O$11,0),IF(AND($K$12=U52,$P$12="J20"),$O$12,0),IF(AND($K$13=U52,$P$13="J20"),$O$13,0),IF(AND($K$14=U52,$P$14="J20"),$O$14,0),IF(AND($K$15=U52,$P$15="J20"),$O$15,0),IF(AND($K$16=U52,$P$16="J20"),$O$16,0),IF(AND($K$17=U52,$P$17="J20"),$O$17,0),IF(AND($K$18=U52,$P$18="J20"),$O$18,0),IF(AND($K$19=U52,$P$19="J20"),$O$19,0),IF(AND($K$20=U52,$P$20="J20"),$O$20,0),IF(AND($K$21=U52,$P$21="J20"),$O$21,0),IF(AND($K$22=U52,$P$22="J20"),$O$22,0),IF(AND($K$23=U52,$P$23="J20"),$O$23,0),IF(AND($K$24=U52,$P$24="J20"),$O$24,0),IF(AND($K$25=U52,$P$25="J20"),$O$25,0),IF(AND($K$26=U52,$P$26="J20"),$O$26,0),IF(AND($K$27=U52,$P$27="J20"),$O$27,0),IF(AND($K$28=U52,$P$28="J20"),$O$28,0)),0)</f>
        <v>0</v>
      </c>
      <c r="W52" t="s">
        <v>681</v>
      </c>
    </row>
    <row r="53" spans="21:23">
      <c r="U53" t="str">
        <f>人物卡!AG20</f>
        <v>导航</v>
      </c>
      <c r="V53">
        <f ca="1">IF(附表!$I$12,MAX(IF($K$2=U53,$O$2,0),IF($K$3=U53,$O$3,0),IF($K$4=U53,$O$4,0),IF($K$5=U53,$O$5,0),IF($K$6=U53,$O$6,0),IF($K$7=U53,$O$7,0),IF($K$8=U53,$O$8,0),IF($K$9=U53,$O$9,0),IF($K$10=U53,$O$10,0),IF($K$11=U53,$O$11,0),IF($K$12=U53,$O$12,0),IF($K$13=U53,$O$13,0),IF($K$14=U53,$O$14,0),IF($K$15=U53,$O$15,0),IF($K$16=U53,$O$16,0),IF($K$17=U53,$O$17,0),IF($K$18=U53,$O$18,0),IF($K$19=U53,$O$19,0),IF($K$20=U53,$O$20,0),IF($K$21=U53,$O$21,0),IF($K$22=U53,$O$22,0),IF($K$23=U53,$O$23,0),IF($K$24=U53,$O$24,0),IF($K$25=U53,$O$25,0),IF($K$26=U53,$O$26,0),IF($K$27=U53,$O$27,0),IF($K$28=U53,$O$28,0)),0)</f>
        <v>0</v>
      </c>
      <c r="W53" t="s">
        <v>682</v>
      </c>
    </row>
    <row r="54" spans="21:23">
      <c r="U54" t="str">
        <f>人物卡!D21</f>
        <v>炮术</v>
      </c>
      <c r="V54">
        <f ca="1">IF(附表!$I$12,MAX(IF($K$2=U54,$O$2,0),IF($K$3=U54,$O$3,0),IF($K$4=U54,$O$4,0),IF($K$5=U54,$O$5,0),IF($K$6=U54,$O$6,0),IF($K$7=U54,$O$7,0),IF($K$8=U54,$O$8,0),IF($K$9=U54,$O$9,0),IF($K$10=U54,$O$10,0),IF($K$11=U54,$O$11,0),IF($K$12=U54,$O$12,0),IF($K$13=U54,$O$13,0),IF($K$14=U54,$O$14,0),IF($K$15=U54,$O$15,0),IF($K$16=U54,$O$16,0),IF($K$17=U54,$O$17,0),IF($K$18=U54,$O$18,0),IF($K$19=U54,$O$19,0),IF($K$20=U54,$O$20,0),IF($K$21=U54,$O$21,0),IF($K$22=U54,$O$22,0),IF($K$23=U54,$O$23,0),IF($K$24=U54,$O$24,0),IF($K$25=U54,$O$25,0),IF($K$26=U54,$O$26,0),IF($K$27=U54,$O$27,0),IF($K$28=U54,$O$28,0)),0)</f>
        <v>0</v>
      </c>
      <c r="W54" t="s">
        <v>683</v>
      </c>
    </row>
    <row r="55" spans="21:23">
      <c r="U55" t="str">
        <f>人物卡!AG21</f>
        <v>神秘学</v>
      </c>
      <c r="V55">
        <f ca="1">IF(附表!$I$12,MAX(IF($K$2=U55,$O$2,0),IF($K$3=U55,$O$3,0),IF($K$4=U55,$O$4,0),IF($K$5=U55,$O$5,0),IF($K$6=U55,$O$6,0),IF($K$7=U55,$O$7,0),IF($K$8=U55,$O$8,0),IF($K$9=U55,$O$9,0),IF($K$10=U55,$O$10,0),IF($K$11=U55,$O$11,0),IF($K$12=U55,$O$12,0),IF($K$13=U55,$O$13,0),IF($K$14=U55,$O$14,0),IF($K$15=U55,$O$15,0),IF($K$16=U55,$O$16,0),IF($K$17=U55,$O$17,0),IF($K$18=U55,$O$18,0),IF($K$19=U55,$O$19,0),IF($K$20=U55,$O$20,0),IF($K$21=U55,$O$21,0),IF($K$22=U55,$O$22,0),IF($K$23=U55,$O$23,0),IF($K$24=U55,$O$24,0),IF($K$25=U55,$O$25,0),IF($K$26=U55,$O$26,0),IF($K$27=U55,$O$27,0),IF($K$28=U55,$O$28,0)),0)</f>
        <v>0</v>
      </c>
      <c r="W55" t="s">
        <v>684</v>
      </c>
    </row>
    <row r="56" spans="21:23">
      <c r="U56" t="str">
        <f>人物卡!D22</f>
        <v>运动</v>
      </c>
      <c r="V56">
        <f ca="1">IF(附表!$I$12,MAX(IF($K$2=U56,$O$2,0),IF($K$3=U56,$O$3,0),IF($K$4=U56,$O$4,0),IF($K$5=U56,$O$5,0),IF($K$6=U56,$O$6,0),IF($K$7=U56,$O$7,0),IF($K$8=U56,$O$8,0),IF($K$9=U56,$O$9,0),IF($K$10=U56,$O$10,0),IF($K$11=U56,$O$11,0),IF($K$12=U56,$O$12,0),IF($K$13=U56,$O$13,0),IF($K$14=U56,$O$14,0),IF($K$15=U56,$O$15,0),IF($K$16=U56,$O$16,0),IF($K$17=U56,$O$17,0),IF($K$18=U56,$O$18,0),IF($K$19=U56,$O$19,0),IF($K$20=U56,$O$20,0),IF($K$21=U56,$O$21,0),IF($K$22=U56,$O$22,0),IF($K$23=U56,$O$23,0),IF($K$24=U56,$O$24,0),IF($K$25=U56,$O$25,0),IF($K$26=U56,$O$26,0),IF($K$27=U56,$O$27,0),IF($K$28=U56,$O$28,0)),0)</f>
        <v>0</v>
      </c>
      <c r="W56" t="s">
        <v>685</v>
      </c>
    </row>
    <row r="57" spans="21:23">
      <c r="U57" t="str">
        <f>人物卡!AG22</f>
        <v>说服</v>
      </c>
      <c r="V57">
        <f ca="1">IF(附表!$I$12,MAX(IF($K$2=U57,$O$2,0),IF($K$3=U57,$O$3,0),IF($K$4=U57,$O$4,0),IF($K$5=U57,$O$5,0),IF($K$6=U57,$O$6,0),IF($K$7=U57,$O$7,0),IF($K$8=U57,$O$8,0),IF($K$9=U57,$O$9,0),IF($K$10=U57,$O$10,0),IF($K$11=U57,$O$11,0),IF($K$12=U57,$O$12,0),IF($K$13=U57,$O$13,0),IF($K$14=U57,$O$14,0),IF($K$15=U57,$O$15,0),IF($K$16=U57,$O$16,0),IF($K$17=U57,$O$17,0),IF($K$18=U57,$O$18,0),IF($K$19=U57,$O$19,0),IF($K$20=U57,$O$20,0),IF($K$21=U57,$O$21,0),IF($K$22=U57,$O$22,0),IF($K$23=U57,$O$23,0),IF($K$24=U57,$O$24,0),IF($K$25=U57,$O$25,0),IF($K$26=U57,$O$26,0),IF($K$27=U57,$O$27,0),IF($K$28=U57,$O$28,0)),0)</f>
        <v>0</v>
      </c>
      <c r="W57" t="s">
        <v>686</v>
      </c>
    </row>
    <row r="58" spans="21:23">
      <c r="U58" t="str">
        <f>人物卡!D23</f>
        <v>行政</v>
      </c>
      <c r="V58">
        <f ca="1">IF(附表!$I$12,MAX(IF($K$2=U58,$O$2,0),IF($K$3=U58,$O$3,0),IF($K$4=U58,$O$4,0),IF($K$5=U58,$O$5,0),IF($K$6=U58,$O$6,0),IF($K$7=U58,$O$7,0),IF($K$8=U58,$O$8,0),IF($K$9=U58,$O$9,0),IF($K$10=U58,$O$10,0),IF($K$11=U58,$O$11,0),IF($K$12=U58,$O$12,0),IF($K$13=U58,$O$13,0),IF($K$14=U58,$O$14,0),IF($K$15=U58,$O$15,0),IF($K$16=U58,$O$16,0),IF($K$17=U58,$O$17,0),IF($K$18=U58,$O$18,0),IF($K$19=U58,$O$19,0),IF($K$20=U58,$O$20,0),IF($K$21=U58,$O$21,0),IF($K$22=U58,$O$22,0),IF($K$23=U58,$O$23,0),IF($K$24=U58,$O$24,0),IF($K$25=U58,$O$25,0),IF($K$26=U58,$O$26,0),IF($K$27=U58,$O$27,0),IF($K$28=U58,$O$28,0)),0)</f>
        <v>0</v>
      </c>
      <c r="W58" t="s">
        <v>687</v>
      </c>
    </row>
    <row r="59" spans="21:23">
      <c r="U59" t="str">
        <f>人物卡!AG23</f>
        <v>药学</v>
      </c>
      <c r="V59">
        <f ca="1">IF(附表!$I$12,MAX(IF($K$2=U59,$O$2,0),IF($K$3=U59,$O$3,0),IF($K$4=U59,$O$4,0),IF($K$5=U59,$O$5,0),IF($K$6=U59,$O$6,0),IF($K$7=U59,$O$7,0),IF($K$8=U59,$O$8,0),IF($K$9=U59,$O$9,0),IF($K$10=U59,$O$10,0),IF($K$11=U59,$O$11,0),IF($K$12=U59,$O$12,0),IF($K$13=U59,$O$13,0),IF($K$14=U59,$O$14,0),IF($K$15=U59,$O$15,0),IF($K$16=U59,$O$16,0),IF($K$17=U59,$O$17,0),IF($K$18=U59,$O$18,0),IF($K$19=U59,$O$19,0),IF($K$20=U59,$O$20,0),IF($K$21=U59,$O$21,0),IF($K$22=U59,$O$22,0),IF($K$23=U59,$O$23,0),IF($K$24=U59,$O$24,0),IF($K$25=U59,$O$25,0),IF($K$26=U59,$O$26,0),IF($K$27=U59,$O$27,0),IF($K$28=U59,$O$28,0)),0)</f>
        <v>0</v>
      </c>
      <c r="W59" t="s">
        <v>688</v>
      </c>
    </row>
    <row r="60" spans="21:23">
      <c r="U60" t="str">
        <f>人物卡!D24</f>
        <v>计算机科学</v>
      </c>
      <c r="V60">
        <f ca="1">IF(附表!$I$12,MAX(IF($K$2=U60,$O$2,0),IF($K$3=U60,$O$3,0),IF($K$4=U60,$O$4,0),IF($K$5=U60,$O$5,0),IF($K$6=U60,$O$6,0),IF($K$7=U60,$O$7,0),IF($K$8=U60,$O$8,0),IF($K$9=U60,$O$9,0),IF($K$10=U60,$O$10,0),IF($K$11=U60,$O$11,0),IF($K$12=U60,$O$12,0),IF($K$13=U60,$O$13,0),IF($K$14=U60,$O$14,0),IF($K$15=U60,$O$15,0),IF($K$16=U60,$O$16,0),IF($K$17=U60,$O$17,0),IF($K$18=U60,$O$18,0),IF($K$19=U60,$O$19,0),IF($K$20=U60,$O$20,0),IF($K$21=U60,$O$21,0),IF($K$22=U60,$O$22,0),IF($K$23=U60,$O$23,0),IF($K$24=U60,$O$24,0),IF($K$25=U60,$O$25,0),IF($K$26=U60,$O$26,0),IF($K$27=U60,$O$27,0),IF($K$28=U60,$O$28,0)),0)</f>
        <v>0</v>
      </c>
      <c r="W60" t="s">
        <v>689</v>
      </c>
    </row>
    <row r="61" spans="21:23">
      <c r="U61" t="str">
        <f ca="1">SUBSTITUTE(人物卡!AG24,"：","")&amp;"（"&amp;TRIM(人物卡!AM24)&amp;"）"</f>
        <v>特种载具（）</v>
      </c>
      <c r="V61">
        <f ca="1">IF(附表!$I$12,MAX(IF(AND($K$2=U61,$P$2="AM24"),$O$2,0),IF(AND($K$3=U61,$P$3="AM24"),$O$3,0),IF(AND($K$4=U61,$P$4="AM24"),$O$4,0),IF(AND($K$5=U61,$P$5="AM24"),$O$5,0),IF(AND($K$6=U61,$P$6="AM24"),$O$6,0),IF(AND($K$7=U61,$P$7="AM24"),$O$7,0),IF(AND($K$8=U61,$P$8="AM24"),$O$8,0),IF(AND($K$9=U61,$P$9="AM24"),$O$9,0),IF(AND($K$10=U61,$P$10="AM24"),$O$10,0),IF(AND($K$11=U61,$P$11="AM24"),$O$11,0),IF(AND($K$12=U61,$P$12="AM24"),$O$12,0),IF(AND($K$13=U61,$P$13="AM24"),$O$13,0),IF(AND($K$14=U61,$P$14="AM24"),$O$14,0),IF(AND($K$15=U61,$P$15="AM24"),$O$15,0),IF(AND($K$16=U61,$P$16="AM24"),$O$16,0),IF(AND($K$17=U61,$P$17="AM24"),$O$17,0),IF(AND($K$18=U61,$P$18="AM24"),$O$18,0),IF(AND($K$19=U61,$P$19="AM24"),$O$19,0),IF(AND($K$20=U61,$P$20="AM24"),$O$20,0),IF(AND($K$21=U61,$P$21="AM24"),$O$21,0),IF(AND($K$22=U61,$P$22="AM24"),$O$22,0),IF(AND($K$23=U61,$P$23="AM24"),$O$23,0),IF(AND($K$24=U61,$P$24="AM24"),$O$24,0),IF(AND($K$25=U61,$P$25="AM24"),$O$25,0),IF(AND($K$26=U61,$P$26="AM24"),$O$26,0),IF(AND($K$27=U61,$P$27="AM24"),$O$27,0),IF(AND($K$28=U61,$P$28="AM24"),$O$28,0)),0)</f>
        <v>0</v>
      </c>
      <c r="W61" t="s">
        <v>690</v>
      </c>
    </row>
    <row r="62" spans="21:23">
      <c r="U62" t="str">
        <f ca="1">SUBSTITUTE(人物卡!D25,"：","")&amp;"（"&amp;TRIM(人物卡!J25)&amp;"）"</f>
        <v>工艺（）</v>
      </c>
      <c r="V62">
        <f ca="1">IF(附表!$I$12,MAX(IF(AND($K$2=U62,$P$2="J25"),$O$2,0),IF(AND($K$3=U62,$P$3="J25"),$O$3,0),IF(AND($K$4=U62,$P$4="J25"),$O$4,0),IF(AND($K$5=U62,$P$5="J25"),$O$5,0),IF(AND($K$6=U62,$P$6="J25"),$O$6,0),IF(AND($K$7=U62,$P$7="J25"),$O$7,0),IF(AND($K$8=U62,$P$8="J25"),$O$8,0),IF(AND($K$9=U62,$P$9="J25"),$O$9,0),IF(AND($K$10=U62,$P$10="J25"),$O$10,0),IF(AND($K$11=U62,$P$11="J25"),$O$11,0),IF(AND($K$12=U62,$P$12="J25"),$O$12,0),IF(AND($K$13=U62,$P$13="J25"),$O$13,0),IF(AND($K$14=U62,$P$14="J25"),$O$14,0),IF(AND($K$15=U62,$P$15="J25"),$O$15,0),IF(AND($K$16=U62,$P$16="J25"),$O$16,0),IF(AND($K$17=U62,$P$17="J25"),$O$17,0),IF(AND($K$18=U62,$P$18="J25"),$O$18,0),IF(AND($K$19=U62,$P$19="J25"),$O$19,0),IF(AND($K$20=U62,$P$20="J25"),$O$20,0),IF(AND($K$21=U62,$P$21="J25"),$O$21,0),IF(AND($K$22=U62,$P$22="J25"),$O$22,0),IF(AND($K$23=U62,$P$23="J25"),$O$23,0),IF(AND($K$24=U62,$P$24="J25"),$O$24,0),IF(AND($K$25=U62,$P$25="J25"),$O$25,0),IF(AND($K$26=U62,$P$26="J25"),$O$26,0),IF(AND($K$27=U62,$P$27="J25"),$O$27,0),IF(AND($K$28=U62,$P$28="J25"),$O$28,0)),0)</f>
        <v>0</v>
      </c>
      <c r="W62" t="s">
        <v>691</v>
      </c>
    </row>
    <row r="63" spans="21:23">
      <c r="U63" t="str">
        <f ca="1">SUBSTITUTE(人物卡!AG25,"：","")&amp;"（"&amp;TRIM(人物卡!AM25)&amp;"）"</f>
        <v>特种载具（）</v>
      </c>
      <c r="V63">
        <f ca="1">IF(附表!$I$12,MAX(IF(AND($K$2=U63,$P$2="AM25"),$O$2,0),IF(AND($K$3=U63,$P$3="AM25"),$O$3,0),IF(AND($K$4=U63,$P$4="AM25"),$O$4,0),IF(AND($K$5=U63,$P$5="AM25"),$O$5,0),IF(AND($K$6=U63,$P$6="AM25"),$O$6,0),IF(AND($K$7=U63,$P$7="AM25"),$O$7,0),IF(AND($K$8=U63,$P$8="AM25"),$O$8,0),IF(AND($K$9=U63,$P$9="AM25"),$O$9,0),IF(AND($K$10=U63,$P$10="AM25"),$O$10,0),IF(AND($K$11=U63,$P$11="AM25"),$O$11,0),IF(AND($K$12=U63,$P$12="AM25"),$O$12,0),IF(AND($K$13=U63,$P$13="AM25"),$O$13,0),IF(AND($K$14=U63,$P$14="AM25"),$O$14,0),IF(AND($K$15=U63,$P$15="AM25"),$O$15,0),IF(AND($K$16=U63,$P$16="AM25"),$O$16,0),IF(AND($K$17=U63,$P$17="AM25"),$O$17,0),IF(AND($K$18=U63,$P$18="AM25"),$O$18,0),IF(AND($K$19=U63,$P$19="AM25"),$O$19,0),IF(AND($K$20=U63,$P$20="AM25"),$O$20,0),IF(AND($K$21=U63,$P$21="AM25"),$O$21,0),IF(AND($K$22=U63,$P$22="AM25"),$O$22,0),IF(AND($K$23=U63,$P$23="AM25"),$O$23,0),IF(AND($K$24=U63,$P$24="AM25"),$O$24,0),IF(AND($K$25=U63,$P$25="AM25"),$O$25,0),IF(AND($K$26=U63,$P$26="AM25"),$O$26,0),IF(AND($K$27=U63,$P$27="AM25"),$O$27,0),IF(AND($K$28=U63,$P$28="AM25"),$O$28,0)),0)</f>
        <v>0</v>
      </c>
      <c r="W63" t="s">
        <v>692</v>
      </c>
    </row>
    <row r="64" spans="21:23">
      <c r="U64" t="str">
        <f ca="1">SUBSTITUTE(人物卡!D26,"：","")&amp;"（"&amp;TRIM(人物卡!J26)&amp;"）"</f>
        <v>工艺（）</v>
      </c>
      <c r="V64">
        <f ca="1">IF(附表!$I$12,MAX(IF(AND($K$2=U64,$P$2="J26"),$O$2,0),IF(AND($K$3=U64,$P$3="J26"),$O$3,0),IF(AND($K$4=U64,$P$4="J26"),$O$4,0),IF(AND($K$5=U64,$P$5="J26"),$O$5,0),IF(AND($K$6=U64,$P$6="J26"),$O$6,0),IF(AND($K$7=U64,$P$7="J26"),$O$7,0),IF(AND($K$8=U64,$P$8="J26"),$O$8,0),IF(AND($K$9=U64,$P$9="J26"),$O$9,0),IF(AND($K$10=U64,$P$10="J26"),$O$10,0),IF(AND($K$11=U64,$P$11="J26"),$O$11,0),IF(AND($K$12=U64,$P$12="J26"),$O$12,0),IF(AND($K$13=U64,$P$13="J26"),$O$13,0),IF(AND($K$14=U64,$P$14="J26"),$O$14,0),IF(AND($K$15=U64,$P$15="J26"),$O$15,0),IF(AND($K$16=U64,$P$16="J26"),$O$16,0),IF(AND($K$17=U64,$P$17="J26"),$O$17,0),IF(AND($K$18=U64,$P$18="J26"),$O$18,0),IF(AND($K$19=U64,$P$19="J26"),$O$19,0),IF(AND($K$20=U64,$P$20="J26"),$O$20,0),IF(AND($K$21=U64,$P$21="J26"),$O$21,0),IF(AND($K$22=U64,$P$22="J26"),$O$22,0),IF(AND($K$23=U64,$P$23="J26"),$O$23,0),IF(AND($K$24=U64,$P$24="J26"),$O$24,0),IF(AND($K$25=U64,$P$25="J26"),$O$25,0),IF(AND($K$26=U64,$P$26="J26"),$O$26,0),IF(AND($K$27=U64,$P$27="J26"),$O$27,0),IF(AND($K$28=U64,$P$28="J26"),$O$28,0)),0)</f>
        <v>0</v>
      </c>
      <c r="W64" t="s">
        <v>693</v>
      </c>
    </row>
    <row r="65" spans="21:23">
      <c r="U65" t="str">
        <f ca="1">SUBSTITUTE(人物卡!AG26,"：","")&amp;"（"&amp;TRIM(人物卡!AM26)&amp;"）"</f>
        <v>特种载具（）</v>
      </c>
      <c r="V65">
        <f ca="1">IF(附表!$I$12,MAX(IF(AND($K$2=U65,$P$2="AM26"),$O$2,0),IF(AND($K$3=U65,$P$3="AM26"),$O$3,0),IF(AND($K$4=U65,$P$4="AM26"),$O$4,0),IF(AND($K$5=U65,$P$5="AM26"),$O$5,0),IF(AND($K$6=U65,$P$6="AM26"),$O$6,0),IF(AND($K$7=U65,$P$7="AM26"),$O$7,0),IF(AND($K$8=U65,$P$8="AM26"),$O$8,0),IF(AND($K$9=U65,$P$9="AM26"),$O$9,0),IF(AND($K$10=U65,$P$10="AM26"),$O$10,0),IF(AND($K$11=U65,$P$11="AM26"),$O$11,0),IF(AND($K$12=U65,$P$12="AM26"),$O$12,0),IF(AND($K$13=U65,$P$13="AM26"),$O$13,0),IF(AND($K$14=U65,$P$14="AM26"),$O$14,0),IF(AND($K$15=U65,$P$15="AM26"),$O$15,0),IF(AND($K$16=U65,$P$16="AM26"),$O$16,0),IF(AND($K$17=U65,$P$17="AM26"),$O$17,0),IF(AND($K$18=U65,$P$18="AM26"),$O$18,0),IF(AND($K$19=U65,$P$19="AM26"),$O$19,0),IF(AND($K$20=U65,$P$20="AM26"),$O$20,0),IF(AND($K$21=U65,$P$21="AM26"),$O$21,0),IF(AND($K$22=U65,$P$22="AM26"),$O$22,0),IF(AND($K$23=U65,$P$23="AM26"),$O$23,0),IF(AND($K$24=U65,$P$24="AM26"),$O$24,0),IF(AND($K$25=U65,$P$25="AM26"),$O$25,0),IF(AND($K$26=U65,$P$26="AM26"),$O$26,0),IF(AND($K$27=U65,$P$27="AM26"),$O$27,0),IF(AND($K$28=U65,$P$28="AM26"),$O$28,0)),0)</f>
        <v>0</v>
      </c>
      <c r="W65" t="s">
        <v>694</v>
      </c>
    </row>
    <row r="66" spans="21:23">
      <c r="U66" t="str">
        <f ca="1">SUBSTITUTE(人物卡!D27,"：","")&amp;"（"&amp;TRIM(人物卡!J27)&amp;"）"</f>
        <v>工艺（）</v>
      </c>
      <c r="V66">
        <f ca="1">IF(附表!$I$12,MAX(IF(AND($K$2=U66,$P$2="J27"),$O$2,0),IF(AND($K$3=U66,$P$3="J27"),$O$3,0),IF(AND($K$4=U66,$P$4="J27"),$O$4,0),IF(AND($K$5=U66,$P$5="J27"),$O$5,0),IF(AND($K$6=U66,$P$6="J27"),$O$6,0),IF(AND($K$7=U66,$P$7="J27"),$O$7,0),IF(AND($K$8=U66,$P$8="J27"),$O$8,0),IF(AND($K$9=U66,$P$9="J27"),$O$9,0),IF(AND($K$10=U66,$P$10="J27"),$O$10,0),IF(AND($K$11=U66,$P$11="J27"),$O$11,0),IF(AND($K$12=U66,$P$12="J27"),$O$12,0),IF(AND($K$13=U66,$P$13="J27"),$O$13,0),IF(AND($K$14=U66,$P$14="J27"),$O$14,0),IF(AND($K$15=U66,$P$15="J27"),$O$15,0),IF(AND($K$16=U66,$P$16="J27"),$O$16,0),IF(AND($K$17=U66,$P$17="J27"),$O$17,0),IF(AND($K$18=U66,$P$18="J27"),$O$18,0),IF(AND($K$19=U66,$P$19="J27"),$O$19,0),IF(AND($K$20=U66,$P$20="J27"),$O$20,0),IF(AND($K$21=U66,$P$21="J27"),$O$21,0),IF(AND($K$22=U66,$P$22="J27"),$O$22,0),IF(AND($K$23=U66,$P$23="J27"),$O$23,0),IF(AND($K$24=U66,$P$24="J27"),$O$24,0),IF(AND($K$25=U66,$P$25="J27"),$O$25,0),IF(AND($K$26=U66,$P$26="J27"),$O$26,0),IF(AND($K$27=U66,$P$27="J27"),$O$27,0),IF(AND($K$28=U66,$P$28="J27"),$O$28,0)),0)</f>
        <v>0</v>
      </c>
      <c r="W66" t="s">
        <v>695</v>
      </c>
    </row>
    <row r="67" spans="21:23">
      <c r="U67" t="str">
        <f>人物卡!AG27</f>
        <v>精神治疗</v>
      </c>
      <c r="V67">
        <f ca="1">IF(附表!$I$12,MAX(IF($K$2=U67,$O$2,0),IF($K$3=U67,$O$3,0),IF($K$4=U67,$O$4,0),IF($K$5=U67,$O$5,0),IF($K$6=U67,$O$6,0),IF($K$7=U67,$O$7,0),IF($K$8=U67,$O$8,0),IF($K$9=U67,$O$9,0),IF($K$10=U67,$O$10,0),IF($K$11=U67,$O$11,0),IF($K$12=U67,$O$12,0),IF($K$13=U67,$O$13,0),IF($K$14=U67,$O$14,0),IF($K$15=U67,$O$15,0),IF($K$16=U67,$O$16,0),IF($K$17=U67,$O$17,0),IF($K$18=U67,$O$18,0),IF($K$19=U67,$O$19,0),IF($K$20=U67,$O$20,0),IF($K$21=U67,$O$21,0),IF($K$22=U67,$O$22,0),IF($K$23=U67,$O$23,0),IF($K$24=U67,$O$24,0),IF($K$25=U67,$O$25,0),IF($K$26=U67,$O$26,0),IF($K$27=U67,$O$27,0),IF($K$28=U67,$O$28,0)),0)</f>
        <v>0</v>
      </c>
      <c r="W67" t="s">
        <v>696</v>
      </c>
    </row>
    <row r="68" spans="21:23">
      <c r="U68" t="str">
        <f ca="1">SUBSTITUTE(人物卡!D28,"：","")&amp;"（"&amp;TRIM(人物卡!J28)&amp;"）"</f>
        <v>工艺（）</v>
      </c>
      <c r="V68">
        <f ca="1">IF(附表!$I$12,MAX(IF(AND($K$2=U68,$P$2="J28"),$O$2,0),IF(AND($K$3=U68,$P$3="J28"),$O$3,0),IF(AND($K$4=U68,$P$4="J28"),$O$4,0),IF(AND($K$5=U68,$P$5="J28"),$O$5,0),IF(AND($K$6=U68,$P$6="J28"),$O$6,0),IF(AND($K$7=U68,$P$7="J28"),$O$7,0),IF(AND($K$8=U68,$P$8="J28"),$O$8,0),IF(AND($K$9=U68,$P$9="J28"),$O$9,0),IF(AND($K$10=U68,$P$10="J28"),$O$10,0),IF(AND($K$11=U68,$P$11="J28"),$O$11,0),IF(AND($K$12=U68,$P$12="J28"),$O$12,0),IF(AND($K$13=U68,$P$13="J28"),$O$13,0),IF(AND($K$14=U68,$P$14="J28"),$O$14,0),IF(AND($K$15=U68,$P$15="J28"),$O$15,0),IF(AND($K$16=U68,$P$16="J28"),$O$16,0),IF(AND($K$17=U68,$P$17="J28"),$O$17,0),IF(AND($K$18=U68,$P$18="J28"),$O$18,0),IF(AND($K$19=U68,$P$19="J28"),$O$19,0),IF(AND($K$20=U68,$P$20="J28"),$O$20,0),IF(AND($K$21=U68,$P$21="J28"),$O$21,0),IF(AND($K$22=U68,$P$22="J28"),$O$22,0),IF(AND($K$23=U68,$P$23="J28"),$O$23,0),IF(AND($K$24=U68,$P$24="J28"),$O$24,0),IF(AND($K$25=U68,$P$25="J28"),$O$25,0),IF(AND($K$26=U68,$P$26="J28"),$O$26,0),IF(AND($K$27=U68,$P$27="J28"),$O$27,0),IF(AND($K$28=U68,$P$28="J28"),$O$28,0)),0)</f>
        <v>0</v>
      </c>
      <c r="W68" t="s">
        <v>697</v>
      </c>
    </row>
    <row r="69" spans="21:23">
      <c r="U69" t="str">
        <f>人物卡!AG28</f>
        <v>骑术</v>
      </c>
      <c r="V69">
        <f ca="1">IF(附表!$I$12,MAX(IF($K$2=U69,$O$2,0),IF($K$3=U69,$O$3,0),IF($K$4=U69,$O$4,0),IF($K$5=U69,$O$5,0),IF($K$6=U69,$O$6,0),IF($K$7=U69,$O$7,0),IF($K$8=U69,$O$8,0),IF($K$9=U69,$O$9,0),IF($K$10=U69,$O$10,0),IF($K$11=U69,$O$11,0),IF($K$12=U69,$O$12,0),IF($K$13=U69,$O$13,0),IF($K$14=U69,$O$14,0),IF($K$15=U69,$O$15,0),IF($K$16=U69,$O$16,0),IF($K$17=U69,$O$17,0),IF($K$18=U69,$O$18,0),IF($K$19=U69,$O$19,0),IF($K$20=U69,$O$20,0),IF($K$21=U69,$O$21,0),IF($K$22=U69,$O$22,0),IF($K$23=U69,$O$23,0),IF($K$24=U69,$O$24,0),IF($K$25=U69,$O$25,0),IF($K$26=U69,$O$26,0),IF($K$27=U69,$O$27,0),IF($K$28=U69,$O$28,0)),0)</f>
        <v>0</v>
      </c>
      <c r="W69" t="s">
        <v>698</v>
      </c>
    </row>
    <row r="70" spans="21:23">
      <c r="U70" t="str">
        <f>人物卡!D29</f>
        <v>犯罪学</v>
      </c>
      <c r="V70">
        <f ca="1">IF(附表!$I$12,MAX(IF($K$2=U70,$O$2,0),IF($K$3=U70,$O$3,0),IF($K$4=U70,$O$4,0),IF($K$5=U70,$O$5,0),IF($K$6=U70,$O$6,0),IF($K$7=U70,$O$7,0),IF($K$8=U70,$O$8,0),IF($K$9=U70,$O$9,0),IF($K$10=U70,$O$10,0),IF($K$11=U70,$O$11,0),IF($K$12=U70,$O$12,0),IF($K$13=U70,$O$13,0),IF($K$14=U70,$O$14,0),IF($K$15=U70,$O$15,0),IF($K$16=U70,$O$16,0),IF($K$17=U70,$O$17,0),IF($K$18=U70,$O$18,0),IF($K$19=U70,$O$19,0),IF($K$20=U70,$O$20,0),IF($K$21=U70,$O$21,0),IF($K$22=U70,$O$22,0),IF($K$23=U70,$O$23,0),IF($K$24=U70,$O$24,0),IF($K$25=U70,$O$25,0),IF($K$26=U70,$O$26,0),IF($K$27=U70,$O$27,0),IF($K$28=U70,$O$28,0)),0)</f>
        <v>0</v>
      </c>
      <c r="W70" t="s">
        <v>699</v>
      </c>
    </row>
    <row r="71" spans="21:23">
      <c r="U71" t="str">
        <f ca="1">SUBSTITUTE(人物卡!AG29,"：","")&amp;"（"&amp;TRIM(人物卡!AM29)&amp;"）"</f>
        <v>科学（）</v>
      </c>
      <c r="V71">
        <f ca="1">IF(附表!$I$12,MAX(IF(AND($K$2=U71,$P$2="AM29"),$O$2,0),IF(AND($K$3=U71,$P$3="AM29"),$O$3,0),IF(AND($K$4=U71,$P$4="AM29"),$O$4,0),IF(AND($K$5=U71,$P$5="AM29"),$O$5,0),IF(AND($K$6=U71,$P$6="AM29"),$O$6,0),IF(AND($K$7=U71,$P$7="AM29"),$O$7,0),IF(AND($K$8=U71,$P$8="AM29"),$O$8,0),IF(AND($K$9=U71,$P$9="AM29"),$O$9,0),IF(AND($K$10=U71,$P$10="AM29"),$O$10,0),IF(AND($K$11=U71,$P$11="AM29"),$O$11,0),IF(AND($K$12=U71,$P$12="AM29"),$O$12,0),IF(AND($K$13=U71,$P$13="AM29"),$O$13,0),IF(AND($K$14=U71,$P$14="AM29"),$O$14,0),IF(AND($K$15=U71,$P$15="AM29"),$O$15,0),IF(AND($K$16=U71,$P$16="AM29"),$O$16,0),IF(AND($K$17=U71,$P$17="AM29"),$O$17,0),IF(AND($K$18=U71,$P$18="AM29"),$O$18,0),IF(AND($K$19=U71,$P$19="AM29"),$O$19,0),IF(AND($K$20=U71,$P$20="AM29"),$O$20,0),IF(AND($K$21=U71,$P$21="AM29"),$O$21,0),IF(AND($K$22=U71,$P$22="AM29"),$O$22,0),IF(AND($K$23=U71,$P$23="AM29"),$O$23,0),IF(AND($K$24=U71,$P$24="AM29"),$O$24,0),IF(AND($K$25=U71,$P$25="AM29"),$O$25,0),IF(AND($K$26=U71,$P$26="AM29"),$O$26,0),IF(AND($K$27=U71,$P$27="AM29"),$O$27,0),IF(AND($K$28=U71,$P$28="AM29"),$O$28,0)),0)</f>
        <v>0</v>
      </c>
      <c r="W71" t="s">
        <v>700</v>
      </c>
    </row>
    <row r="72" spans="21:23">
      <c r="U72" t="str">
        <f>人物卡!D30</f>
        <v>爆破</v>
      </c>
      <c r="V72">
        <f ca="1">IF(附表!$I$12,MAX(IF($K$2=U72,$O$2,0),IF($K$3=U72,$O$3,0),IF($K$4=U72,$O$4,0),IF($K$5=U72,$O$5,0),IF($K$6=U72,$O$6,0),IF($K$7=U72,$O$7,0),IF($K$8=U72,$O$8,0),IF($K$9=U72,$O$9,0),IF($K$10=U72,$O$10,0),IF($K$11=U72,$O$11,0),IF($K$12=U72,$O$12,0),IF($K$13=U72,$O$13,0),IF($K$14=U72,$O$14,0),IF($K$15=U72,$O$15,0),IF($K$16=U72,$O$16,0),IF($K$17=U72,$O$17,0),IF($K$18=U72,$O$18,0),IF($K$19=U72,$O$19,0),IF($K$20=U72,$O$20,0),IF($K$21=U72,$O$21,0),IF($K$22=U72,$O$22,0),IF($K$23=U72,$O$23,0),IF($K$24=U72,$O$24,0),IF($K$25=U72,$O$25,0),IF($K$26=U72,$O$26,0),IF($K$27=U72,$O$27,0),IF($K$28=U72,$O$28,0)),0)</f>
        <v>0</v>
      </c>
      <c r="W72" t="s">
        <v>701</v>
      </c>
    </row>
    <row r="73" spans="21:23">
      <c r="U73" t="str">
        <f ca="1">SUBSTITUTE(人物卡!AG30,"：","")&amp;"（"&amp;TRIM(人物卡!AM30)&amp;"）"</f>
        <v>科学（）</v>
      </c>
      <c r="V73">
        <f ca="1">IF(附表!$I$12,MAX(IF(AND($K$2=U73,$P$2="AM30"),$O$2,0),IF(AND($K$3=U73,$P$3="AM30"),$O$3,0),IF(AND($K$4=U73,$P$4="AM30"),$O$4,0),IF(AND($K$5=U73,$P$5="AM30"),$O$5,0),IF(AND($K$6=U73,$P$6="AM30"),$O$6,0),IF(AND($K$7=U73,$P$7="AM30"),$O$7,0),IF(AND($K$8=U73,$P$8="AM30"),$O$8,0),IF(AND($K$9=U73,$P$9="AM30"),$O$9,0),IF(AND($K$10=U73,$P$10="AM30"),$O$10,0),IF(AND($K$11=U73,$P$11="AM30"),$O$11,0),IF(AND($K$12=U73,$P$12="AM30"),$O$12,0),IF(AND($K$13=U73,$P$13="AM30"),$O$13,0),IF(AND($K$14=U73,$P$14="AM30"),$O$14,0),IF(AND($K$15=U73,$P$15="AM30"),$O$15,0),IF(AND($K$16=U73,$P$16="AM30"),$O$16,0),IF(AND($K$17=U73,$P$17="AM30"),$O$17,0),IF(AND($K$18=U73,$P$18="AM30"),$O$18,0),IF(AND($K$19=U73,$P$19="AM30"),$O$19,0),IF(AND($K$20=U73,$P$20="AM30"),$O$20,0),IF(AND($K$21=U73,$P$21="AM30"),$O$21,0),IF(AND($K$22=U73,$P$22="AM30"),$O$22,0),IF(AND($K$23=U73,$P$23="AM30"),$O$23,0),IF(AND($K$24=U73,$P$24="AM30"),$O$24,0),IF(AND($K$25=U73,$P$25="AM30"),$O$25,0),IF(AND($K$26=U73,$P$26="AM30"),$O$26,0),IF(AND($K$27=U73,$P$27="AM30"),$O$27,0),IF(AND($K$28=U73,$P$28="AM30"),$O$28,0)),0)</f>
        <v>0</v>
      </c>
      <c r="W73" t="s">
        <v>702</v>
      </c>
    </row>
    <row r="74" spans="21:23">
      <c r="U74" t="str">
        <f>人物卡!D31</f>
        <v>乔装</v>
      </c>
      <c r="V74">
        <f ca="1">IF(附表!$I$12,MAX(IF($K$2=U74,$O$2,0),IF($K$3=U74,$O$3,0),IF($K$4=U74,$O$4,0),IF($K$5=U74,$O$5,0),IF($K$6=U74,$O$6,0),IF($K$7=U74,$O$7,0),IF($K$8=U74,$O$8,0),IF($K$9=U74,$O$9,0),IF($K$10=U74,$O$10,0),IF($K$11=U74,$O$11,0),IF($K$12=U74,$O$12,0),IF($K$13=U74,$O$13,0),IF($K$14=U74,$O$14,0),IF($K$15=U74,$O$15,0),IF($K$16=U74,$O$16,0),IF($K$17=U74,$O$17,0),IF($K$18=U74,$O$18,0),IF($K$19=U74,$O$19,0),IF($K$20=U74,$O$20,0),IF($K$21=U74,$O$21,0),IF($K$22=U74,$O$22,0),IF($K$23=U74,$O$23,0),IF($K$24=U74,$O$24,0),IF($K$25=U74,$O$25,0),IF($K$26=U74,$O$26,0),IF($K$27=U74,$O$27,0),IF($K$28=U74,$O$28,0)),0)</f>
        <v>0</v>
      </c>
      <c r="W74" t="s">
        <v>703</v>
      </c>
    </row>
    <row r="75" spans="21:23">
      <c r="U75" t="str">
        <f ca="1">SUBSTITUTE(人物卡!AG31,"：","")&amp;"（"&amp;TRIM(人物卡!AM31)&amp;"）"</f>
        <v>科学（）</v>
      </c>
      <c r="V75">
        <f ca="1">IF(附表!$I$12,MAX(IF(AND($K$2=U75,$P$2="AM31"),$O$2,0),IF(AND($K$3=U75,$P$3="AM31"),$O$3,0),IF(AND($K$4=U75,$P$4="AM31"),$O$4,0),IF(AND($K$5=U75,$P$5="AM31"),$O$5,0),IF(AND($K$6=U75,$P$6="AM31"),$O$6,0),IF(AND($K$7=U75,$P$7="AM31"),$O$7,0),IF(AND($K$8=U75,$P$8="AM31"),$O$8,0),IF(AND($K$9=U75,$P$9="AM31"),$O$9,0),IF(AND($K$10=U75,$P$10="AM31"),$O$10,0),IF(AND($K$11=U75,$P$11="AM31"),$O$11,0),IF(AND($K$12=U75,$P$12="AM31"),$O$12,0),IF(AND($K$13=U75,$P$13="AM31"),$O$13,0),IF(AND($K$14=U75,$P$14="AM31"),$O$14,0),IF(AND($K$15=U75,$P$15="AM31"),$O$15,0),IF(AND($K$16=U75,$P$16="AM31"),$O$16,0),IF(AND($K$17=U75,$P$17="AM31"),$O$17,0),IF(AND($K$18=U75,$P$18="AM31"),$O$18,0),IF(AND($K$19=U75,$P$19="AM31"),$O$19,0),IF(AND($K$20=U75,$P$20="AM31"),$O$20,0),IF(AND($K$21=U75,$P$21="AM31"),$O$21,0),IF(AND($K$22=U75,$P$22="AM31"),$O$22,0),IF(AND($K$23=U75,$P$23="AM31"),$O$23,0),IF(AND($K$24=U75,$P$24="AM31"),$O$24,0),IF(AND($K$25=U75,$P$25="AM31"),$O$25,0),IF(AND($K$26=U75,$P$26="AM31"),$O$26,0),IF(AND($K$27=U75,$P$27="AM31"),$O$27,0),IF(AND($K$28=U75,$P$28="AM31"),$O$28,0)),0)</f>
        <v>0</v>
      </c>
      <c r="W75" t="s">
        <v>704</v>
      </c>
    </row>
    <row r="76" spans="21:23">
      <c r="U76" t="str">
        <f>人物卡!D32</f>
        <v>闪避</v>
      </c>
      <c r="V76">
        <f ca="1">IF(附表!$I$12,MAX(IF($K$2=U76,$O$2,0),IF($K$3=U76,$O$3,0),IF($K$4=U76,$O$4,0),IF($K$5=U76,$O$5,0),IF($K$6=U76,$O$6,0),IF($K$7=U76,$O$7,0),IF($K$8=U76,$O$8,0),IF($K$9=U76,$O$9,0),IF($K$10=U76,$O$10,0),IF($K$11=U76,$O$11,0),IF($K$12=U76,$O$12,0),IF($K$13=U76,$O$13,0),IF($K$14=U76,$O$14,0),IF($K$15=U76,$O$15,0),IF($K$16=U76,$O$16,0),IF($K$17=U76,$O$17,0),IF($K$18=U76,$O$18,0),IF($K$19=U76,$O$19,0),IF($K$20=U76,$O$20,0),IF($K$21=U76,$O$21,0),IF($K$22=U76,$O$22,0),IF($K$23=U76,$O$23,0),IF($K$24=U76,$O$24,0),IF($K$25=U76,$O$25,0),IF($K$26=U76,$O$26,0),IF($K$27=U76,$O$27,0),IF($K$28=U76,$O$28,0)),0)</f>
        <v>0</v>
      </c>
      <c r="W76" t="s">
        <v>705</v>
      </c>
    </row>
    <row r="77" spans="21:23">
      <c r="U77" t="str">
        <f>人物卡!AG32</f>
        <v>搜寻</v>
      </c>
      <c r="V77">
        <f ca="1">IF(附表!$I$12,MAX(IF($K$2=U77,$O$2,0),IF($K$3=U77,$O$3,0),IF($K$4=U77,$O$4,0),IF($K$5=U77,$O$5,0),IF($K$6=U77,$O$6,0),IF($K$7=U77,$O$7,0),IF($K$8=U77,$O$8,0),IF($K$9=U77,$O$9,0),IF($K$10=U77,$O$10,0),IF($K$11=U77,$O$11,0),IF($K$12=U77,$O$12,0),IF($K$13=U77,$O$13,0),IF($K$14=U77,$O$14,0),IF($K$15=U77,$O$15,0),IF($K$16=U77,$O$16,0),IF($K$17=U77,$O$17,0),IF($K$18=U77,$O$18,0),IF($K$19=U77,$O$19,0),IF($K$20=U77,$O$20,0),IF($K$21=U77,$O$21,0),IF($K$22=U77,$O$22,0),IF($K$23=U77,$O$23,0),IF($K$24=U77,$O$24,0),IF($K$25=U77,$O$25,0),IF($K$26=U77,$O$26,0),IF($K$27=U77,$O$27,0),IF($K$28=U77,$O$28,0)),0)</f>
        <v>0</v>
      </c>
      <c r="W77" t="s">
        <v>706</v>
      </c>
    </row>
    <row r="78" spans="21:23">
      <c r="U78" t="str">
        <f>人物卡!D33</f>
        <v>机动车驾驶</v>
      </c>
      <c r="V78">
        <f ca="1">IF(附表!$I$12,MAX(IF($K$2=U78,$O$2,0),IF($K$3=U78,$O$3,0),IF($K$4=U78,$O$4,0),IF($K$5=U78,$O$5,0),IF($K$6=U78,$O$6,0),IF($K$7=U78,$O$7,0),IF($K$8=U78,$O$8,0),IF($K$9=U78,$O$9,0),IF($K$10=U78,$O$10,0),IF($K$11=U78,$O$11,0),IF($K$12=U78,$O$12,0),IF($K$13=U78,$O$13,0),IF($K$14=U78,$O$14,0),IF($K$15=U78,$O$15,0),IF($K$16=U78,$O$16,0),IF($K$17=U78,$O$17,0),IF($K$18=U78,$O$18,0),IF($K$19=U78,$O$19,0),IF($K$20=U78,$O$20,0),IF($K$21=U78,$O$21,0),IF($K$22=U78,$O$22,0),IF($K$23=U78,$O$23,0),IF($K$24=U78,$O$24,0),IF($K$25=U78,$O$25,0),IF($K$26=U78,$O$26,0),IF($K$27=U78,$O$27,0),IF($K$28=U78,$O$28,0)),0)</f>
        <v>0</v>
      </c>
      <c r="W78" t="s">
        <v>707</v>
      </c>
    </row>
    <row r="79" spans="21:23">
      <c r="U79" t="str">
        <f>人物卡!AG33</f>
        <v>信号情报</v>
      </c>
      <c r="V79">
        <f ca="1">IF(附表!$I$12,MAX(IF($K$2=U79,$O$2,0),IF($K$3=U79,$O$3,0),IF($K$4=U79,$O$4,0),IF($K$5=U79,$O$5,0),IF($K$6=U79,$O$6,0),IF($K$7=U79,$O$7,0),IF($K$8=U79,$O$8,0),IF($K$9=U79,$O$9,0),IF($K$10=U79,$O$10,0),IF($K$11=U79,$O$11,0),IF($K$12=U79,$O$12,0),IF($K$13=U79,$O$13,0),IF($K$14=U79,$O$14,0),IF($K$15=U79,$O$15,0),IF($K$16=U79,$O$16,0),IF($K$17=U79,$O$17,0),IF($K$18=U79,$O$18,0),IF($K$19=U79,$O$19,0),IF($K$20=U79,$O$20,0),IF($K$21=U79,$O$21,0),IF($K$22=U79,$O$22,0),IF($K$23=U79,$O$23,0),IF($K$24=U79,$O$24,0),IF($K$25=U79,$O$25,0),IF($K$26=U79,$O$26,0),IF($K$27=U79,$O$27,0),IF($K$28=U79,$O$28,0)),0)</f>
        <v>0</v>
      </c>
      <c r="W79" t="s">
        <v>708</v>
      </c>
    </row>
    <row r="80" spans="21:23">
      <c r="U80" t="str">
        <f>人物卡!D34</f>
        <v>射击</v>
      </c>
      <c r="V80">
        <f ca="1">IF(附表!$I$12,MAX(IF($K$2=U80,$O$2,0),IF($K$3=U80,$O$3,0),IF($K$4=U80,$O$4,0),IF($K$5=U80,$O$5,0),IF($K$6=U80,$O$6,0),IF($K$7=U80,$O$7,0),IF($K$8=U80,$O$8,0),IF($K$9=U80,$O$9,0),IF($K$10=U80,$O$10,0),IF($K$11=U80,$O$11,0),IF($K$12=U80,$O$12,0),IF($K$13=U80,$O$13,0),IF($K$14=U80,$O$14,0),IF($K$15=U80,$O$15,0),IF($K$16=U80,$O$16,0),IF($K$17=U80,$O$17,0),IF($K$18=U80,$O$18,0),IF($K$19=U80,$O$19,0),IF($K$20=U80,$O$20,0),IF($K$21=U80,$O$21,0),IF($K$22=U80,$O$22,0),IF($K$23=U80,$O$23,0),IF($K$24=U80,$O$24,0),IF($K$25=U80,$O$25,0),IF($K$26=U80,$O$26,0),IF($K$27=U80,$O$27,0),IF($K$28=U80,$O$28,0)),0)</f>
        <v>0</v>
      </c>
      <c r="W80" t="s">
        <v>709</v>
      </c>
    </row>
    <row r="81" spans="21:23">
      <c r="U81" t="str">
        <f>人物卡!AG34</f>
        <v>潜藏</v>
      </c>
      <c r="V81">
        <f ca="1">IF(附表!$I$12,MAX(IF($K$2=U81,$O$2,0),IF($K$3=U81,$O$3,0),IF($K$4=U81,$O$4,0),IF($K$5=U81,$O$5,0),IF($K$6=U81,$O$6,0),IF($K$7=U81,$O$7,0),IF($K$8=U81,$O$8,0),IF($K$9=U81,$O$9,0),IF($K$10=U81,$O$10,0),IF($K$11=U81,$O$11,0),IF($K$12=U81,$O$12,0),IF($K$13=U81,$O$13,0),IF($K$14=U81,$O$14,0),IF($K$15=U81,$O$15,0),IF($K$16=U81,$O$16,0),IF($K$17=U81,$O$17,0),IF($K$18=U81,$O$18,0),IF($K$19=U81,$O$19,0),IF($K$20=U81,$O$20,0),IF($K$21=U81,$O$21,0),IF($K$22=U81,$O$22,0),IF($K$23=U81,$O$23,0),IF($K$24=U81,$O$24,0),IF($K$25=U81,$O$25,0),IF($K$26=U81,$O$26,0),IF($K$27=U81,$O$27,0),IF($K$28=U81,$O$28,0)),0)</f>
        <v>0</v>
      </c>
      <c r="W81" t="s">
        <v>710</v>
      </c>
    </row>
    <row r="82" spans="21:23">
      <c r="U82" t="str">
        <f>人物卡!D35</f>
        <v>急救</v>
      </c>
      <c r="V82">
        <f ca="1">IF(附表!$I$12,MAX(IF($K$2=U82,$O$2,0),IF($K$3=U82,$O$3,0),IF($K$4=U82,$O$4,0),IF($K$5=U82,$O$5,0),IF($K$6=U82,$O$6,0),IF($K$7=U82,$O$7,0),IF($K$8=U82,$O$8,0),IF($K$9=U82,$O$9,0),IF($K$10=U82,$O$10,0),IF($K$11=U82,$O$11,0),IF($K$12=U82,$O$12,0),IF($K$13=U82,$O$13,0),IF($K$14=U82,$O$14,0),IF($K$15=U82,$O$15,0),IF($K$16=U82,$O$16,0),IF($K$17=U82,$O$17,0),IF($K$18=U82,$O$18,0),IF($K$19=U82,$O$19,0),IF($K$20=U82,$O$20,0),IF($K$21=U82,$O$21,0),IF($K$22=U82,$O$22,0),IF($K$23=U82,$O$23,0),IF($K$24=U82,$O$24,0),IF($K$25=U82,$O$25,0),IF($K$26=U82,$O$26,0),IF($K$27=U82,$O$27,0),IF($K$28=U82,$O$28,0)),0)</f>
        <v>0</v>
      </c>
      <c r="W82" t="s">
        <v>711</v>
      </c>
    </row>
    <row r="83" spans="21:23">
      <c r="U83" t="str">
        <f>人物卡!AG35</f>
        <v>手术</v>
      </c>
      <c r="V83">
        <f ca="1">IF(附表!$I$12,MAX(IF($K$2=U83,$O$2,0),IF($K$3=U83,$O$3,0),IF($K$4=U83,$O$4,0),IF($K$5=U83,$O$5,0),IF($K$6=U83,$O$6,0),IF($K$7=U83,$O$7,0),IF($K$8=U83,$O$8,0),IF($K$9=U83,$O$9,0),IF($K$10=U83,$O$10,0),IF($K$11=U83,$O$11,0),IF($K$12=U83,$O$12,0),IF($K$13=U83,$O$13,0),IF($K$14=U83,$O$14,0),IF($K$15=U83,$O$15,0),IF($K$16=U83,$O$16,0),IF($K$17=U83,$O$17,0),IF($K$18=U83,$O$18,0),IF($K$19=U83,$O$19,0),IF($K$20=U83,$O$20,0),IF($K$21=U83,$O$21,0),IF($K$22=U83,$O$22,0),IF($K$23=U83,$O$23,0),IF($K$24=U83,$O$24,0),IF($K$25=U83,$O$25,0),IF($K$26=U83,$O$26,0),IF($K$27=U83,$O$27,0),IF($K$28=U83,$O$28,0)),0)</f>
        <v>0</v>
      </c>
      <c r="W83" t="s">
        <v>712</v>
      </c>
    </row>
    <row r="84" spans="21:23">
      <c r="U84" t="str">
        <f>SUBSTITUTE(人物卡!D36,"：","")&amp;"（"&amp;TRIM(人物卡!J36)&amp;"）"</f>
        <v>外语（）</v>
      </c>
      <c r="V84">
        <f ca="1">IF(附表!$I$12,MAX(IF(AND($K$2=U84,$P$2="J36"),$O$2,0),IF(AND($K$3=U84,$P$3="J36"),$O$3,0),IF(AND($K$4=U84,$P$4="J36"),$O$4,0),IF(AND($K$5=U84,$P$5="J36"),$O$5,0),IF(AND($K$6=U84,$P$6="J36"),$O$6,0),IF(AND($K$7=U84,$P$7="J36"),$O$7,0),IF(AND($K$8=U84,$P$8="J36"),$O$8,0),IF(AND($K$9=U84,$P$9="J36"),$O$9,0),IF(AND($K$10=U84,$P$10="J36"),$O$10,0),IF(AND($K$11=U84,$P$11="J36"),$O$11,0),IF(AND($K$12=U84,$P$12="J36"),$O$12,0),IF(AND($K$13=U84,$P$13="J36"),$O$13,0),IF(AND($K$14=U84,$P$14="J36"),$O$14,0),IF(AND($K$15=U84,$P$15="J36"),$O$15,0),IF(AND($K$16=U84,$P$16="J36"),$O$16,0),IF(AND($K$17=U84,$P$17="J36"),$O$17,0),IF(AND($K$18=U84,$P$18="J36"),$O$18,0),IF(AND($K$19=U84,$P$19="J36"),$O$19,0),IF(AND($K$20=U84,$P$20="J36"),$O$20,0),IF(AND($K$21=U84,$P$21="J36"),$O$21,0),IF(AND($K$22=U84,$P$22="J36"),$O$22,0),IF(AND($K$23=U84,$P$23="J36"),$O$23,0),IF(AND($K$24=U84,$P$24="J36"),$O$24,0),IF(AND($K$25=U84,$P$25="J36"),$O$25,0),IF(AND($K$26=U84,$P$26="J36"),$O$26,0),IF(AND($K$27=U84,$P$27="J36"),$O$27,0),IF(AND($K$28=U84,$P$28="J36"),$O$28,0)),0)</f>
        <v>0</v>
      </c>
      <c r="W84" t="s">
        <v>713</v>
      </c>
    </row>
    <row r="85" spans="21:23">
      <c r="U85" t="str">
        <f>人物卡!AG36</f>
        <v>生存</v>
      </c>
      <c r="V85">
        <f ca="1">IF(附表!$I$12,MAX(IF($K$2=U85,$O$2,0),IF($K$3=U85,$O$3,0),IF($K$4=U85,$O$4,0),IF($K$5=U85,$O$5,0),IF($K$6=U85,$O$6,0),IF($K$7=U85,$O$7,0),IF($K$8=U85,$O$8,0),IF($K$9=U85,$O$9,0),IF($K$10=U85,$O$10,0),IF($K$11=U85,$O$11,0),IF($K$12=U85,$O$12,0),IF($K$13=U85,$O$13,0),IF($K$14=U85,$O$14,0),IF($K$15=U85,$O$15,0),IF($K$16=U85,$O$16,0),IF($K$17=U85,$O$17,0),IF($K$18=U85,$O$18,0),IF($K$19=U85,$O$19,0),IF($K$20=U85,$O$20,0),IF($K$21=U85,$O$21,0),IF($K$22=U85,$O$22,0),IF($K$23=U85,$O$23,0),IF($K$24=U85,$O$24,0),IF($K$25=U85,$O$25,0),IF($K$26=U85,$O$26,0),IF($K$27=U85,$O$27,0),IF($K$28=U85,$O$28,0)),0)</f>
        <v>0</v>
      </c>
      <c r="W85" t="s">
        <v>714</v>
      </c>
    </row>
    <row r="86" spans="21:23">
      <c r="U86" t="str">
        <f>SUBSTITUTE(人物卡!D37,"：","")&amp;"（"&amp;TRIM(人物卡!J37)&amp;"）"</f>
        <v>外语（）</v>
      </c>
      <c r="V86">
        <f ca="1">IF(附表!$I$12,MAX(IF(AND($K$2=U86,$P$2="J37"),$O$2,0),IF(AND($K$3=U86,$P$3="J37"),$O$3,0),IF(AND($K$4=U86,$P$4="J37"),$O$4,0),IF(AND($K$5=U86,$P$5="J37"),$O$5,0),IF(AND($K$6=U86,$P$6="J37"),$O$6,0),IF(AND($K$7=U86,$P$7="J37"),$O$7,0),IF(AND($K$8=U86,$P$8="J37"),$O$8,0),IF(AND($K$9=U86,$P$9="J37"),$O$9,0),IF(AND($K$10=U86,$P$10="J37"),$O$10,0),IF(AND($K$11=U86,$P$11="J37"),$O$11,0),IF(AND($K$12=U86,$P$12="J37"),$O$12,0),IF(AND($K$13=U86,$P$13="J37"),$O$13,0),IF(AND($K$14=U86,$P$14="J37"),$O$14,0),IF(AND($K$15=U86,$P$15="J37"),$O$15,0),IF(AND($K$16=U86,$P$16="J37"),$O$16,0),IF(AND($K$17=U86,$P$17="J37"),$O$17,0),IF(AND($K$18=U86,$P$18="J37"),$O$18,0),IF(AND($K$19=U86,$P$19="J37"),$O$19,0),IF(AND($K$20=U86,$P$20="J37"),$O$20,0),IF(AND($K$21=U86,$P$21="J37"),$O$21,0),IF(AND($K$22=U86,$P$22="J37"),$O$22,0),IF(AND($K$23=U86,$P$23="J37"),$O$23,0),IF(AND($K$24=U86,$P$24="J37"),$O$24,0),IF(AND($K$25=U86,$P$25="J37"),$O$25,0),IF(AND($K$26=U86,$P$26="J37"),$O$26,0),IF(AND($K$27=U86,$P$27="J37"),$O$27,0),IF(AND($K$28=U86,$P$28="J37"),$O$28,0)),0)</f>
        <v>0</v>
      </c>
      <c r="W86" t="s">
        <v>715</v>
      </c>
    </row>
    <row r="87" spans="21:23">
      <c r="U87" t="str">
        <f>人物卡!AG37</f>
        <v>游泳</v>
      </c>
      <c r="V87">
        <f ca="1">IF(附表!$I$12,MAX(IF($K$2=U87,$O$2,0),IF($K$3=U87,$O$3,0),IF($K$4=U87,$O$4,0),IF($K$5=U87,$O$5,0),IF($K$6=U87,$O$6,0),IF($K$7=U87,$O$7,0),IF($K$8=U87,$O$8,0),IF($K$9=U87,$O$9,0),IF($K$10=U87,$O$10,0),IF($K$11=U87,$O$11,0),IF($K$12=U87,$O$12,0),IF($K$13=U87,$O$13,0),IF($K$14=U87,$O$14,0),IF($K$15=U87,$O$15,0),IF($K$16=U87,$O$16,0),IF($K$17=U87,$O$17,0),IF($K$18=U87,$O$18,0),IF($K$19=U87,$O$19,0),IF($K$20=U87,$O$20,0),IF($K$21=U87,$O$21,0),IF($K$22=U87,$O$22,0),IF($K$23=U87,$O$23,0),IF($K$24=U87,$O$24,0),IF($K$25=U87,$O$25,0),IF($K$26=U87,$O$26,0),IF($K$27=U87,$O$27,0),IF($K$28=U87,$O$28,0)),0)</f>
        <v>0</v>
      </c>
      <c r="W87" t="s">
        <v>716</v>
      </c>
    </row>
    <row r="88" spans="21:23">
      <c r="U88" t="str">
        <f ca="1">SUBSTITUTE(人物卡!D38,"：","")&amp;"（"&amp;TRIM(人物卡!J38)&amp;"）"</f>
        <v>外语（）</v>
      </c>
      <c r="V88">
        <f ca="1">IF(附表!$I$12,MAX(IF(AND($K$2=U88,$P$2="J38"),$O$2,0),IF(AND($K$3=U88,$P$3="J38"),$O$3,0),IF(AND($K$4=U88,$P$4="J38"),$O$4,0),IF(AND($K$5=U88,$P$5="J38"),$O$5,0),IF(AND($K$6=U88,$P$6="J38"),$O$6,0),IF(AND($K$7=U88,$P$7="J38"),$O$7,0),IF(AND($K$8=U88,$P$8="J38"),$O$8,0),IF(AND($K$9=U88,$P$9="J38"),$O$9,0),IF(AND($K$10=U88,$P$10="J38"),$O$10,0),IF(AND($K$11=U88,$P$11="J38"),$O$11,0),IF(AND($K$12=U88,$P$12="J38"),$O$12,0),IF(AND($K$13=U88,$P$13="J38"),$O$13,0),IF(AND($K$14=U88,$P$14="J38"),$O$14,0),IF(AND($K$15=U88,$P$15="J38"),$O$15,0),IF(AND($K$16=U88,$P$16="J38"),$O$16,0),IF(AND($K$17=U88,$P$17="J38"),$O$17,0),IF(AND($K$18=U88,$P$18="J38"),$O$18,0),IF(AND($K$19=U88,$P$19="J38"),$O$19,0),IF(AND($K$20=U88,$P$20="J38"),$O$20,0),IF(AND($K$21=U88,$P$21="J38"),$O$21,0),IF(AND($K$22=U88,$P$22="J38"),$O$22,0),IF(AND($K$23=U88,$P$23="J38"),$O$23,0),IF(AND($K$24=U88,$P$24="J38"),$O$24,0),IF(AND($K$25=U88,$P$25="J38"),$O$25,0),IF(AND($K$26=U88,$P$26="J38"),$O$26,0),IF(AND($K$27=U88,$P$27="J38"),$O$27,0),IF(AND($K$28=U88,$P$28="J38"),$O$28,0)),0)</f>
        <v>0</v>
      </c>
      <c r="W88" t="s">
        <v>717</v>
      </c>
    </row>
    <row r="89" spans="21:23">
      <c r="U89" t="str">
        <f>人物卡!AG38</f>
        <v>徒手搏斗</v>
      </c>
      <c r="V89">
        <f ca="1">IF(附表!$I$12,MAX(IF($K$2=U89,$O$2,0),IF($K$3=U89,$O$3,0),IF($K$4=U89,$O$4,0),IF($K$5=U89,$O$5,0),IF($K$6=U89,$O$6,0),IF($K$7=U89,$O$7,0),IF($K$8=U89,$O$8,0),IF($K$9=U89,$O$9,0),IF($K$10=U89,$O$10,0),IF($K$11=U89,$O$11,0),IF($K$12=U89,$O$12,0),IF($K$13=U89,$O$13,0),IF($K$14=U89,$O$14,0),IF($K$15=U89,$O$15,0),IF($K$16=U89,$O$16,0),IF($K$17=U89,$O$17,0),IF($K$18=U89,$O$18,0),IF($K$19=U89,$O$19,0),IF($K$20=U89,$O$20,0),IF($K$21=U89,$O$21,0),IF($K$22=U89,$O$22,0),IF($K$23=U89,$O$23,0),IF($K$24=U89,$O$24,0),IF($K$25=U89,$O$25,0),IF($K$26=U89,$O$26,0),IF($K$27=U89,$O$27,0),IF($K$28=U89,$O$28,0)),0)</f>
        <v>0</v>
      </c>
      <c r="W89" t="s">
        <v>718</v>
      </c>
    </row>
    <row r="90" spans="21:23">
      <c r="U90" t="str">
        <f>人物卡!D39</f>
        <v>法证学</v>
      </c>
      <c r="V90">
        <f ca="1">IF(附表!$I$12,MAX(IF($K$2=U90,$O$2,0),IF($K$3=U90,$O$3,0),IF($K$4=U90,$O$4,0),IF($K$5=U90,$O$5,0),IF($K$6=U90,$O$6,0),IF($K$7=U90,$O$7,0),IF($K$8=U90,$O$8,0),IF($K$9=U90,$O$9,0),IF($K$10=U90,$O$10,0),IF($K$11=U90,$O$11,0),IF($K$12=U90,$O$12,0),IF($K$13=U90,$O$13,0),IF($K$14=U90,$O$14,0),IF($K$15=U90,$O$15,0),IF($K$16=U90,$O$16,0),IF($K$17=U90,$O$17,0),IF($K$18=U90,$O$18,0),IF($K$19=U90,$O$19,0),IF($K$20=U90,$O$20,0),IF($K$21=U90,$O$21,0),IF($K$22=U90,$O$22,0),IF($K$23=U90,$O$23,0),IF($K$24=U90,$O$24,0),IF($K$25=U90,$O$25,0),IF($K$26=U90,$O$26,0),IF($K$27=U90,$O$27,0),IF($K$28=U90,$O$28,0)),0)</f>
        <v>0</v>
      </c>
      <c r="W90" t="s">
        <v>719</v>
      </c>
    </row>
    <row r="91" spans="21:23">
      <c r="U91" t="str">
        <f>人物卡!D40</f>
        <v>重型机械</v>
      </c>
      <c r="V91">
        <f ca="1">IF(附表!$I$12,MAX(IF($K$2=U91,$O$2,0),IF($K$3=U91,$O$3,0),IF($K$4=U91,$O$4,0),IF($K$5=U91,$O$5,0),IF($K$6=U91,$O$6,0),IF($K$7=U91,$O$7,0),IF($K$8=U91,$O$8,0),IF($K$9=U91,$O$9,0),IF($K$10=U91,$O$10,0),IF($K$11=U91,$O$11,0),IF($K$12=U91,$O$12,0),IF($K$13=U91,$O$13,0),IF($K$14=U91,$O$14,0),IF($K$15=U91,$O$15,0),IF($K$16=U91,$O$16,0),IF($K$17=U91,$O$17,0),IF($K$18=U91,$O$18,0),IF($K$19=U91,$O$19,0),IF($K$20=U91,$O$20,0),IF($K$21=U91,$O$21,0),IF($K$22=U91,$O$22,0),IF($K$23=U91,$O$23,0),IF($K$24=U91,$O$24,0),IF($K$25=U91,$O$25,0),IF($K$26=U91,$O$26,0),IF($K$27=U91,$O$27,0),IF($K$28=U91,$O$28,0)),0)</f>
        <v>0</v>
      </c>
      <c r="W91" t="s">
        <v>720</v>
      </c>
    </row>
    <row r="92" spans="21:23">
      <c r="U92" t="str">
        <f>人物卡!D41</f>
        <v>重型武器</v>
      </c>
      <c r="V92">
        <f ca="1">IF(附表!$I$12,MAX(IF($K$2=U92,$O$2,0),IF($K$3=U92,$O$3,0),IF($K$4=U92,$O$4,0),IF($K$5=U92,$O$5,0),IF($K$6=U92,$O$6,0),IF($K$7=U92,$O$7,0),IF($K$8=U92,$O$8,0),IF($K$9=U92,$O$9,0),IF($K$10=U92,$O$10,0),IF($K$11=U92,$O$11,0),IF($K$12=U92,$O$12,0),IF($K$13=U92,$O$13,0),IF($K$14=U92,$O$14,0),IF($K$15=U92,$O$15,0),IF($K$16=U92,$O$16,0),IF($K$17=U92,$O$17,0),IF($K$18=U92,$O$18,0),IF($K$19=U92,$O$19,0),IF($K$20=U92,$O$20,0),IF($K$21=U92,$O$21,0),IF($K$22=U92,$O$22,0),IF($K$23=U92,$O$23,0),IF($K$24=U92,$O$24,0),IF($K$25=U92,$O$25,0),IF($K$26=U92,$O$26,0),IF($K$27=U92,$O$27,0),IF($K$28=U92,$O$28,0)),0)</f>
        <v>0</v>
      </c>
      <c r="W92" t="s">
        <v>721</v>
      </c>
    </row>
    <row r="93" spans="21:23">
      <c r="U93" t="str">
        <f>人物卡!D42</f>
        <v>历史</v>
      </c>
      <c r="V93">
        <f ca="1">IF(附表!$I$12,MAX(IF($K$2=U93,$O$2,0),IF($K$3=U93,$O$3,0),IF($K$4=U93,$O$4,0),IF($K$5=U93,$O$5,0),IF($K$6=U93,$O$6,0),IF($K$7=U93,$O$7,0),IF($K$8=U93,$O$8,0),IF($K$9=U93,$O$9,0),IF($K$10=U93,$O$10,0),IF($K$11=U93,$O$11,0),IF($K$12=U93,$O$12,0),IF($K$13=U93,$O$13,0),IF($K$14=U93,$O$14,0),IF($K$15=U93,$O$15,0),IF($K$16=U93,$O$16,0),IF($K$17=U93,$O$17,0),IF($K$18=U93,$O$18,0),IF($K$19=U93,$O$19,0),IF($K$20=U93,$O$20,0),IF($K$21=U93,$O$21,0),IF($K$22=U93,$O$22,0),IF($K$23=U93,$O$23,0),IF($K$24=U93,$O$24,0),IF($K$25=U93,$O$25,0),IF($K$26=U93,$O$26,0),IF($K$27=U93,$O$27,0),IF($K$28=U93,$O$28,0)),0)</f>
        <v>0</v>
      </c>
      <c r="W93" t="s">
        <v>722</v>
      </c>
    </row>
    <row r="94" spans="21:23">
      <c r="U94" t="str">
        <f>人物卡!D43</f>
        <v>人源情报</v>
      </c>
      <c r="V94">
        <f ca="1">IF(附表!$I$12,MAX(IF($K$2=U94,$O$2,0),IF($K$3=U94,$O$3,0),IF($K$4=U94,$O$4,0),IF($K$5=U94,$O$5,0),IF($K$6=U94,$O$6,0),IF($K$7=U94,$O$7,0),IF($K$8=U94,$O$8,0),IF($K$9=U94,$O$9,0),IF($K$10=U94,$O$10,0),IF($K$11=U94,$O$11,0),IF($K$12=U94,$O$12,0),IF($K$13=U94,$O$13,0),IF($K$14=U94,$O$14,0),IF($K$15=U94,$O$15,0),IF($K$16=U94,$O$16,0),IF($K$17=U94,$O$17,0),IF($K$18=U94,$O$18,0),IF($K$19=U94,$O$19,0),IF($K$20=U94,$O$20,0),IF($K$21=U94,$O$21,0),IF($K$22=U94,$O$22,0),IF($K$23=U94,$O$23,0),IF($K$24=U94,$O$24,0),IF($K$25=U94,$O$25,0),IF($K$26=U94,$O$26,0),IF($K$27=U94,$O$27,0),IF($K$28=U94,$O$28,0)),0)</f>
        <v>0</v>
      </c>
      <c r="W94" t="s">
        <v>723</v>
      </c>
    </row>
    <row r="100" spans="1:14">
      <c r="A100">
        <v>2</v>
      </c>
      <c r="B100">
        <v>0</v>
      </c>
      <c r="C100" t="s">
        <v>126</v>
      </c>
      <c r="D100" t="s">
        <v>724</v>
      </c>
      <c r="E100" t="s">
        <v>126</v>
      </c>
      <c r="F100">
        <v>0</v>
      </c>
      <c r="G100" t="s">
        <v>126</v>
      </c>
      <c r="H100" t="s">
        <v>126</v>
      </c>
      <c r="I100" t="s">
        <v>126</v>
      </c>
      <c r="J100" t="s">
        <v>126</v>
      </c>
      <c r="K100" t="s">
        <v>126</v>
      </c>
      <c r="L100" t="s">
        <v>126</v>
      </c>
      <c r="M100" t="s">
        <v>725</v>
      </c>
      <c r="N100" t="b">
        <v>0</v>
      </c>
    </row>
    <row r="101" spans="1:14">
      <c r="A101">
        <v>2</v>
      </c>
      <c r="B101">
        <v>1</v>
      </c>
      <c r="C101" t="s">
        <v>126</v>
      </c>
      <c r="D101" t="s">
        <v>724</v>
      </c>
      <c r="E101" t="s">
        <v>126</v>
      </c>
      <c r="F101">
        <v>0</v>
      </c>
      <c r="G101" t="s">
        <v>126</v>
      </c>
      <c r="H101" t="s">
        <v>126</v>
      </c>
      <c r="I101" t="s">
        <v>126</v>
      </c>
      <c r="J101" t="s">
        <v>126</v>
      </c>
      <c r="K101" t="s">
        <v>126</v>
      </c>
      <c r="L101" t="s">
        <v>126</v>
      </c>
      <c r="M101" t="s">
        <v>726</v>
      </c>
      <c r="N101" t="b">
        <v>0</v>
      </c>
    </row>
    <row r="102" spans="1:14">
      <c r="A102">
        <v>2</v>
      </c>
      <c r="B102">
        <v>2</v>
      </c>
      <c r="C102" t="s">
        <v>126</v>
      </c>
      <c r="D102" t="s">
        <v>724</v>
      </c>
      <c r="E102" t="s">
        <v>126</v>
      </c>
      <c r="F102">
        <v>0</v>
      </c>
      <c r="G102" t="s">
        <v>126</v>
      </c>
      <c r="H102" t="s">
        <v>126</v>
      </c>
      <c r="I102" t="s">
        <v>126</v>
      </c>
      <c r="J102" t="s">
        <v>126</v>
      </c>
      <c r="K102" t="s">
        <v>126</v>
      </c>
      <c r="L102" t="s">
        <v>126</v>
      </c>
      <c r="M102" t="s">
        <v>727</v>
      </c>
      <c r="N102" t="b">
        <v>0</v>
      </c>
    </row>
    <row r="103" spans="1:14">
      <c r="A103">
        <v>2</v>
      </c>
      <c r="B103">
        <v>3</v>
      </c>
      <c r="C103" t="s">
        <v>126</v>
      </c>
      <c r="D103" t="s">
        <v>724</v>
      </c>
      <c r="E103" t="s">
        <v>126</v>
      </c>
      <c r="F103">
        <v>0</v>
      </c>
      <c r="G103" t="s">
        <v>126</v>
      </c>
      <c r="H103" t="s">
        <v>126</v>
      </c>
      <c r="I103" t="s">
        <v>126</v>
      </c>
      <c r="J103" t="s">
        <v>126</v>
      </c>
      <c r="K103" t="s">
        <v>126</v>
      </c>
      <c r="L103" t="s">
        <v>126</v>
      </c>
      <c r="M103" t="s">
        <v>728</v>
      </c>
      <c r="N103" t="b">
        <v>0</v>
      </c>
    </row>
    <row r="104" spans="1:14">
      <c r="A104">
        <v>2</v>
      </c>
      <c r="B104">
        <v>4</v>
      </c>
      <c r="C104" t="s">
        <v>126</v>
      </c>
      <c r="D104" t="s">
        <v>724</v>
      </c>
      <c r="E104" t="s">
        <v>126</v>
      </c>
      <c r="F104">
        <v>0</v>
      </c>
      <c r="G104" t="s">
        <v>126</v>
      </c>
      <c r="H104" t="s">
        <v>126</v>
      </c>
      <c r="I104" t="s">
        <v>126</v>
      </c>
      <c r="J104" t="s">
        <v>126</v>
      </c>
      <c r="K104" t="s">
        <v>126</v>
      </c>
      <c r="L104" t="s">
        <v>126</v>
      </c>
      <c r="M104" t="s">
        <v>729</v>
      </c>
      <c r="N104" t="b">
        <v>0</v>
      </c>
    </row>
    <row r="105" spans="1:14">
      <c r="A105">
        <v>2</v>
      </c>
      <c r="B105">
        <v>5</v>
      </c>
      <c r="C105" t="s">
        <v>126</v>
      </c>
      <c r="D105" t="s">
        <v>724</v>
      </c>
      <c r="E105" t="s">
        <v>126</v>
      </c>
      <c r="F105">
        <v>0</v>
      </c>
      <c r="G105" t="s">
        <v>126</v>
      </c>
      <c r="H105" t="s">
        <v>126</v>
      </c>
      <c r="I105" t="s">
        <v>126</v>
      </c>
      <c r="J105" t="s">
        <v>126</v>
      </c>
      <c r="K105" t="s">
        <v>126</v>
      </c>
      <c r="L105" t="s">
        <v>126</v>
      </c>
      <c r="M105" t="s">
        <v>730</v>
      </c>
      <c r="N105" t="b">
        <v>0</v>
      </c>
    </row>
    <row r="106" spans="1:14">
      <c r="A106">
        <v>2</v>
      </c>
      <c r="B106">
        <v>6</v>
      </c>
      <c r="C106" t="s">
        <v>126</v>
      </c>
      <c r="D106" t="s">
        <v>724</v>
      </c>
      <c r="E106" t="s">
        <v>126</v>
      </c>
      <c r="F106">
        <v>0</v>
      </c>
      <c r="G106" t="s">
        <v>126</v>
      </c>
      <c r="H106" t="s">
        <v>126</v>
      </c>
      <c r="I106" t="s">
        <v>126</v>
      </c>
      <c r="J106" t="s">
        <v>126</v>
      </c>
      <c r="K106" t="s">
        <v>126</v>
      </c>
      <c r="L106" t="s">
        <v>126</v>
      </c>
      <c r="M106" t="s">
        <v>731</v>
      </c>
      <c r="N106" t="b">
        <v>0</v>
      </c>
    </row>
    <row r="107" spans="1:14">
      <c r="A107">
        <v>2</v>
      </c>
      <c r="B107">
        <v>7</v>
      </c>
      <c r="C107" t="s">
        <v>126</v>
      </c>
      <c r="D107" t="s">
        <v>724</v>
      </c>
      <c r="E107" t="s">
        <v>126</v>
      </c>
      <c r="F107">
        <v>0</v>
      </c>
      <c r="G107" t="s">
        <v>126</v>
      </c>
      <c r="H107" t="s">
        <v>126</v>
      </c>
      <c r="I107" t="s">
        <v>126</v>
      </c>
      <c r="J107" t="s">
        <v>126</v>
      </c>
      <c r="K107" t="s">
        <v>126</v>
      </c>
      <c r="L107" t="s">
        <v>126</v>
      </c>
      <c r="M107" t="s">
        <v>732</v>
      </c>
      <c r="N107" t="b">
        <v>0</v>
      </c>
    </row>
    <row r="108" spans="1:14">
      <c r="A108">
        <v>2</v>
      </c>
      <c r="B108">
        <v>8</v>
      </c>
      <c r="C108" t="s">
        <v>126</v>
      </c>
      <c r="D108" t="s">
        <v>724</v>
      </c>
      <c r="E108" t="s">
        <v>126</v>
      </c>
      <c r="F108">
        <v>0</v>
      </c>
      <c r="G108" t="s">
        <v>126</v>
      </c>
      <c r="H108" t="s">
        <v>126</v>
      </c>
      <c r="I108" t="s">
        <v>126</v>
      </c>
      <c r="J108" t="s">
        <v>126</v>
      </c>
      <c r="K108" t="s">
        <v>126</v>
      </c>
      <c r="L108" t="s">
        <v>126</v>
      </c>
      <c r="M108" t="s">
        <v>733</v>
      </c>
      <c r="N108" t="b">
        <v>0</v>
      </c>
    </row>
    <row r="109" spans="1:14">
      <c r="A109">
        <v>2</v>
      </c>
      <c r="B109">
        <v>9</v>
      </c>
      <c r="C109" t="s">
        <v>126</v>
      </c>
      <c r="D109" t="s">
        <v>724</v>
      </c>
      <c r="E109" t="s">
        <v>126</v>
      </c>
      <c r="F109">
        <v>0</v>
      </c>
      <c r="G109" t="s">
        <v>126</v>
      </c>
      <c r="H109" t="s">
        <v>126</v>
      </c>
      <c r="I109" t="s">
        <v>126</v>
      </c>
      <c r="J109" t="s">
        <v>126</v>
      </c>
      <c r="K109" t="s">
        <v>126</v>
      </c>
      <c r="L109" t="s">
        <v>126</v>
      </c>
      <c r="M109" t="s">
        <v>734</v>
      </c>
      <c r="N109" t="b">
        <v>0</v>
      </c>
    </row>
    <row r="110" spans="1:14">
      <c r="A110">
        <v>2</v>
      </c>
      <c r="B110">
        <v>10</v>
      </c>
      <c r="C110" t="s">
        <v>126</v>
      </c>
      <c r="D110" t="s">
        <v>724</v>
      </c>
      <c r="E110" t="s">
        <v>126</v>
      </c>
      <c r="F110">
        <v>0</v>
      </c>
      <c r="G110" t="s">
        <v>126</v>
      </c>
      <c r="H110" t="s">
        <v>126</v>
      </c>
      <c r="I110" t="s">
        <v>126</v>
      </c>
      <c r="J110" t="s">
        <v>126</v>
      </c>
      <c r="K110" t="s">
        <v>126</v>
      </c>
      <c r="L110" t="s">
        <v>126</v>
      </c>
      <c r="M110" t="s">
        <v>735</v>
      </c>
      <c r="N110" t="b">
        <v>0</v>
      </c>
    </row>
    <row r="111" spans="1:14">
      <c r="A111">
        <v>2</v>
      </c>
      <c r="B111">
        <v>11</v>
      </c>
      <c r="C111" t="s">
        <v>126</v>
      </c>
      <c r="D111" t="s">
        <v>724</v>
      </c>
      <c r="E111" t="s">
        <v>126</v>
      </c>
      <c r="F111">
        <v>0</v>
      </c>
      <c r="G111" t="s">
        <v>126</v>
      </c>
      <c r="H111" t="s">
        <v>126</v>
      </c>
      <c r="I111" t="s">
        <v>126</v>
      </c>
      <c r="J111" t="s">
        <v>126</v>
      </c>
      <c r="K111" t="s">
        <v>126</v>
      </c>
      <c r="L111" t="s">
        <v>126</v>
      </c>
      <c r="M111" t="s">
        <v>736</v>
      </c>
      <c r="N111" t="b">
        <v>0</v>
      </c>
    </row>
    <row r="112" spans="1:14">
      <c r="A112">
        <v>2</v>
      </c>
      <c r="B112">
        <v>12</v>
      </c>
      <c r="C112" t="s">
        <v>126</v>
      </c>
      <c r="D112" t="s">
        <v>724</v>
      </c>
      <c r="E112" t="s">
        <v>126</v>
      </c>
      <c r="F112">
        <v>0</v>
      </c>
      <c r="G112" t="s">
        <v>126</v>
      </c>
      <c r="H112" t="s">
        <v>126</v>
      </c>
      <c r="I112" t="s">
        <v>126</v>
      </c>
      <c r="J112" t="s">
        <v>126</v>
      </c>
      <c r="K112" t="s">
        <v>126</v>
      </c>
      <c r="L112" t="s">
        <v>126</v>
      </c>
      <c r="M112" t="s">
        <v>737</v>
      </c>
      <c r="N112" t="b">
        <v>0</v>
      </c>
    </row>
    <row r="113" spans="1:14">
      <c r="A113">
        <v>2</v>
      </c>
      <c r="B113">
        <v>13</v>
      </c>
      <c r="C113" t="s">
        <v>126</v>
      </c>
      <c r="D113" t="s">
        <v>724</v>
      </c>
      <c r="E113" t="s">
        <v>126</v>
      </c>
      <c r="F113">
        <v>0</v>
      </c>
      <c r="G113" t="s">
        <v>126</v>
      </c>
      <c r="H113" t="s">
        <v>126</v>
      </c>
      <c r="I113" t="s">
        <v>126</v>
      </c>
      <c r="J113" t="s">
        <v>126</v>
      </c>
      <c r="K113" t="s">
        <v>126</v>
      </c>
      <c r="L113" t="s">
        <v>126</v>
      </c>
      <c r="M113" t="s">
        <v>738</v>
      </c>
      <c r="N113" t="b">
        <v>0</v>
      </c>
    </row>
    <row r="114" spans="1:14">
      <c r="A114">
        <v>2</v>
      </c>
      <c r="B114">
        <v>14</v>
      </c>
      <c r="C114" t="s">
        <v>126</v>
      </c>
      <c r="D114" t="s">
        <v>724</v>
      </c>
      <c r="E114" t="s">
        <v>126</v>
      </c>
      <c r="F114">
        <v>0</v>
      </c>
      <c r="G114" t="s">
        <v>126</v>
      </c>
      <c r="H114" t="s">
        <v>126</v>
      </c>
      <c r="I114" t="s">
        <v>126</v>
      </c>
      <c r="J114" t="s">
        <v>126</v>
      </c>
      <c r="K114" t="s">
        <v>126</v>
      </c>
      <c r="L114" t="s">
        <v>126</v>
      </c>
      <c r="M114" t="s">
        <v>739</v>
      </c>
      <c r="N114" t="b">
        <v>0</v>
      </c>
    </row>
    <row r="115" spans="1:14">
      <c r="A115">
        <v>2</v>
      </c>
      <c r="B115">
        <v>15</v>
      </c>
      <c r="C115" t="s">
        <v>126</v>
      </c>
      <c r="D115" t="s">
        <v>724</v>
      </c>
      <c r="E115" t="s">
        <v>126</v>
      </c>
      <c r="F115">
        <v>0</v>
      </c>
      <c r="G115" t="s">
        <v>126</v>
      </c>
      <c r="H115" t="s">
        <v>126</v>
      </c>
      <c r="I115" t="s">
        <v>126</v>
      </c>
      <c r="J115" t="s">
        <v>126</v>
      </c>
      <c r="K115" t="s">
        <v>126</v>
      </c>
      <c r="L115" t="s">
        <v>126</v>
      </c>
      <c r="M115" t="s">
        <v>740</v>
      </c>
      <c r="N115" t="b">
        <v>0</v>
      </c>
    </row>
    <row r="116" spans="1:14">
      <c r="A116">
        <v>2</v>
      </c>
      <c r="B116">
        <v>16</v>
      </c>
      <c r="C116" t="s">
        <v>126</v>
      </c>
      <c r="D116" t="s">
        <v>741</v>
      </c>
      <c r="E116" t="s">
        <v>126</v>
      </c>
      <c r="F116">
        <v>0</v>
      </c>
      <c r="G116" t="s">
        <v>126</v>
      </c>
      <c r="H116" t="s">
        <v>126</v>
      </c>
      <c r="I116" t="s">
        <v>126</v>
      </c>
      <c r="J116" t="s">
        <v>126</v>
      </c>
      <c r="K116" t="s">
        <v>126</v>
      </c>
      <c r="L116" t="s">
        <v>126</v>
      </c>
      <c r="M116" t="s">
        <v>742</v>
      </c>
      <c r="N116" t="b">
        <v>0</v>
      </c>
    </row>
    <row r="117" spans="1:14">
      <c r="A117">
        <v>2</v>
      </c>
      <c r="B117">
        <v>17</v>
      </c>
      <c r="C117" t="s">
        <v>126</v>
      </c>
      <c r="D117" t="s">
        <v>741</v>
      </c>
      <c r="E117" t="s">
        <v>126</v>
      </c>
      <c r="F117">
        <v>0</v>
      </c>
      <c r="G117" t="s">
        <v>126</v>
      </c>
      <c r="H117" t="s">
        <v>126</v>
      </c>
      <c r="I117" t="s">
        <v>126</v>
      </c>
      <c r="J117" t="s">
        <v>126</v>
      </c>
      <c r="K117" t="s">
        <v>126</v>
      </c>
      <c r="L117" t="s">
        <v>126</v>
      </c>
      <c r="M117" t="s">
        <v>743</v>
      </c>
      <c r="N117" t="b">
        <v>0</v>
      </c>
    </row>
    <row r="118" spans="1:14">
      <c r="A118">
        <v>2</v>
      </c>
      <c r="B118">
        <v>18</v>
      </c>
      <c r="C118" t="s">
        <v>126</v>
      </c>
      <c r="D118" t="s">
        <v>741</v>
      </c>
      <c r="E118" t="s">
        <v>126</v>
      </c>
      <c r="F118">
        <v>0</v>
      </c>
      <c r="G118" t="s">
        <v>126</v>
      </c>
      <c r="H118" t="s">
        <v>126</v>
      </c>
      <c r="I118" t="s">
        <v>126</v>
      </c>
      <c r="J118" t="s">
        <v>126</v>
      </c>
      <c r="K118" t="s">
        <v>126</v>
      </c>
      <c r="L118" t="s">
        <v>126</v>
      </c>
      <c r="M118" t="s">
        <v>744</v>
      </c>
      <c r="N118" t="b">
        <v>0</v>
      </c>
    </row>
    <row r="119" spans="1:14">
      <c r="A119">
        <v>2</v>
      </c>
      <c r="B119">
        <v>19</v>
      </c>
      <c r="C119" t="s">
        <v>126</v>
      </c>
      <c r="D119" t="s">
        <v>741</v>
      </c>
      <c r="E119" t="s">
        <v>126</v>
      </c>
      <c r="F119">
        <v>0</v>
      </c>
      <c r="G119" t="s">
        <v>126</v>
      </c>
      <c r="H119" t="s">
        <v>126</v>
      </c>
      <c r="I119" t="s">
        <v>126</v>
      </c>
      <c r="J119" t="s">
        <v>126</v>
      </c>
      <c r="K119" t="s">
        <v>126</v>
      </c>
      <c r="L119" t="s">
        <v>126</v>
      </c>
      <c r="M119" t="s">
        <v>745</v>
      </c>
      <c r="N119" t="b">
        <v>0</v>
      </c>
    </row>
    <row r="120" spans="1:14">
      <c r="A120">
        <v>2</v>
      </c>
      <c r="B120">
        <v>20</v>
      </c>
      <c r="C120" t="s">
        <v>126</v>
      </c>
      <c r="D120" t="s">
        <v>741</v>
      </c>
      <c r="E120" t="s">
        <v>126</v>
      </c>
      <c r="F120">
        <v>0</v>
      </c>
      <c r="G120" t="s">
        <v>126</v>
      </c>
      <c r="H120" t="s">
        <v>126</v>
      </c>
      <c r="I120" t="s">
        <v>126</v>
      </c>
      <c r="J120" t="s">
        <v>126</v>
      </c>
      <c r="K120" t="s">
        <v>126</v>
      </c>
      <c r="L120" t="s">
        <v>126</v>
      </c>
      <c r="M120" t="s">
        <v>746</v>
      </c>
      <c r="N120" t="b">
        <v>0</v>
      </c>
    </row>
    <row r="121" spans="1:14">
      <c r="A121">
        <v>2</v>
      </c>
      <c r="B121">
        <v>21</v>
      </c>
      <c r="C121" t="s">
        <v>126</v>
      </c>
      <c r="D121" t="s">
        <v>741</v>
      </c>
      <c r="E121" t="s">
        <v>126</v>
      </c>
      <c r="F121">
        <v>0</v>
      </c>
      <c r="G121" t="s">
        <v>126</v>
      </c>
      <c r="H121" t="s">
        <v>126</v>
      </c>
      <c r="I121" t="s">
        <v>126</v>
      </c>
      <c r="J121" t="s">
        <v>126</v>
      </c>
      <c r="K121" t="s">
        <v>126</v>
      </c>
      <c r="L121" t="s">
        <v>126</v>
      </c>
      <c r="M121" t="s">
        <v>747</v>
      </c>
      <c r="N121" t="b">
        <v>0</v>
      </c>
    </row>
    <row r="122" spans="1:14">
      <c r="A122">
        <v>2</v>
      </c>
      <c r="B122">
        <v>22</v>
      </c>
      <c r="C122" t="s">
        <v>126</v>
      </c>
      <c r="D122" t="s">
        <v>741</v>
      </c>
      <c r="E122" t="s">
        <v>126</v>
      </c>
      <c r="F122">
        <v>0</v>
      </c>
      <c r="G122" t="s">
        <v>126</v>
      </c>
      <c r="H122" t="s">
        <v>126</v>
      </c>
      <c r="I122" t="s">
        <v>126</v>
      </c>
      <c r="J122" t="s">
        <v>126</v>
      </c>
      <c r="K122" t="s">
        <v>126</v>
      </c>
      <c r="L122" t="s">
        <v>126</v>
      </c>
      <c r="M122" t="s">
        <v>748</v>
      </c>
      <c r="N122" t="b">
        <v>0</v>
      </c>
    </row>
    <row r="123" spans="1:14">
      <c r="A123">
        <v>2</v>
      </c>
      <c r="B123">
        <v>23</v>
      </c>
      <c r="C123" t="s">
        <v>126</v>
      </c>
      <c r="D123" t="s">
        <v>741</v>
      </c>
      <c r="E123" t="s">
        <v>126</v>
      </c>
      <c r="F123">
        <v>0</v>
      </c>
      <c r="G123" t="s">
        <v>126</v>
      </c>
      <c r="H123" t="s">
        <v>126</v>
      </c>
      <c r="I123" t="s">
        <v>126</v>
      </c>
      <c r="J123" t="s">
        <v>126</v>
      </c>
      <c r="K123" t="s">
        <v>126</v>
      </c>
      <c r="L123" t="s">
        <v>126</v>
      </c>
      <c r="M123" t="s">
        <v>749</v>
      </c>
      <c r="N123" t="b">
        <v>0</v>
      </c>
    </row>
    <row r="124" spans="1:14">
      <c r="A124">
        <v>2</v>
      </c>
      <c r="B124">
        <v>24</v>
      </c>
      <c r="C124" t="s">
        <v>126</v>
      </c>
      <c r="D124" t="s">
        <v>741</v>
      </c>
      <c r="E124" t="s">
        <v>126</v>
      </c>
      <c r="F124">
        <v>0</v>
      </c>
      <c r="G124" t="s">
        <v>126</v>
      </c>
      <c r="H124" t="s">
        <v>126</v>
      </c>
      <c r="I124" t="s">
        <v>126</v>
      </c>
      <c r="J124" t="s">
        <v>126</v>
      </c>
      <c r="K124" t="s">
        <v>126</v>
      </c>
      <c r="L124" t="s">
        <v>126</v>
      </c>
      <c r="M124" t="s">
        <v>750</v>
      </c>
      <c r="N124" t="b">
        <v>0</v>
      </c>
    </row>
    <row r="125" spans="1:14">
      <c r="A125">
        <v>2</v>
      </c>
      <c r="B125">
        <v>25</v>
      </c>
      <c r="C125" t="s">
        <v>126</v>
      </c>
      <c r="D125" t="s">
        <v>741</v>
      </c>
      <c r="E125" t="s">
        <v>126</v>
      </c>
      <c r="F125">
        <v>0</v>
      </c>
      <c r="G125" t="s">
        <v>126</v>
      </c>
      <c r="H125" t="s">
        <v>126</v>
      </c>
      <c r="I125" t="s">
        <v>126</v>
      </c>
      <c r="J125" t="s">
        <v>126</v>
      </c>
      <c r="K125" t="s">
        <v>126</v>
      </c>
      <c r="L125" t="s">
        <v>126</v>
      </c>
      <c r="M125" t="s">
        <v>751</v>
      </c>
      <c r="N125" t="b">
        <v>0</v>
      </c>
    </row>
    <row r="126" spans="1:14">
      <c r="A126">
        <v>2</v>
      </c>
      <c r="B126">
        <v>26</v>
      </c>
      <c r="C126" t="s">
        <v>126</v>
      </c>
      <c r="D126" t="s">
        <v>741</v>
      </c>
      <c r="E126" t="s">
        <v>126</v>
      </c>
      <c r="F126">
        <v>0</v>
      </c>
      <c r="G126" t="s">
        <v>126</v>
      </c>
      <c r="H126" t="s">
        <v>126</v>
      </c>
      <c r="I126" t="s">
        <v>126</v>
      </c>
      <c r="J126" t="s">
        <v>126</v>
      </c>
      <c r="K126" t="s">
        <v>126</v>
      </c>
      <c r="L126" t="s">
        <v>126</v>
      </c>
      <c r="M126" t="s">
        <v>752</v>
      </c>
      <c r="N126" t="b">
        <v>0</v>
      </c>
    </row>
    <row r="127" spans="1:14">
      <c r="A127">
        <v>8</v>
      </c>
      <c r="B127">
        <v>0</v>
      </c>
      <c r="C127" t="s">
        <v>157</v>
      </c>
      <c r="D127" t="s">
        <v>753</v>
      </c>
      <c r="E127" t="s">
        <v>126</v>
      </c>
      <c r="F127">
        <v>50</v>
      </c>
      <c r="G127" t="s">
        <v>754</v>
      </c>
      <c r="H127" t="s">
        <v>126</v>
      </c>
      <c r="I127" t="s">
        <v>126</v>
      </c>
      <c r="J127" t="s">
        <v>755</v>
      </c>
      <c r="K127" t="s">
        <v>756</v>
      </c>
      <c r="L127" t="s">
        <v>757</v>
      </c>
      <c r="M127" t="s">
        <v>758</v>
      </c>
      <c r="N127" t="b">
        <v>0</v>
      </c>
    </row>
    <row r="128" spans="1:14">
      <c r="A128">
        <v>8</v>
      </c>
      <c r="B128">
        <v>1</v>
      </c>
      <c r="C128" t="s">
        <v>158</v>
      </c>
      <c r="D128" t="s">
        <v>724</v>
      </c>
      <c r="E128" t="s">
        <v>83</v>
      </c>
      <c r="F128">
        <v>40</v>
      </c>
      <c r="G128" t="s">
        <v>126</v>
      </c>
      <c r="H128" t="s">
        <v>126</v>
      </c>
      <c r="I128" t="s">
        <v>83</v>
      </c>
      <c r="J128" t="s">
        <v>126</v>
      </c>
      <c r="K128" t="s">
        <v>126</v>
      </c>
      <c r="L128" t="s">
        <v>126</v>
      </c>
      <c r="M128" t="s">
        <v>759</v>
      </c>
      <c r="N128" t="b">
        <v>0</v>
      </c>
    </row>
    <row r="129" spans="1:14">
      <c r="A129">
        <v>8</v>
      </c>
      <c r="B129">
        <v>2</v>
      </c>
      <c r="C129" t="s">
        <v>159</v>
      </c>
      <c r="D129" t="s">
        <v>753</v>
      </c>
      <c r="E129" t="s">
        <v>297</v>
      </c>
      <c r="F129">
        <v>50</v>
      </c>
      <c r="G129" t="s">
        <v>760</v>
      </c>
      <c r="H129" t="s">
        <v>126</v>
      </c>
      <c r="I129" t="s">
        <v>126</v>
      </c>
      <c r="J129" t="s">
        <v>761</v>
      </c>
      <c r="K129" t="s">
        <v>762</v>
      </c>
      <c r="L129" t="s">
        <v>763</v>
      </c>
      <c r="M129" t="s">
        <v>764</v>
      </c>
      <c r="N129" t="b">
        <v>0</v>
      </c>
    </row>
    <row r="130" spans="1:14">
      <c r="A130">
        <v>8</v>
      </c>
      <c r="B130">
        <v>3</v>
      </c>
      <c r="C130" t="s">
        <v>160</v>
      </c>
      <c r="D130" t="s">
        <v>753</v>
      </c>
      <c r="E130" t="s">
        <v>297</v>
      </c>
      <c r="F130">
        <v>40</v>
      </c>
      <c r="G130" t="s">
        <v>760</v>
      </c>
      <c r="H130" t="s">
        <v>126</v>
      </c>
      <c r="I130" t="s">
        <v>126</v>
      </c>
      <c r="J130" t="s">
        <v>761</v>
      </c>
      <c r="K130" t="s">
        <v>765</v>
      </c>
      <c r="L130" t="s">
        <v>766</v>
      </c>
      <c r="M130" t="s">
        <v>767</v>
      </c>
      <c r="N130" t="b">
        <v>0</v>
      </c>
    </row>
    <row r="131" spans="1:14">
      <c r="A131">
        <v>8</v>
      </c>
      <c r="B131">
        <v>4</v>
      </c>
      <c r="C131" t="s">
        <v>161</v>
      </c>
      <c r="D131" t="s">
        <v>724</v>
      </c>
      <c r="E131" t="s">
        <v>114</v>
      </c>
      <c r="F131">
        <v>60</v>
      </c>
      <c r="G131" t="s">
        <v>126</v>
      </c>
      <c r="H131" t="s">
        <v>126</v>
      </c>
      <c r="I131" t="s">
        <v>114</v>
      </c>
      <c r="J131" t="s">
        <v>126</v>
      </c>
      <c r="K131" t="s">
        <v>126</v>
      </c>
      <c r="L131" t="s">
        <v>126</v>
      </c>
      <c r="M131" t="s">
        <v>768</v>
      </c>
      <c r="N131" t="b">
        <v>0</v>
      </c>
    </row>
    <row r="132" spans="1:14">
      <c r="A132">
        <v>8</v>
      </c>
      <c r="B132">
        <v>5</v>
      </c>
      <c r="C132" t="s">
        <v>162</v>
      </c>
      <c r="D132" t="s">
        <v>724</v>
      </c>
      <c r="E132" t="s">
        <v>76</v>
      </c>
      <c r="F132">
        <v>40</v>
      </c>
      <c r="G132" t="s">
        <v>126</v>
      </c>
      <c r="H132" t="s">
        <v>126</v>
      </c>
      <c r="I132" t="s">
        <v>76</v>
      </c>
      <c r="J132" t="s">
        <v>126</v>
      </c>
      <c r="K132" t="s">
        <v>126</v>
      </c>
      <c r="L132" t="s">
        <v>126</v>
      </c>
      <c r="M132" t="s">
        <v>769</v>
      </c>
      <c r="N132" t="b">
        <v>0</v>
      </c>
    </row>
    <row r="133" spans="1:14">
      <c r="A133">
        <v>8</v>
      </c>
      <c r="B133">
        <v>6</v>
      </c>
      <c r="C133" t="s">
        <v>163</v>
      </c>
      <c r="D133" t="s">
        <v>724</v>
      </c>
      <c r="E133" t="s">
        <v>78</v>
      </c>
      <c r="F133">
        <v>40</v>
      </c>
      <c r="G133" t="s">
        <v>126</v>
      </c>
      <c r="H133" t="s">
        <v>126</v>
      </c>
      <c r="I133" t="s">
        <v>78</v>
      </c>
      <c r="J133" t="s">
        <v>126</v>
      </c>
      <c r="K133" t="s">
        <v>126</v>
      </c>
      <c r="L133" t="s">
        <v>126</v>
      </c>
      <c r="M133" t="s">
        <v>770</v>
      </c>
      <c r="N133" t="b">
        <v>0</v>
      </c>
    </row>
    <row r="134" spans="1:14">
      <c r="A134">
        <v>8</v>
      </c>
      <c r="B134">
        <v>7</v>
      </c>
      <c r="C134" t="s">
        <v>126</v>
      </c>
      <c r="D134" t="s">
        <v>724</v>
      </c>
      <c r="E134" t="s">
        <v>126</v>
      </c>
      <c r="F134">
        <v>0</v>
      </c>
      <c r="G134" t="s">
        <v>126</v>
      </c>
      <c r="H134" t="s">
        <v>126</v>
      </c>
      <c r="I134" t="s">
        <v>126</v>
      </c>
      <c r="J134" t="s">
        <v>126</v>
      </c>
      <c r="K134" t="s">
        <v>126</v>
      </c>
      <c r="L134" t="s">
        <v>126</v>
      </c>
      <c r="M134" t="s">
        <v>771</v>
      </c>
      <c r="N134" t="b">
        <v>0</v>
      </c>
    </row>
    <row r="135" spans="1:14">
      <c r="A135">
        <v>8</v>
      </c>
      <c r="B135">
        <v>8</v>
      </c>
      <c r="C135" t="s">
        <v>126</v>
      </c>
      <c r="D135" t="s">
        <v>724</v>
      </c>
      <c r="E135" t="s">
        <v>126</v>
      </c>
      <c r="F135">
        <v>0</v>
      </c>
      <c r="G135" t="s">
        <v>126</v>
      </c>
      <c r="H135" t="s">
        <v>126</v>
      </c>
      <c r="I135" t="s">
        <v>126</v>
      </c>
      <c r="J135" t="s">
        <v>126</v>
      </c>
      <c r="K135" t="s">
        <v>126</v>
      </c>
      <c r="L135" t="s">
        <v>126</v>
      </c>
      <c r="M135" t="s">
        <v>772</v>
      </c>
      <c r="N135" t="b">
        <v>0</v>
      </c>
    </row>
    <row r="136" spans="1:14">
      <c r="A136">
        <v>8</v>
      </c>
      <c r="B136">
        <v>9</v>
      </c>
      <c r="C136" t="s">
        <v>126</v>
      </c>
      <c r="D136" t="s">
        <v>724</v>
      </c>
      <c r="E136" t="s">
        <v>126</v>
      </c>
      <c r="F136">
        <v>0</v>
      </c>
      <c r="G136" t="s">
        <v>126</v>
      </c>
      <c r="H136" t="s">
        <v>126</v>
      </c>
      <c r="I136" t="s">
        <v>126</v>
      </c>
      <c r="J136" t="s">
        <v>126</v>
      </c>
      <c r="K136" t="s">
        <v>126</v>
      </c>
      <c r="L136" t="s">
        <v>126</v>
      </c>
      <c r="M136" t="s">
        <v>773</v>
      </c>
      <c r="N136" t="b">
        <v>0</v>
      </c>
    </row>
    <row r="137" spans="1:14">
      <c r="A137">
        <v>8</v>
      </c>
      <c r="B137">
        <v>10</v>
      </c>
      <c r="C137" t="s">
        <v>126</v>
      </c>
      <c r="D137" t="s">
        <v>724</v>
      </c>
      <c r="E137" t="s">
        <v>126</v>
      </c>
      <c r="F137">
        <v>0</v>
      </c>
      <c r="G137" t="s">
        <v>126</v>
      </c>
      <c r="H137" t="s">
        <v>126</v>
      </c>
      <c r="I137" t="s">
        <v>126</v>
      </c>
      <c r="J137" t="s">
        <v>126</v>
      </c>
      <c r="K137" t="s">
        <v>126</v>
      </c>
      <c r="L137" t="s">
        <v>126</v>
      </c>
      <c r="M137" t="s">
        <v>774</v>
      </c>
      <c r="N137" t="b">
        <v>0</v>
      </c>
    </row>
    <row r="138" spans="1:14">
      <c r="A138">
        <v>8</v>
      </c>
      <c r="B138">
        <v>11</v>
      </c>
      <c r="C138" t="s">
        <v>126</v>
      </c>
      <c r="D138" t="s">
        <v>724</v>
      </c>
      <c r="E138" t="s">
        <v>126</v>
      </c>
      <c r="F138">
        <v>0</v>
      </c>
      <c r="G138" t="s">
        <v>126</v>
      </c>
      <c r="H138" t="s">
        <v>126</v>
      </c>
      <c r="I138" t="s">
        <v>126</v>
      </c>
      <c r="J138" t="s">
        <v>126</v>
      </c>
      <c r="K138" t="s">
        <v>126</v>
      </c>
      <c r="L138" t="s">
        <v>126</v>
      </c>
      <c r="M138" t="s">
        <v>775</v>
      </c>
      <c r="N138" t="b">
        <v>0</v>
      </c>
    </row>
    <row r="139" spans="1:14">
      <c r="A139">
        <v>8</v>
      </c>
      <c r="B139">
        <v>12</v>
      </c>
      <c r="C139" t="s">
        <v>126</v>
      </c>
      <c r="D139" t="s">
        <v>724</v>
      </c>
      <c r="E139" t="s">
        <v>126</v>
      </c>
      <c r="F139">
        <v>0</v>
      </c>
      <c r="G139" t="s">
        <v>126</v>
      </c>
      <c r="H139" t="s">
        <v>126</v>
      </c>
      <c r="I139" t="s">
        <v>126</v>
      </c>
      <c r="J139" t="s">
        <v>126</v>
      </c>
      <c r="K139" t="s">
        <v>126</v>
      </c>
      <c r="L139" t="s">
        <v>126</v>
      </c>
      <c r="M139" t="s">
        <v>776</v>
      </c>
      <c r="N139" t="b">
        <v>0</v>
      </c>
    </row>
    <row r="140" spans="1:14">
      <c r="A140">
        <v>8</v>
      </c>
      <c r="B140">
        <v>13</v>
      </c>
      <c r="C140" t="s">
        <v>126</v>
      </c>
      <c r="D140" t="s">
        <v>724</v>
      </c>
      <c r="E140" t="s">
        <v>126</v>
      </c>
      <c r="F140">
        <v>0</v>
      </c>
      <c r="G140" t="s">
        <v>126</v>
      </c>
      <c r="H140" t="s">
        <v>126</v>
      </c>
      <c r="I140" t="s">
        <v>126</v>
      </c>
      <c r="J140" t="s">
        <v>126</v>
      </c>
      <c r="K140" t="s">
        <v>126</v>
      </c>
      <c r="L140" t="s">
        <v>126</v>
      </c>
      <c r="M140" t="s">
        <v>777</v>
      </c>
      <c r="N140" t="b">
        <v>0</v>
      </c>
    </row>
    <row r="141" spans="1:14">
      <c r="A141">
        <v>8</v>
      </c>
      <c r="B141">
        <v>14</v>
      </c>
      <c r="C141" t="s">
        <v>126</v>
      </c>
      <c r="D141" t="s">
        <v>724</v>
      </c>
      <c r="E141" t="s">
        <v>126</v>
      </c>
      <c r="F141">
        <v>0</v>
      </c>
      <c r="G141" t="s">
        <v>126</v>
      </c>
      <c r="H141" t="s">
        <v>126</v>
      </c>
      <c r="I141" t="s">
        <v>126</v>
      </c>
      <c r="J141" t="s">
        <v>126</v>
      </c>
      <c r="K141" t="s">
        <v>126</v>
      </c>
      <c r="L141" t="s">
        <v>126</v>
      </c>
      <c r="M141" t="s">
        <v>778</v>
      </c>
      <c r="N141" t="b">
        <v>0</v>
      </c>
    </row>
    <row r="142" spans="1:14">
      <c r="A142">
        <v>8</v>
      </c>
      <c r="B142">
        <v>15</v>
      </c>
      <c r="C142" t="s">
        <v>126</v>
      </c>
      <c r="D142" t="s">
        <v>724</v>
      </c>
      <c r="E142" t="s">
        <v>126</v>
      </c>
      <c r="F142">
        <v>0</v>
      </c>
      <c r="G142" t="s">
        <v>126</v>
      </c>
      <c r="H142" t="s">
        <v>126</v>
      </c>
      <c r="I142" t="s">
        <v>126</v>
      </c>
      <c r="J142" t="s">
        <v>126</v>
      </c>
      <c r="K142" t="s">
        <v>126</v>
      </c>
      <c r="L142" t="s">
        <v>126</v>
      </c>
      <c r="M142" t="s">
        <v>779</v>
      </c>
      <c r="N142" t="b">
        <v>0</v>
      </c>
    </row>
    <row r="143" spans="1:14">
      <c r="A143">
        <v>8</v>
      </c>
      <c r="B143">
        <v>16</v>
      </c>
      <c r="C143" t="s">
        <v>164</v>
      </c>
      <c r="D143" t="s">
        <v>741</v>
      </c>
      <c r="E143" t="s">
        <v>67</v>
      </c>
      <c r="F143">
        <v>40</v>
      </c>
      <c r="G143" t="s">
        <v>126</v>
      </c>
      <c r="H143" t="s">
        <v>126</v>
      </c>
      <c r="I143" t="s">
        <v>67</v>
      </c>
      <c r="J143" t="s">
        <v>126</v>
      </c>
      <c r="K143" t="s">
        <v>126</v>
      </c>
      <c r="L143" t="s">
        <v>126</v>
      </c>
      <c r="M143" t="s">
        <v>780</v>
      </c>
      <c r="N143" t="b">
        <v>0</v>
      </c>
    </row>
    <row r="144" spans="1:14">
      <c r="A144">
        <v>8</v>
      </c>
      <c r="B144">
        <v>17</v>
      </c>
      <c r="C144" t="s">
        <v>165</v>
      </c>
      <c r="D144" t="s">
        <v>741</v>
      </c>
      <c r="E144" t="s">
        <v>70</v>
      </c>
      <c r="F144">
        <v>40</v>
      </c>
      <c r="G144" t="s">
        <v>126</v>
      </c>
      <c r="H144" t="s">
        <v>126</v>
      </c>
      <c r="I144" t="s">
        <v>70</v>
      </c>
      <c r="J144" t="s">
        <v>126</v>
      </c>
      <c r="K144" t="s">
        <v>126</v>
      </c>
      <c r="L144" t="s">
        <v>126</v>
      </c>
      <c r="M144" t="s">
        <v>781</v>
      </c>
      <c r="N144" t="b">
        <v>0</v>
      </c>
    </row>
    <row r="145" spans="1:14">
      <c r="A145">
        <v>8</v>
      </c>
      <c r="B145">
        <v>18</v>
      </c>
      <c r="C145" t="s">
        <v>166</v>
      </c>
      <c r="D145" t="s">
        <v>741</v>
      </c>
      <c r="E145" t="s">
        <v>115</v>
      </c>
      <c r="F145">
        <v>50</v>
      </c>
      <c r="G145" t="s">
        <v>126</v>
      </c>
      <c r="H145" t="s">
        <v>126</v>
      </c>
      <c r="I145" t="s">
        <v>115</v>
      </c>
      <c r="J145" t="s">
        <v>126</v>
      </c>
      <c r="K145" t="s">
        <v>126</v>
      </c>
      <c r="L145" t="s">
        <v>126</v>
      </c>
      <c r="M145" t="s">
        <v>782</v>
      </c>
      <c r="N145" t="b">
        <v>0</v>
      </c>
    </row>
    <row r="146" spans="1:14">
      <c r="A146">
        <v>8</v>
      </c>
      <c r="B146">
        <v>19</v>
      </c>
      <c r="C146" t="s">
        <v>167</v>
      </c>
      <c r="D146" t="s">
        <v>741</v>
      </c>
      <c r="E146" t="s">
        <v>74</v>
      </c>
      <c r="F146">
        <v>50</v>
      </c>
      <c r="G146" t="s">
        <v>126</v>
      </c>
      <c r="H146" t="s">
        <v>126</v>
      </c>
      <c r="I146" t="s">
        <v>74</v>
      </c>
      <c r="J146" t="s">
        <v>126</v>
      </c>
      <c r="K146" t="s">
        <v>126</v>
      </c>
      <c r="L146" t="s">
        <v>126</v>
      </c>
      <c r="M146" t="s">
        <v>783</v>
      </c>
      <c r="N146" t="b">
        <v>0</v>
      </c>
    </row>
    <row r="147" spans="1:14">
      <c r="A147">
        <v>8</v>
      </c>
      <c r="B147">
        <v>20</v>
      </c>
      <c r="C147" t="s">
        <v>168</v>
      </c>
      <c r="D147" t="s">
        <v>741</v>
      </c>
      <c r="E147" t="s">
        <v>92</v>
      </c>
      <c r="F147">
        <v>50</v>
      </c>
      <c r="G147" t="s">
        <v>126</v>
      </c>
      <c r="H147" t="s">
        <v>126</v>
      </c>
      <c r="I147" t="s">
        <v>92</v>
      </c>
      <c r="J147" t="s">
        <v>126</v>
      </c>
      <c r="K147" t="s">
        <v>126</v>
      </c>
      <c r="L147" t="s">
        <v>126</v>
      </c>
      <c r="M147" t="s">
        <v>784</v>
      </c>
      <c r="N147" t="b">
        <v>0</v>
      </c>
    </row>
    <row r="148" spans="1:14">
      <c r="A148">
        <v>8</v>
      </c>
      <c r="B148">
        <v>21</v>
      </c>
      <c r="C148" t="s">
        <v>169</v>
      </c>
      <c r="D148" t="s">
        <v>741</v>
      </c>
      <c r="E148" t="s">
        <v>98</v>
      </c>
      <c r="F148">
        <v>60</v>
      </c>
      <c r="G148" t="s">
        <v>126</v>
      </c>
      <c r="H148" t="s">
        <v>126</v>
      </c>
      <c r="I148" t="s">
        <v>98</v>
      </c>
      <c r="J148" t="s">
        <v>126</v>
      </c>
      <c r="K148" t="s">
        <v>126</v>
      </c>
      <c r="L148" t="s">
        <v>126</v>
      </c>
      <c r="M148" t="s">
        <v>785</v>
      </c>
      <c r="N148" t="b">
        <v>0</v>
      </c>
    </row>
    <row r="149" spans="1:14">
      <c r="A149">
        <v>8</v>
      </c>
      <c r="B149">
        <v>22</v>
      </c>
      <c r="C149" t="s">
        <v>170</v>
      </c>
      <c r="D149" t="s">
        <v>741</v>
      </c>
      <c r="E149" t="s">
        <v>106</v>
      </c>
      <c r="F149">
        <v>50</v>
      </c>
      <c r="G149" t="s">
        <v>126</v>
      </c>
      <c r="H149" t="s">
        <v>126</v>
      </c>
      <c r="I149" t="s">
        <v>106</v>
      </c>
      <c r="J149" t="s">
        <v>126</v>
      </c>
      <c r="K149" t="s">
        <v>126</v>
      </c>
      <c r="L149" t="s">
        <v>126</v>
      </c>
      <c r="M149" t="s">
        <v>786</v>
      </c>
      <c r="N149" t="b">
        <v>0</v>
      </c>
    </row>
    <row r="150" spans="1:14">
      <c r="A150">
        <v>8</v>
      </c>
      <c r="B150">
        <v>23</v>
      </c>
      <c r="C150" t="s">
        <v>126</v>
      </c>
      <c r="D150" t="s">
        <v>741</v>
      </c>
      <c r="E150" t="s">
        <v>126</v>
      </c>
      <c r="F150">
        <v>0</v>
      </c>
      <c r="G150" t="s">
        <v>126</v>
      </c>
      <c r="H150" t="s">
        <v>126</v>
      </c>
      <c r="I150" t="s">
        <v>126</v>
      </c>
      <c r="J150" t="s">
        <v>126</v>
      </c>
      <c r="K150" t="s">
        <v>126</v>
      </c>
      <c r="L150" t="s">
        <v>126</v>
      </c>
      <c r="M150" t="s">
        <v>787</v>
      </c>
      <c r="N150" t="b">
        <v>0</v>
      </c>
    </row>
    <row r="151" spans="1:14">
      <c r="A151">
        <v>8</v>
      </c>
      <c r="B151">
        <v>24</v>
      </c>
      <c r="C151" t="s">
        <v>126</v>
      </c>
      <c r="D151" t="s">
        <v>741</v>
      </c>
      <c r="E151" t="s">
        <v>126</v>
      </c>
      <c r="F151">
        <v>0</v>
      </c>
      <c r="G151" t="s">
        <v>126</v>
      </c>
      <c r="H151" t="s">
        <v>126</v>
      </c>
      <c r="I151" t="s">
        <v>126</v>
      </c>
      <c r="J151" t="s">
        <v>126</v>
      </c>
      <c r="K151" t="s">
        <v>126</v>
      </c>
      <c r="L151" t="s">
        <v>126</v>
      </c>
      <c r="M151" t="s">
        <v>788</v>
      </c>
      <c r="N151" t="b">
        <v>0</v>
      </c>
    </row>
    <row r="152" spans="1:14">
      <c r="A152">
        <v>8</v>
      </c>
      <c r="B152">
        <v>25</v>
      </c>
      <c r="C152" t="s">
        <v>126</v>
      </c>
      <c r="D152" t="s">
        <v>741</v>
      </c>
      <c r="E152" t="s">
        <v>126</v>
      </c>
      <c r="F152">
        <v>0</v>
      </c>
      <c r="G152" t="s">
        <v>126</v>
      </c>
      <c r="H152" t="s">
        <v>126</v>
      </c>
      <c r="I152" t="s">
        <v>126</v>
      </c>
      <c r="J152" t="s">
        <v>126</v>
      </c>
      <c r="K152" t="s">
        <v>126</v>
      </c>
      <c r="L152" t="s">
        <v>126</v>
      </c>
      <c r="M152" t="s">
        <v>789</v>
      </c>
      <c r="N152" t="b">
        <v>0</v>
      </c>
    </row>
    <row r="153" spans="1:14">
      <c r="A153">
        <v>8</v>
      </c>
      <c r="B153">
        <v>26</v>
      </c>
      <c r="C153" t="s">
        <v>126</v>
      </c>
      <c r="D153" t="s">
        <v>741</v>
      </c>
      <c r="E153" t="s">
        <v>126</v>
      </c>
      <c r="F153">
        <v>0</v>
      </c>
      <c r="G153" t="s">
        <v>126</v>
      </c>
      <c r="H153" t="s">
        <v>126</v>
      </c>
      <c r="I153" t="s">
        <v>126</v>
      </c>
      <c r="J153" t="s">
        <v>126</v>
      </c>
      <c r="K153" t="s">
        <v>126</v>
      </c>
      <c r="L153" t="s">
        <v>126</v>
      </c>
      <c r="M153" t="s">
        <v>790</v>
      </c>
      <c r="N153" t="b">
        <v>0</v>
      </c>
    </row>
    <row r="154" spans="1:14">
      <c r="A154">
        <v>9</v>
      </c>
      <c r="B154">
        <v>0</v>
      </c>
      <c r="C154" t="s">
        <v>172</v>
      </c>
      <c r="D154" t="s">
        <v>724</v>
      </c>
      <c r="E154" t="s">
        <v>87</v>
      </c>
      <c r="F154">
        <v>60</v>
      </c>
      <c r="G154" t="s">
        <v>126</v>
      </c>
      <c r="H154" t="s">
        <v>126</v>
      </c>
      <c r="I154" t="s">
        <v>87</v>
      </c>
      <c r="J154" t="s">
        <v>126</v>
      </c>
      <c r="K154" t="s">
        <v>126</v>
      </c>
      <c r="L154" t="s">
        <v>126</v>
      </c>
      <c r="M154" t="s">
        <v>791</v>
      </c>
      <c r="N154" t="b">
        <v>0</v>
      </c>
    </row>
    <row r="155" spans="1:14">
      <c r="A155">
        <v>9</v>
      </c>
      <c r="B155">
        <v>1</v>
      </c>
      <c r="C155" t="s">
        <v>173</v>
      </c>
      <c r="D155" t="s">
        <v>724</v>
      </c>
      <c r="E155" t="s">
        <v>544</v>
      </c>
      <c r="F155">
        <v>30</v>
      </c>
      <c r="G155" t="s">
        <v>126</v>
      </c>
      <c r="H155" t="s">
        <v>547</v>
      </c>
      <c r="I155" t="s">
        <v>508</v>
      </c>
      <c r="J155" t="s">
        <v>126</v>
      </c>
      <c r="K155" t="s">
        <v>792</v>
      </c>
      <c r="L155" t="s">
        <v>793</v>
      </c>
      <c r="M155" t="s">
        <v>794</v>
      </c>
      <c r="N155" t="b">
        <v>0</v>
      </c>
    </row>
    <row r="156" spans="1:14">
      <c r="A156">
        <v>9</v>
      </c>
      <c r="B156">
        <v>2</v>
      </c>
      <c r="C156" t="s">
        <v>174</v>
      </c>
      <c r="D156" t="s">
        <v>724</v>
      </c>
      <c r="E156" t="s">
        <v>544</v>
      </c>
      <c r="F156">
        <v>30</v>
      </c>
      <c r="G156" t="s">
        <v>126</v>
      </c>
      <c r="H156" t="s">
        <v>557</v>
      </c>
      <c r="I156" t="s">
        <v>486</v>
      </c>
      <c r="J156" t="s">
        <v>126</v>
      </c>
      <c r="K156" t="s">
        <v>795</v>
      </c>
      <c r="L156" t="s">
        <v>796</v>
      </c>
      <c r="M156" t="s">
        <v>797</v>
      </c>
      <c r="N156" t="b">
        <v>0</v>
      </c>
    </row>
    <row r="157" spans="1:14">
      <c r="A157">
        <v>9</v>
      </c>
      <c r="B157">
        <v>3</v>
      </c>
      <c r="C157" t="s">
        <v>175</v>
      </c>
      <c r="D157" t="s">
        <v>724</v>
      </c>
      <c r="E157" t="s">
        <v>544</v>
      </c>
      <c r="F157">
        <v>40</v>
      </c>
      <c r="G157" t="s">
        <v>126</v>
      </c>
      <c r="H157" t="s">
        <v>578</v>
      </c>
      <c r="I157" t="s">
        <v>366</v>
      </c>
      <c r="J157" t="s">
        <v>126</v>
      </c>
      <c r="K157" t="s">
        <v>798</v>
      </c>
      <c r="L157" t="s">
        <v>799</v>
      </c>
      <c r="M157" t="s">
        <v>800</v>
      </c>
      <c r="N157" t="b">
        <v>0</v>
      </c>
    </row>
    <row r="158" spans="1:14">
      <c r="A158">
        <v>9</v>
      </c>
      <c r="B158">
        <v>4</v>
      </c>
      <c r="C158" t="s">
        <v>176</v>
      </c>
      <c r="D158" t="s">
        <v>724</v>
      </c>
      <c r="E158" t="s">
        <v>545</v>
      </c>
      <c r="F158">
        <v>40</v>
      </c>
      <c r="G158" t="s">
        <v>126</v>
      </c>
      <c r="H158" t="s">
        <v>580</v>
      </c>
      <c r="I158" t="s">
        <v>373</v>
      </c>
      <c r="J158" t="s">
        <v>126</v>
      </c>
      <c r="K158" t="s">
        <v>801</v>
      </c>
      <c r="L158" t="s">
        <v>802</v>
      </c>
      <c r="M158" t="s">
        <v>803</v>
      </c>
      <c r="N158" t="b">
        <v>0</v>
      </c>
    </row>
    <row r="159" spans="1:14">
      <c r="A159">
        <v>9</v>
      </c>
      <c r="B159">
        <v>5</v>
      </c>
      <c r="C159" t="s">
        <v>177</v>
      </c>
      <c r="D159" t="s">
        <v>724</v>
      </c>
      <c r="E159" t="s">
        <v>100</v>
      </c>
      <c r="F159">
        <v>40</v>
      </c>
      <c r="G159" t="s">
        <v>126</v>
      </c>
      <c r="H159" t="s">
        <v>126</v>
      </c>
      <c r="I159" t="s">
        <v>100</v>
      </c>
      <c r="J159" t="s">
        <v>126</v>
      </c>
      <c r="K159" t="s">
        <v>126</v>
      </c>
      <c r="L159" t="s">
        <v>126</v>
      </c>
      <c r="M159" t="s">
        <v>804</v>
      </c>
      <c r="N159" t="b">
        <v>0</v>
      </c>
    </row>
    <row r="160" spans="1:14">
      <c r="A160">
        <v>9</v>
      </c>
      <c r="B160">
        <v>6</v>
      </c>
      <c r="C160" t="s">
        <v>126</v>
      </c>
      <c r="D160" t="s">
        <v>724</v>
      </c>
      <c r="E160" t="s">
        <v>126</v>
      </c>
      <c r="F160">
        <v>0</v>
      </c>
      <c r="G160" t="s">
        <v>126</v>
      </c>
      <c r="H160" t="s">
        <v>126</v>
      </c>
      <c r="I160" t="s">
        <v>126</v>
      </c>
      <c r="J160" t="s">
        <v>126</v>
      </c>
      <c r="K160" t="s">
        <v>126</v>
      </c>
      <c r="L160" t="s">
        <v>126</v>
      </c>
      <c r="M160" t="s">
        <v>805</v>
      </c>
      <c r="N160" t="b">
        <v>0</v>
      </c>
    </row>
    <row r="161" spans="1:14">
      <c r="A161">
        <v>9</v>
      </c>
      <c r="B161">
        <v>7</v>
      </c>
      <c r="C161" t="s">
        <v>126</v>
      </c>
      <c r="D161" t="s">
        <v>724</v>
      </c>
      <c r="E161" t="s">
        <v>126</v>
      </c>
      <c r="F161">
        <v>0</v>
      </c>
      <c r="G161" t="s">
        <v>126</v>
      </c>
      <c r="H161" t="s">
        <v>126</v>
      </c>
      <c r="I161" t="s">
        <v>126</v>
      </c>
      <c r="J161" t="s">
        <v>126</v>
      </c>
      <c r="K161" t="s">
        <v>126</v>
      </c>
      <c r="L161" t="s">
        <v>126</v>
      </c>
      <c r="M161" t="s">
        <v>806</v>
      </c>
      <c r="N161" t="b">
        <v>0</v>
      </c>
    </row>
    <row r="162" spans="1:14">
      <c r="A162">
        <v>9</v>
      </c>
      <c r="B162">
        <v>8</v>
      </c>
      <c r="C162" t="s">
        <v>126</v>
      </c>
      <c r="D162" t="s">
        <v>724</v>
      </c>
      <c r="E162" t="s">
        <v>126</v>
      </c>
      <c r="F162">
        <v>0</v>
      </c>
      <c r="G162" t="s">
        <v>126</v>
      </c>
      <c r="H162" t="s">
        <v>126</v>
      </c>
      <c r="I162" t="s">
        <v>126</v>
      </c>
      <c r="J162" t="s">
        <v>126</v>
      </c>
      <c r="K162" t="s">
        <v>126</v>
      </c>
      <c r="L162" t="s">
        <v>126</v>
      </c>
      <c r="M162" t="s">
        <v>807</v>
      </c>
      <c r="N162" t="b">
        <v>0</v>
      </c>
    </row>
    <row r="163" spans="1:14">
      <c r="A163">
        <v>9</v>
      </c>
      <c r="B163">
        <v>9</v>
      </c>
      <c r="C163" t="s">
        <v>126</v>
      </c>
      <c r="D163" t="s">
        <v>724</v>
      </c>
      <c r="E163" t="s">
        <v>126</v>
      </c>
      <c r="F163">
        <v>0</v>
      </c>
      <c r="G163" t="s">
        <v>126</v>
      </c>
      <c r="H163" t="s">
        <v>126</v>
      </c>
      <c r="I163" t="s">
        <v>126</v>
      </c>
      <c r="J163" t="s">
        <v>126</v>
      </c>
      <c r="K163" t="s">
        <v>126</v>
      </c>
      <c r="L163" t="s">
        <v>126</v>
      </c>
      <c r="M163" t="s">
        <v>808</v>
      </c>
      <c r="N163" t="b">
        <v>0</v>
      </c>
    </row>
    <row r="164" spans="1:14">
      <c r="A164">
        <v>9</v>
      </c>
      <c r="B164">
        <v>10</v>
      </c>
      <c r="C164" t="s">
        <v>126</v>
      </c>
      <c r="D164" t="s">
        <v>724</v>
      </c>
      <c r="E164" t="s">
        <v>126</v>
      </c>
      <c r="F164">
        <v>0</v>
      </c>
      <c r="G164" t="s">
        <v>126</v>
      </c>
      <c r="H164" t="s">
        <v>126</v>
      </c>
      <c r="I164" t="s">
        <v>126</v>
      </c>
      <c r="J164" t="s">
        <v>126</v>
      </c>
      <c r="K164" t="s">
        <v>126</v>
      </c>
      <c r="L164" t="s">
        <v>126</v>
      </c>
      <c r="M164" t="s">
        <v>809</v>
      </c>
      <c r="N164" t="b">
        <v>0</v>
      </c>
    </row>
    <row r="165" spans="1:14">
      <c r="A165">
        <v>9</v>
      </c>
      <c r="B165">
        <v>11</v>
      </c>
      <c r="C165" t="s">
        <v>126</v>
      </c>
      <c r="D165" t="s">
        <v>724</v>
      </c>
      <c r="E165" t="s">
        <v>126</v>
      </c>
      <c r="F165">
        <v>0</v>
      </c>
      <c r="G165" t="s">
        <v>126</v>
      </c>
      <c r="H165" t="s">
        <v>126</v>
      </c>
      <c r="I165" t="s">
        <v>126</v>
      </c>
      <c r="J165" t="s">
        <v>126</v>
      </c>
      <c r="K165" t="s">
        <v>126</v>
      </c>
      <c r="L165" t="s">
        <v>126</v>
      </c>
      <c r="M165" t="s">
        <v>810</v>
      </c>
      <c r="N165" t="b">
        <v>0</v>
      </c>
    </row>
    <row r="166" spans="1:14">
      <c r="A166">
        <v>9</v>
      </c>
      <c r="B166">
        <v>12</v>
      </c>
      <c r="C166" t="s">
        <v>126</v>
      </c>
      <c r="D166" t="s">
        <v>724</v>
      </c>
      <c r="E166" t="s">
        <v>126</v>
      </c>
      <c r="F166">
        <v>0</v>
      </c>
      <c r="G166" t="s">
        <v>126</v>
      </c>
      <c r="H166" t="s">
        <v>126</v>
      </c>
      <c r="I166" t="s">
        <v>126</v>
      </c>
      <c r="J166" t="s">
        <v>126</v>
      </c>
      <c r="K166" t="s">
        <v>126</v>
      </c>
      <c r="L166" t="s">
        <v>126</v>
      </c>
      <c r="M166" t="s">
        <v>811</v>
      </c>
      <c r="N166" t="b">
        <v>0</v>
      </c>
    </row>
    <row r="167" spans="1:14">
      <c r="A167">
        <v>9</v>
      </c>
      <c r="B167">
        <v>13</v>
      </c>
      <c r="C167" t="s">
        <v>126</v>
      </c>
      <c r="D167" t="s">
        <v>724</v>
      </c>
      <c r="E167" t="s">
        <v>126</v>
      </c>
      <c r="F167">
        <v>0</v>
      </c>
      <c r="G167" t="s">
        <v>126</v>
      </c>
      <c r="H167" t="s">
        <v>126</v>
      </c>
      <c r="I167" t="s">
        <v>126</v>
      </c>
      <c r="J167" t="s">
        <v>126</v>
      </c>
      <c r="K167" t="s">
        <v>126</v>
      </c>
      <c r="L167" t="s">
        <v>126</v>
      </c>
      <c r="M167" t="s">
        <v>812</v>
      </c>
      <c r="N167" t="b">
        <v>0</v>
      </c>
    </row>
    <row r="168" spans="1:14">
      <c r="A168">
        <v>9</v>
      </c>
      <c r="B168">
        <v>14</v>
      </c>
      <c r="C168" t="s">
        <v>126</v>
      </c>
      <c r="D168" t="s">
        <v>724</v>
      </c>
      <c r="E168" t="s">
        <v>126</v>
      </c>
      <c r="F168">
        <v>0</v>
      </c>
      <c r="G168" t="s">
        <v>126</v>
      </c>
      <c r="H168" t="s">
        <v>126</v>
      </c>
      <c r="I168" t="s">
        <v>126</v>
      </c>
      <c r="J168" t="s">
        <v>126</v>
      </c>
      <c r="K168" t="s">
        <v>126</v>
      </c>
      <c r="L168" t="s">
        <v>126</v>
      </c>
      <c r="M168" t="s">
        <v>813</v>
      </c>
      <c r="N168" t="b">
        <v>0</v>
      </c>
    </row>
    <row r="169" spans="1:14">
      <c r="A169">
        <v>9</v>
      </c>
      <c r="B169">
        <v>15</v>
      </c>
      <c r="C169" t="s">
        <v>126</v>
      </c>
      <c r="D169" t="s">
        <v>724</v>
      </c>
      <c r="E169" t="s">
        <v>126</v>
      </c>
      <c r="F169">
        <v>0</v>
      </c>
      <c r="G169" t="s">
        <v>126</v>
      </c>
      <c r="H169" t="s">
        <v>126</v>
      </c>
      <c r="I169" t="s">
        <v>126</v>
      </c>
      <c r="J169" t="s">
        <v>126</v>
      </c>
      <c r="K169" t="s">
        <v>126</v>
      </c>
      <c r="L169" t="s">
        <v>126</v>
      </c>
      <c r="M169" t="s">
        <v>814</v>
      </c>
      <c r="N169" t="b">
        <v>0</v>
      </c>
    </row>
    <row r="170" spans="1:14">
      <c r="A170">
        <v>9</v>
      </c>
      <c r="B170">
        <v>16</v>
      </c>
      <c r="C170" t="s">
        <v>178</v>
      </c>
      <c r="D170" t="s">
        <v>741</v>
      </c>
      <c r="E170" t="s">
        <v>60</v>
      </c>
      <c r="F170">
        <v>50</v>
      </c>
      <c r="G170" t="s">
        <v>126</v>
      </c>
      <c r="H170" t="s">
        <v>126</v>
      </c>
      <c r="I170" t="s">
        <v>60</v>
      </c>
      <c r="J170" t="s">
        <v>126</v>
      </c>
      <c r="K170" t="s">
        <v>126</v>
      </c>
      <c r="L170" t="s">
        <v>126</v>
      </c>
      <c r="M170" t="s">
        <v>815</v>
      </c>
      <c r="N170" t="b">
        <v>0</v>
      </c>
    </row>
    <row r="171" spans="1:14">
      <c r="A171">
        <v>9</v>
      </c>
      <c r="B171">
        <v>17</v>
      </c>
      <c r="C171" t="s">
        <v>179</v>
      </c>
      <c r="D171" t="s">
        <v>741</v>
      </c>
      <c r="E171" t="s">
        <v>83</v>
      </c>
      <c r="F171">
        <v>50</v>
      </c>
      <c r="G171" t="s">
        <v>126</v>
      </c>
      <c r="H171" t="s">
        <v>126</v>
      </c>
      <c r="I171" t="s">
        <v>83</v>
      </c>
      <c r="J171" t="s">
        <v>126</v>
      </c>
      <c r="K171" t="s">
        <v>126</v>
      </c>
      <c r="L171" t="s">
        <v>126</v>
      </c>
      <c r="M171" t="s">
        <v>816</v>
      </c>
      <c r="N171" t="b">
        <v>0</v>
      </c>
    </row>
    <row r="172" spans="1:14">
      <c r="A172">
        <v>9</v>
      </c>
      <c r="B172">
        <v>18</v>
      </c>
      <c r="C172" t="s">
        <v>180</v>
      </c>
      <c r="D172" t="s">
        <v>741</v>
      </c>
      <c r="E172" t="s">
        <v>544</v>
      </c>
      <c r="F172">
        <v>40</v>
      </c>
      <c r="G172" t="s">
        <v>760</v>
      </c>
      <c r="H172" t="s">
        <v>126</v>
      </c>
      <c r="I172" t="s">
        <v>126</v>
      </c>
      <c r="J172" t="s">
        <v>817</v>
      </c>
      <c r="K172" t="s">
        <v>818</v>
      </c>
      <c r="L172" t="s">
        <v>819</v>
      </c>
      <c r="M172" t="s">
        <v>820</v>
      </c>
      <c r="N172" t="b">
        <v>0</v>
      </c>
    </row>
    <row r="173" spans="1:14">
      <c r="A173">
        <v>9</v>
      </c>
      <c r="B173">
        <v>19</v>
      </c>
      <c r="C173" t="s">
        <v>160</v>
      </c>
      <c r="D173" t="s">
        <v>741</v>
      </c>
      <c r="E173" t="s">
        <v>297</v>
      </c>
      <c r="F173">
        <v>40</v>
      </c>
      <c r="G173" t="s">
        <v>760</v>
      </c>
      <c r="H173" t="s">
        <v>126</v>
      </c>
      <c r="I173" t="s">
        <v>126</v>
      </c>
      <c r="J173" t="s">
        <v>761</v>
      </c>
      <c r="K173" t="s">
        <v>762</v>
      </c>
      <c r="L173" t="s">
        <v>763</v>
      </c>
      <c r="M173" t="s">
        <v>821</v>
      </c>
      <c r="N173" t="b">
        <v>0</v>
      </c>
    </row>
    <row r="174" spans="1:14">
      <c r="A174">
        <v>9</v>
      </c>
      <c r="B174">
        <v>20</v>
      </c>
      <c r="C174" t="s">
        <v>181</v>
      </c>
      <c r="D174" t="s">
        <v>741</v>
      </c>
      <c r="E174" t="s">
        <v>112</v>
      </c>
      <c r="F174">
        <v>50</v>
      </c>
      <c r="G174" t="s">
        <v>126</v>
      </c>
      <c r="H174" t="s">
        <v>126</v>
      </c>
      <c r="I174" t="s">
        <v>112</v>
      </c>
      <c r="J174" t="s">
        <v>126</v>
      </c>
      <c r="K174" t="s">
        <v>126</v>
      </c>
      <c r="L174" t="s">
        <v>126</v>
      </c>
      <c r="M174" t="s">
        <v>822</v>
      </c>
      <c r="N174" t="b">
        <v>0</v>
      </c>
    </row>
    <row r="175" spans="1:14">
      <c r="A175">
        <v>9</v>
      </c>
      <c r="B175">
        <v>21</v>
      </c>
      <c r="C175" t="s">
        <v>182</v>
      </c>
      <c r="D175" t="s">
        <v>741</v>
      </c>
      <c r="E175" t="s">
        <v>61</v>
      </c>
      <c r="F175">
        <v>40</v>
      </c>
      <c r="G175" t="s">
        <v>126</v>
      </c>
      <c r="H175" t="s">
        <v>126</v>
      </c>
      <c r="I175" t="s">
        <v>61</v>
      </c>
      <c r="J175" t="s">
        <v>126</v>
      </c>
      <c r="K175" t="s">
        <v>126</v>
      </c>
      <c r="L175" t="s">
        <v>126</v>
      </c>
      <c r="M175" t="s">
        <v>823</v>
      </c>
      <c r="N175" t="b">
        <v>0</v>
      </c>
    </row>
    <row r="176" spans="1:14">
      <c r="A176">
        <v>9</v>
      </c>
      <c r="B176">
        <v>22</v>
      </c>
      <c r="C176" t="s">
        <v>183</v>
      </c>
      <c r="D176" t="s">
        <v>741</v>
      </c>
      <c r="E176" t="s">
        <v>545</v>
      </c>
      <c r="F176">
        <v>40</v>
      </c>
      <c r="G176" t="s">
        <v>760</v>
      </c>
      <c r="H176" t="s">
        <v>126</v>
      </c>
      <c r="I176" t="s">
        <v>126</v>
      </c>
      <c r="J176" t="s">
        <v>824</v>
      </c>
      <c r="K176" t="s">
        <v>825</v>
      </c>
      <c r="L176" t="s">
        <v>826</v>
      </c>
      <c r="M176" t="s">
        <v>827</v>
      </c>
      <c r="N176" t="b">
        <v>0</v>
      </c>
    </row>
    <row r="177" spans="1:14">
      <c r="A177">
        <v>9</v>
      </c>
      <c r="B177">
        <v>23</v>
      </c>
      <c r="C177" t="s">
        <v>126</v>
      </c>
      <c r="D177" t="s">
        <v>741</v>
      </c>
      <c r="E177" t="s">
        <v>126</v>
      </c>
      <c r="F177">
        <v>0</v>
      </c>
      <c r="G177" t="s">
        <v>126</v>
      </c>
      <c r="H177" t="s">
        <v>126</v>
      </c>
      <c r="I177" t="s">
        <v>126</v>
      </c>
      <c r="J177" t="s">
        <v>126</v>
      </c>
      <c r="K177" t="s">
        <v>126</v>
      </c>
      <c r="L177" t="s">
        <v>126</v>
      </c>
      <c r="M177" t="s">
        <v>828</v>
      </c>
      <c r="N177" t="b">
        <v>0</v>
      </c>
    </row>
    <row r="178" spans="1:14">
      <c r="A178">
        <v>9</v>
      </c>
      <c r="B178">
        <v>24</v>
      </c>
      <c r="C178" t="s">
        <v>126</v>
      </c>
      <c r="D178" t="s">
        <v>741</v>
      </c>
      <c r="E178" t="s">
        <v>126</v>
      </c>
      <c r="F178">
        <v>0</v>
      </c>
      <c r="G178" t="s">
        <v>126</v>
      </c>
      <c r="H178" t="s">
        <v>126</v>
      </c>
      <c r="I178" t="s">
        <v>126</v>
      </c>
      <c r="J178" t="s">
        <v>126</v>
      </c>
      <c r="K178" t="s">
        <v>126</v>
      </c>
      <c r="L178" t="s">
        <v>126</v>
      </c>
      <c r="M178" t="s">
        <v>829</v>
      </c>
      <c r="N178" t="b">
        <v>0</v>
      </c>
    </row>
    <row r="179" spans="1:14">
      <c r="A179">
        <v>9</v>
      </c>
      <c r="B179">
        <v>25</v>
      </c>
      <c r="C179" t="s">
        <v>126</v>
      </c>
      <c r="D179" t="s">
        <v>741</v>
      </c>
      <c r="E179" t="s">
        <v>126</v>
      </c>
      <c r="F179">
        <v>0</v>
      </c>
      <c r="G179" t="s">
        <v>126</v>
      </c>
      <c r="H179" t="s">
        <v>126</v>
      </c>
      <c r="I179" t="s">
        <v>126</v>
      </c>
      <c r="J179" t="s">
        <v>126</v>
      </c>
      <c r="K179" t="s">
        <v>126</v>
      </c>
      <c r="L179" t="s">
        <v>126</v>
      </c>
      <c r="M179" t="s">
        <v>830</v>
      </c>
      <c r="N179" t="b">
        <v>0</v>
      </c>
    </row>
    <row r="180" spans="1:14">
      <c r="A180">
        <v>9</v>
      </c>
      <c r="B180">
        <v>26</v>
      </c>
      <c r="C180" t="s">
        <v>126</v>
      </c>
      <c r="D180" t="s">
        <v>741</v>
      </c>
      <c r="E180" t="s">
        <v>126</v>
      </c>
      <c r="F180">
        <v>0</v>
      </c>
      <c r="G180" t="s">
        <v>126</v>
      </c>
      <c r="H180" t="s">
        <v>126</v>
      </c>
      <c r="I180" t="s">
        <v>126</v>
      </c>
      <c r="J180" t="s">
        <v>126</v>
      </c>
      <c r="K180" t="s">
        <v>126</v>
      </c>
      <c r="L180" t="s">
        <v>126</v>
      </c>
      <c r="M180" t="s">
        <v>831</v>
      </c>
      <c r="N180" t="b">
        <v>0</v>
      </c>
    </row>
    <row r="181" spans="1:14">
      <c r="A181">
        <v>10</v>
      </c>
      <c r="B181">
        <v>0</v>
      </c>
      <c r="C181" t="s">
        <v>186</v>
      </c>
      <c r="D181" t="s">
        <v>724</v>
      </c>
      <c r="E181" t="s">
        <v>65</v>
      </c>
      <c r="F181">
        <v>50</v>
      </c>
      <c r="G181" t="s">
        <v>126</v>
      </c>
      <c r="H181" t="s">
        <v>126</v>
      </c>
      <c r="I181" t="s">
        <v>65</v>
      </c>
      <c r="J181" t="s">
        <v>126</v>
      </c>
      <c r="K181" t="s">
        <v>126</v>
      </c>
      <c r="L181" t="s">
        <v>126</v>
      </c>
      <c r="M181" t="s">
        <v>832</v>
      </c>
      <c r="N181" t="b">
        <v>0</v>
      </c>
    </row>
    <row r="182" spans="1:14">
      <c r="A182">
        <v>10</v>
      </c>
      <c r="B182">
        <v>1</v>
      </c>
      <c r="C182" t="s">
        <v>158</v>
      </c>
      <c r="D182" t="s">
        <v>724</v>
      </c>
      <c r="E182" t="s">
        <v>83</v>
      </c>
      <c r="F182">
        <v>40</v>
      </c>
      <c r="G182" t="s">
        <v>126</v>
      </c>
      <c r="H182" t="s">
        <v>126</v>
      </c>
      <c r="I182" t="s">
        <v>83</v>
      </c>
      <c r="J182" t="s">
        <v>126</v>
      </c>
      <c r="K182" t="s">
        <v>126</v>
      </c>
      <c r="L182" t="s">
        <v>126</v>
      </c>
      <c r="M182" t="s">
        <v>833</v>
      </c>
      <c r="N182" t="b">
        <v>0</v>
      </c>
    </row>
    <row r="183" spans="1:14">
      <c r="A183">
        <v>10</v>
      </c>
      <c r="B183">
        <v>2</v>
      </c>
      <c r="C183" t="s">
        <v>187</v>
      </c>
      <c r="D183" t="s">
        <v>724</v>
      </c>
      <c r="E183" t="s">
        <v>93</v>
      </c>
      <c r="F183">
        <v>50</v>
      </c>
      <c r="G183" t="s">
        <v>126</v>
      </c>
      <c r="H183" t="s">
        <v>126</v>
      </c>
      <c r="I183" t="s">
        <v>93</v>
      </c>
      <c r="J183" t="s">
        <v>126</v>
      </c>
      <c r="K183" t="s">
        <v>126</v>
      </c>
      <c r="L183" t="s">
        <v>126</v>
      </c>
      <c r="M183" t="s">
        <v>834</v>
      </c>
      <c r="N183" t="b">
        <v>0</v>
      </c>
    </row>
    <row r="184" spans="1:14">
      <c r="A184">
        <v>10</v>
      </c>
      <c r="B184">
        <v>3</v>
      </c>
      <c r="C184" t="s">
        <v>188</v>
      </c>
      <c r="D184" t="s">
        <v>724</v>
      </c>
      <c r="E184" t="s">
        <v>99</v>
      </c>
      <c r="F184">
        <v>50</v>
      </c>
      <c r="G184" t="s">
        <v>126</v>
      </c>
      <c r="H184" t="s">
        <v>126</v>
      </c>
      <c r="I184" t="s">
        <v>99</v>
      </c>
      <c r="J184" t="s">
        <v>126</v>
      </c>
      <c r="K184" t="s">
        <v>126</v>
      </c>
      <c r="L184" t="s">
        <v>126</v>
      </c>
      <c r="M184" t="s">
        <v>835</v>
      </c>
      <c r="N184" t="b">
        <v>0</v>
      </c>
    </row>
    <row r="185" spans="1:14">
      <c r="A185">
        <v>10</v>
      </c>
      <c r="B185">
        <v>4</v>
      </c>
      <c r="C185" t="s">
        <v>189</v>
      </c>
      <c r="D185" t="s">
        <v>724</v>
      </c>
      <c r="E185" t="s">
        <v>101</v>
      </c>
      <c r="F185">
        <v>50</v>
      </c>
      <c r="G185" t="s">
        <v>126</v>
      </c>
      <c r="H185" t="s">
        <v>126</v>
      </c>
      <c r="I185" t="s">
        <v>101</v>
      </c>
      <c r="J185" t="s">
        <v>126</v>
      </c>
      <c r="K185" t="s">
        <v>126</v>
      </c>
      <c r="L185" t="s">
        <v>126</v>
      </c>
      <c r="M185" t="s">
        <v>836</v>
      </c>
      <c r="N185" t="b">
        <v>0</v>
      </c>
    </row>
    <row r="186" spans="1:14">
      <c r="A186">
        <v>10</v>
      </c>
      <c r="B186">
        <v>5</v>
      </c>
      <c r="C186" t="s">
        <v>190</v>
      </c>
      <c r="D186" t="s">
        <v>724</v>
      </c>
      <c r="E186" t="s">
        <v>109</v>
      </c>
      <c r="F186">
        <v>30</v>
      </c>
      <c r="G186" t="s">
        <v>126</v>
      </c>
      <c r="H186" t="s">
        <v>126</v>
      </c>
      <c r="I186" t="s">
        <v>109</v>
      </c>
      <c r="J186" t="s">
        <v>126</v>
      </c>
      <c r="K186" t="s">
        <v>126</v>
      </c>
      <c r="L186" t="s">
        <v>126</v>
      </c>
      <c r="M186" t="s">
        <v>837</v>
      </c>
      <c r="N186" t="b">
        <v>0</v>
      </c>
    </row>
    <row r="187" spans="1:14">
      <c r="A187">
        <v>10</v>
      </c>
      <c r="B187">
        <v>6</v>
      </c>
      <c r="C187" t="s">
        <v>191</v>
      </c>
      <c r="D187" t="s">
        <v>724</v>
      </c>
      <c r="E187" t="s">
        <v>115</v>
      </c>
      <c r="F187">
        <v>60</v>
      </c>
      <c r="G187" t="s">
        <v>126</v>
      </c>
      <c r="H187" t="s">
        <v>126</v>
      </c>
      <c r="I187" t="s">
        <v>115</v>
      </c>
      <c r="J187" t="s">
        <v>126</v>
      </c>
      <c r="K187" t="s">
        <v>126</v>
      </c>
      <c r="L187" t="s">
        <v>126</v>
      </c>
      <c r="M187" t="s">
        <v>838</v>
      </c>
      <c r="N187" t="b">
        <v>0</v>
      </c>
    </row>
    <row r="188" spans="1:14">
      <c r="A188">
        <v>10</v>
      </c>
      <c r="B188">
        <v>7</v>
      </c>
      <c r="C188" t="s">
        <v>192</v>
      </c>
      <c r="D188" t="s">
        <v>724</v>
      </c>
      <c r="E188" t="s">
        <v>61</v>
      </c>
      <c r="F188">
        <v>30</v>
      </c>
      <c r="G188" t="s">
        <v>126</v>
      </c>
      <c r="H188" t="s">
        <v>126</v>
      </c>
      <c r="I188" t="s">
        <v>61</v>
      </c>
      <c r="J188" t="s">
        <v>126</v>
      </c>
      <c r="K188" t="s">
        <v>126</v>
      </c>
      <c r="L188" t="s">
        <v>126</v>
      </c>
      <c r="M188" t="s">
        <v>839</v>
      </c>
      <c r="N188" t="b">
        <v>0</v>
      </c>
    </row>
    <row r="189" spans="1:14">
      <c r="A189">
        <v>10</v>
      </c>
      <c r="B189">
        <v>8</v>
      </c>
      <c r="C189" t="s">
        <v>193</v>
      </c>
      <c r="D189" t="s">
        <v>724</v>
      </c>
      <c r="E189" t="s">
        <v>78</v>
      </c>
      <c r="F189">
        <v>50</v>
      </c>
      <c r="G189" t="s">
        <v>126</v>
      </c>
      <c r="H189" t="s">
        <v>126</v>
      </c>
      <c r="I189" t="s">
        <v>78</v>
      </c>
      <c r="J189" t="s">
        <v>126</v>
      </c>
      <c r="K189" t="s">
        <v>126</v>
      </c>
      <c r="L189" t="s">
        <v>126</v>
      </c>
      <c r="M189" t="s">
        <v>840</v>
      </c>
      <c r="N189" t="b">
        <v>0</v>
      </c>
    </row>
    <row r="190" spans="1:14">
      <c r="A190">
        <v>10</v>
      </c>
      <c r="B190">
        <v>9</v>
      </c>
      <c r="C190" t="s">
        <v>194</v>
      </c>
      <c r="D190" t="s">
        <v>724</v>
      </c>
      <c r="E190" t="s">
        <v>98</v>
      </c>
      <c r="F190">
        <v>50</v>
      </c>
      <c r="G190" t="s">
        <v>126</v>
      </c>
      <c r="H190" t="s">
        <v>126</v>
      </c>
      <c r="I190" t="s">
        <v>98</v>
      </c>
      <c r="J190" t="s">
        <v>126</v>
      </c>
      <c r="K190" t="s">
        <v>126</v>
      </c>
      <c r="L190" t="s">
        <v>126</v>
      </c>
      <c r="M190" t="s">
        <v>841</v>
      </c>
      <c r="N190" t="b">
        <v>0</v>
      </c>
    </row>
    <row r="191" spans="1:14">
      <c r="A191">
        <v>10</v>
      </c>
      <c r="B191">
        <v>10</v>
      </c>
      <c r="C191" t="s">
        <v>195</v>
      </c>
      <c r="D191" t="s">
        <v>724</v>
      </c>
      <c r="E191" t="s">
        <v>108</v>
      </c>
      <c r="F191">
        <v>60</v>
      </c>
      <c r="G191" t="s">
        <v>126</v>
      </c>
      <c r="H191" t="s">
        <v>126</v>
      </c>
      <c r="I191" t="s">
        <v>108</v>
      </c>
      <c r="J191" t="s">
        <v>126</v>
      </c>
      <c r="K191" t="s">
        <v>126</v>
      </c>
      <c r="L191" t="s">
        <v>126</v>
      </c>
      <c r="M191" t="s">
        <v>842</v>
      </c>
      <c r="N191" t="b">
        <v>0</v>
      </c>
    </row>
    <row r="192" spans="1:14">
      <c r="A192">
        <v>10</v>
      </c>
      <c r="B192">
        <v>11</v>
      </c>
      <c r="C192" t="s">
        <v>126</v>
      </c>
      <c r="D192" t="s">
        <v>724</v>
      </c>
      <c r="E192" t="s">
        <v>126</v>
      </c>
      <c r="F192">
        <v>0</v>
      </c>
      <c r="G192" t="s">
        <v>126</v>
      </c>
      <c r="H192" t="s">
        <v>126</v>
      </c>
      <c r="I192" t="s">
        <v>126</v>
      </c>
      <c r="J192" t="s">
        <v>126</v>
      </c>
      <c r="K192" t="s">
        <v>126</v>
      </c>
      <c r="L192" t="s">
        <v>126</v>
      </c>
      <c r="M192" t="s">
        <v>843</v>
      </c>
      <c r="N192" t="b">
        <v>0</v>
      </c>
    </row>
    <row r="193" spans="1:14">
      <c r="A193">
        <v>10</v>
      </c>
      <c r="B193">
        <v>12</v>
      </c>
      <c r="C193" t="s">
        <v>126</v>
      </c>
      <c r="D193" t="s">
        <v>724</v>
      </c>
      <c r="E193" t="s">
        <v>126</v>
      </c>
      <c r="F193">
        <v>0</v>
      </c>
      <c r="G193" t="s">
        <v>126</v>
      </c>
      <c r="H193" t="s">
        <v>126</v>
      </c>
      <c r="I193" t="s">
        <v>126</v>
      </c>
      <c r="J193" t="s">
        <v>126</v>
      </c>
      <c r="K193" t="s">
        <v>126</v>
      </c>
      <c r="L193" t="s">
        <v>126</v>
      </c>
      <c r="M193" t="s">
        <v>844</v>
      </c>
      <c r="N193" t="b">
        <v>0</v>
      </c>
    </row>
    <row r="194" spans="1:14">
      <c r="A194">
        <v>10</v>
      </c>
      <c r="B194">
        <v>13</v>
      </c>
      <c r="C194" t="s">
        <v>126</v>
      </c>
      <c r="D194" t="s">
        <v>724</v>
      </c>
      <c r="E194" t="s">
        <v>126</v>
      </c>
      <c r="F194">
        <v>0</v>
      </c>
      <c r="G194" t="s">
        <v>126</v>
      </c>
      <c r="H194" t="s">
        <v>126</v>
      </c>
      <c r="I194" t="s">
        <v>126</v>
      </c>
      <c r="J194" t="s">
        <v>126</v>
      </c>
      <c r="K194" t="s">
        <v>126</v>
      </c>
      <c r="L194" t="s">
        <v>126</v>
      </c>
      <c r="M194" t="s">
        <v>845</v>
      </c>
      <c r="N194" t="b">
        <v>0</v>
      </c>
    </row>
    <row r="195" spans="1:14">
      <c r="A195">
        <v>10</v>
      </c>
      <c r="B195">
        <v>14</v>
      </c>
      <c r="C195" t="s">
        <v>126</v>
      </c>
      <c r="D195" t="s">
        <v>724</v>
      </c>
      <c r="E195" t="s">
        <v>126</v>
      </c>
      <c r="F195">
        <v>0</v>
      </c>
      <c r="G195" t="s">
        <v>126</v>
      </c>
      <c r="H195" t="s">
        <v>126</v>
      </c>
      <c r="I195" t="s">
        <v>126</v>
      </c>
      <c r="J195" t="s">
        <v>126</v>
      </c>
      <c r="K195" t="s">
        <v>126</v>
      </c>
      <c r="L195" t="s">
        <v>126</v>
      </c>
      <c r="M195" t="s">
        <v>846</v>
      </c>
      <c r="N195" t="b">
        <v>0</v>
      </c>
    </row>
    <row r="196" spans="1:14">
      <c r="A196">
        <v>10</v>
      </c>
      <c r="B196">
        <v>15</v>
      </c>
      <c r="C196" t="s">
        <v>126</v>
      </c>
      <c r="D196" t="s">
        <v>724</v>
      </c>
      <c r="E196" t="s">
        <v>126</v>
      </c>
      <c r="F196">
        <v>0</v>
      </c>
      <c r="G196" t="s">
        <v>126</v>
      </c>
      <c r="H196" t="s">
        <v>126</v>
      </c>
      <c r="I196" t="s">
        <v>126</v>
      </c>
      <c r="J196" t="s">
        <v>126</v>
      </c>
      <c r="K196" t="s">
        <v>126</v>
      </c>
      <c r="L196" t="s">
        <v>126</v>
      </c>
      <c r="M196" t="s">
        <v>847</v>
      </c>
      <c r="N196" t="b">
        <v>0</v>
      </c>
    </row>
    <row r="197" spans="1:14">
      <c r="A197">
        <v>10</v>
      </c>
      <c r="B197">
        <v>16</v>
      </c>
      <c r="C197" t="s">
        <v>196</v>
      </c>
      <c r="D197" t="s">
        <v>741</v>
      </c>
      <c r="E197" t="s">
        <v>60</v>
      </c>
      <c r="F197">
        <v>60</v>
      </c>
      <c r="G197" t="s">
        <v>126</v>
      </c>
      <c r="H197" t="s">
        <v>126</v>
      </c>
      <c r="I197" t="s">
        <v>60</v>
      </c>
      <c r="J197" t="s">
        <v>126</v>
      </c>
      <c r="K197" t="s">
        <v>126</v>
      </c>
      <c r="L197" t="s">
        <v>126</v>
      </c>
      <c r="M197" t="s">
        <v>848</v>
      </c>
      <c r="N197" t="b">
        <v>0</v>
      </c>
    </row>
    <row r="198" spans="1:14">
      <c r="A198">
        <v>10</v>
      </c>
      <c r="B198">
        <v>17</v>
      </c>
      <c r="C198" t="s">
        <v>197</v>
      </c>
      <c r="D198" t="s">
        <v>741</v>
      </c>
      <c r="E198" t="s">
        <v>87</v>
      </c>
      <c r="F198">
        <v>50</v>
      </c>
      <c r="G198" t="s">
        <v>126</v>
      </c>
      <c r="H198" t="s">
        <v>126</v>
      </c>
      <c r="I198" t="s">
        <v>87</v>
      </c>
      <c r="J198" t="s">
        <v>126</v>
      </c>
      <c r="K198" t="s">
        <v>126</v>
      </c>
      <c r="L198" t="s">
        <v>126</v>
      </c>
      <c r="M198" t="s">
        <v>849</v>
      </c>
      <c r="N198" t="b">
        <v>0</v>
      </c>
    </row>
    <row r="199" spans="1:14">
      <c r="A199">
        <v>10</v>
      </c>
      <c r="B199">
        <v>18</v>
      </c>
      <c r="C199" t="s">
        <v>159</v>
      </c>
      <c r="D199" t="s">
        <v>741</v>
      </c>
      <c r="E199" t="s">
        <v>297</v>
      </c>
      <c r="F199">
        <v>50</v>
      </c>
      <c r="G199" t="s">
        <v>760</v>
      </c>
      <c r="H199" t="s">
        <v>126</v>
      </c>
      <c r="I199" t="s">
        <v>126</v>
      </c>
      <c r="J199" t="s">
        <v>761</v>
      </c>
      <c r="K199" t="s">
        <v>762</v>
      </c>
      <c r="L199" t="s">
        <v>763</v>
      </c>
      <c r="M199" t="s">
        <v>850</v>
      </c>
      <c r="N199" t="b">
        <v>0</v>
      </c>
    </row>
    <row r="200" spans="1:14">
      <c r="A200">
        <v>10</v>
      </c>
      <c r="B200">
        <v>19</v>
      </c>
      <c r="C200" t="s">
        <v>198</v>
      </c>
      <c r="D200" t="s">
        <v>741</v>
      </c>
      <c r="E200" t="s">
        <v>113</v>
      </c>
      <c r="F200">
        <v>50</v>
      </c>
      <c r="G200" t="s">
        <v>126</v>
      </c>
      <c r="H200" t="s">
        <v>126</v>
      </c>
      <c r="I200" t="s">
        <v>113</v>
      </c>
      <c r="J200" t="s">
        <v>126</v>
      </c>
      <c r="K200" t="s">
        <v>126</v>
      </c>
      <c r="L200" t="s">
        <v>126</v>
      </c>
      <c r="M200" t="s">
        <v>851</v>
      </c>
      <c r="N200" t="b">
        <v>0</v>
      </c>
    </row>
    <row r="201" spans="1:14">
      <c r="A201">
        <v>10</v>
      </c>
      <c r="B201">
        <v>20</v>
      </c>
      <c r="C201" t="s">
        <v>199</v>
      </c>
      <c r="D201" t="s">
        <v>741</v>
      </c>
      <c r="E201" t="s">
        <v>84</v>
      </c>
      <c r="F201">
        <v>50</v>
      </c>
      <c r="G201" t="s">
        <v>126</v>
      </c>
      <c r="H201" t="s">
        <v>126</v>
      </c>
      <c r="I201" t="s">
        <v>84</v>
      </c>
      <c r="J201" t="s">
        <v>126</v>
      </c>
      <c r="K201" t="s">
        <v>126</v>
      </c>
      <c r="L201" t="s">
        <v>126</v>
      </c>
      <c r="M201" t="s">
        <v>852</v>
      </c>
      <c r="N201" t="b">
        <v>0</v>
      </c>
    </row>
    <row r="202" spans="1:14">
      <c r="A202">
        <v>10</v>
      </c>
      <c r="B202">
        <v>21</v>
      </c>
      <c r="C202" t="s">
        <v>126</v>
      </c>
      <c r="D202" t="s">
        <v>741</v>
      </c>
      <c r="E202" t="s">
        <v>126</v>
      </c>
      <c r="F202">
        <v>0</v>
      </c>
      <c r="G202" t="s">
        <v>126</v>
      </c>
      <c r="H202" t="s">
        <v>126</v>
      </c>
      <c r="I202" t="s">
        <v>126</v>
      </c>
      <c r="J202" t="s">
        <v>126</v>
      </c>
      <c r="K202" t="s">
        <v>126</v>
      </c>
      <c r="L202" t="s">
        <v>126</v>
      </c>
      <c r="M202" t="s">
        <v>853</v>
      </c>
      <c r="N202" t="b">
        <v>0</v>
      </c>
    </row>
    <row r="203" spans="1:14">
      <c r="A203">
        <v>10</v>
      </c>
      <c r="B203">
        <v>22</v>
      </c>
      <c r="C203" t="s">
        <v>126</v>
      </c>
      <c r="D203" t="s">
        <v>741</v>
      </c>
      <c r="E203" t="s">
        <v>126</v>
      </c>
      <c r="F203">
        <v>0</v>
      </c>
      <c r="G203" t="s">
        <v>126</v>
      </c>
      <c r="H203" t="s">
        <v>126</v>
      </c>
      <c r="I203" t="s">
        <v>126</v>
      </c>
      <c r="J203" t="s">
        <v>126</v>
      </c>
      <c r="K203" t="s">
        <v>126</v>
      </c>
      <c r="L203" t="s">
        <v>126</v>
      </c>
      <c r="M203" t="s">
        <v>854</v>
      </c>
      <c r="N203" t="b">
        <v>0</v>
      </c>
    </row>
    <row r="204" spans="1:14">
      <c r="A204">
        <v>10</v>
      </c>
      <c r="B204">
        <v>23</v>
      </c>
      <c r="C204" t="s">
        <v>126</v>
      </c>
      <c r="D204" t="s">
        <v>741</v>
      </c>
      <c r="E204" t="s">
        <v>126</v>
      </c>
      <c r="F204">
        <v>0</v>
      </c>
      <c r="G204" t="s">
        <v>126</v>
      </c>
      <c r="H204" t="s">
        <v>126</v>
      </c>
      <c r="I204" t="s">
        <v>126</v>
      </c>
      <c r="J204" t="s">
        <v>126</v>
      </c>
      <c r="K204" t="s">
        <v>126</v>
      </c>
      <c r="L204" t="s">
        <v>126</v>
      </c>
      <c r="M204" t="s">
        <v>855</v>
      </c>
      <c r="N204" t="b">
        <v>0</v>
      </c>
    </row>
    <row r="205" spans="1:14">
      <c r="A205">
        <v>10</v>
      </c>
      <c r="B205">
        <v>24</v>
      </c>
      <c r="C205" t="s">
        <v>126</v>
      </c>
      <c r="D205" t="s">
        <v>741</v>
      </c>
      <c r="E205" t="s">
        <v>126</v>
      </c>
      <c r="F205">
        <v>0</v>
      </c>
      <c r="G205" t="s">
        <v>126</v>
      </c>
      <c r="H205" t="s">
        <v>126</v>
      </c>
      <c r="I205" t="s">
        <v>126</v>
      </c>
      <c r="J205" t="s">
        <v>126</v>
      </c>
      <c r="K205" t="s">
        <v>126</v>
      </c>
      <c r="L205" t="s">
        <v>126</v>
      </c>
      <c r="M205" t="s">
        <v>856</v>
      </c>
      <c r="N205" t="b">
        <v>0</v>
      </c>
    </row>
    <row r="206" spans="1:14">
      <c r="A206">
        <v>10</v>
      </c>
      <c r="B206">
        <v>25</v>
      </c>
      <c r="C206" t="s">
        <v>126</v>
      </c>
      <c r="D206" t="s">
        <v>741</v>
      </c>
      <c r="E206" t="s">
        <v>126</v>
      </c>
      <c r="F206">
        <v>0</v>
      </c>
      <c r="G206" t="s">
        <v>126</v>
      </c>
      <c r="H206" t="s">
        <v>126</v>
      </c>
      <c r="I206" t="s">
        <v>126</v>
      </c>
      <c r="J206" t="s">
        <v>126</v>
      </c>
      <c r="K206" t="s">
        <v>126</v>
      </c>
      <c r="L206" t="s">
        <v>126</v>
      </c>
      <c r="M206" t="s">
        <v>857</v>
      </c>
      <c r="N206" t="b">
        <v>0</v>
      </c>
    </row>
    <row r="207" spans="1:14">
      <c r="A207">
        <v>10</v>
      </c>
      <c r="B207">
        <v>26</v>
      </c>
      <c r="C207" t="s">
        <v>126</v>
      </c>
      <c r="D207" t="s">
        <v>741</v>
      </c>
      <c r="E207" t="s">
        <v>126</v>
      </c>
      <c r="F207">
        <v>0</v>
      </c>
      <c r="G207" t="s">
        <v>126</v>
      </c>
      <c r="H207" t="s">
        <v>126</v>
      </c>
      <c r="I207" t="s">
        <v>126</v>
      </c>
      <c r="J207" t="s">
        <v>126</v>
      </c>
      <c r="K207" t="s">
        <v>126</v>
      </c>
      <c r="L207" t="s">
        <v>126</v>
      </c>
      <c r="M207" t="s">
        <v>858</v>
      </c>
      <c r="N207" t="b">
        <v>0</v>
      </c>
    </row>
    <row r="208" spans="1:14">
      <c r="A208">
        <v>11</v>
      </c>
      <c r="B208">
        <v>0</v>
      </c>
      <c r="C208" t="s">
        <v>179</v>
      </c>
      <c r="D208" t="s">
        <v>724</v>
      </c>
      <c r="E208" t="s">
        <v>83</v>
      </c>
      <c r="F208">
        <v>50</v>
      </c>
      <c r="G208" t="s">
        <v>126</v>
      </c>
      <c r="H208" t="s">
        <v>126</v>
      </c>
      <c r="I208" t="s">
        <v>83</v>
      </c>
      <c r="J208" t="s">
        <v>126</v>
      </c>
      <c r="K208" t="s">
        <v>126</v>
      </c>
      <c r="L208" t="s">
        <v>126</v>
      </c>
      <c r="M208" t="s">
        <v>859</v>
      </c>
      <c r="N208" t="b">
        <v>0</v>
      </c>
    </row>
    <row r="209" spans="1:14">
      <c r="A209">
        <v>11</v>
      </c>
      <c r="B209">
        <v>1</v>
      </c>
      <c r="C209" t="s">
        <v>202</v>
      </c>
      <c r="D209" t="s">
        <v>724</v>
      </c>
      <c r="E209" t="s">
        <v>103</v>
      </c>
      <c r="F209">
        <v>60</v>
      </c>
      <c r="G209" t="s">
        <v>126</v>
      </c>
      <c r="H209" t="s">
        <v>126</v>
      </c>
      <c r="I209" t="s">
        <v>103</v>
      </c>
      <c r="J209" t="s">
        <v>126</v>
      </c>
      <c r="K209" t="s">
        <v>126</v>
      </c>
      <c r="L209" t="s">
        <v>126</v>
      </c>
      <c r="M209" t="s">
        <v>860</v>
      </c>
      <c r="N209" t="b">
        <v>0</v>
      </c>
    </row>
    <row r="210" spans="1:14">
      <c r="A210">
        <v>11</v>
      </c>
      <c r="B210">
        <v>2</v>
      </c>
      <c r="C210" t="s">
        <v>203</v>
      </c>
      <c r="D210" t="s">
        <v>724</v>
      </c>
      <c r="E210" t="s">
        <v>66</v>
      </c>
      <c r="F210">
        <v>60</v>
      </c>
      <c r="G210" t="s">
        <v>126</v>
      </c>
      <c r="H210" t="s">
        <v>126</v>
      </c>
      <c r="I210" t="s">
        <v>66</v>
      </c>
      <c r="J210" t="s">
        <v>126</v>
      </c>
      <c r="K210" t="s">
        <v>126</v>
      </c>
      <c r="L210" t="s">
        <v>126</v>
      </c>
      <c r="M210" t="s">
        <v>861</v>
      </c>
      <c r="N210" t="b">
        <v>0</v>
      </c>
    </row>
    <row r="211" spans="1:14">
      <c r="A211">
        <v>11</v>
      </c>
      <c r="B211">
        <v>3</v>
      </c>
      <c r="C211" t="s">
        <v>163</v>
      </c>
      <c r="D211" t="s">
        <v>724</v>
      </c>
      <c r="E211" t="s">
        <v>78</v>
      </c>
      <c r="F211">
        <v>40</v>
      </c>
      <c r="G211" t="s">
        <v>126</v>
      </c>
      <c r="H211" t="s">
        <v>126</v>
      </c>
      <c r="I211" t="s">
        <v>78</v>
      </c>
      <c r="J211" t="s">
        <v>126</v>
      </c>
      <c r="K211" t="s">
        <v>126</v>
      </c>
      <c r="L211" t="s">
        <v>126</v>
      </c>
      <c r="M211" t="s">
        <v>862</v>
      </c>
      <c r="N211" t="b">
        <v>0</v>
      </c>
    </row>
    <row r="212" spans="1:14">
      <c r="A212">
        <v>11</v>
      </c>
      <c r="B212">
        <v>4</v>
      </c>
      <c r="C212" t="s">
        <v>199</v>
      </c>
      <c r="D212" t="s">
        <v>724</v>
      </c>
      <c r="E212" t="s">
        <v>84</v>
      </c>
      <c r="F212">
        <v>50</v>
      </c>
      <c r="G212" t="s">
        <v>126</v>
      </c>
      <c r="H212" t="s">
        <v>126</v>
      </c>
      <c r="I212" t="s">
        <v>84</v>
      </c>
      <c r="J212" t="s">
        <v>126</v>
      </c>
      <c r="K212" t="s">
        <v>126</v>
      </c>
      <c r="L212" t="s">
        <v>126</v>
      </c>
      <c r="M212" t="s">
        <v>863</v>
      </c>
      <c r="N212" t="b">
        <v>0</v>
      </c>
    </row>
    <row r="213" spans="1:14">
      <c r="A213">
        <v>11</v>
      </c>
      <c r="B213">
        <v>5</v>
      </c>
      <c r="C213" t="s">
        <v>204</v>
      </c>
      <c r="D213" t="s">
        <v>724</v>
      </c>
      <c r="E213" t="s">
        <v>545</v>
      </c>
      <c r="F213">
        <v>60</v>
      </c>
      <c r="G213" t="s">
        <v>126</v>
      </c>
      <c r="H213" t="s">
        <v>555</v>
      </c>
      <c r="I213" t="s">
        <v>332</v>
      </c>
      <c r="J213" t="s">
        <v>126</v>
      </c>
      <c r="K213" t="s">
        <v>801</v>
      </c>
      <c r="L213" t="s">
        <v>802</v>
      </c>
      <c r="M213" t="s">
        <v>864</v>
      </c>
      <c r="N213" t="b">
        <v>0</v>
      </c>
    </row>
    <row r="214" spans="1:14">
      <c r="A214">
        <v>11</v>
      </c>
      <c r="B214">
        <v>6</v>
      </c>
      <c r="C214" t="s">
        <v>205</v>
      </c>
      <c r="D214" t="s">
        <v>724</v>
      </c>
      <c r="E214" t="s">
        <v>98</v>
      </c>
      <c r="F214">
        <v>40</v>
      </c>
      <c r="G214" t="s">
        <v>126</v>
      </c>
      <c r="H214" t="s">
        <v>126</v>
      </c>
      <c r="I214" t="s">
        <v>98</v>
      </c>
      <c r="J214" t="s">
        <v>126</v>
      </c>
      <c r="K214" t="s">
        <v>126</v>
      </c>
      <c r="L214" t="s">
        <v>126</v>
      </c>
      <c r="M214" t="s">
        <v>865</v>
      </c>
      <c r="N214" t="b">
        <v>0</v>
      </c>
    </row>
    <row r="215" spans="1:14">
      <c r="A215">
        <v>11</v>
      </c>
      <c r="B215">
        <v>7</v>
      </c>
      <c r="C215" t="s">
        <v>126</v>
      </c>
      <c r="D215" t="s">
        <v>724</v>
      </c>
      <c r="E215" t="s">
        <v>126</v>
      </c>
      <c r="F215">
        <v>0</v>
      </c>
      <c r="G215" t="s">
        <v>126</v>
      </c>
      <c r="H215" t="s">
        <v>126</v>
      </c>
      <c r="I215" t="s">
        <v>126</v>
      </c>
      <c r="J215" t="s">
        <v>126</v>
      </c>
      <c r="K215" t="s">
        <v>126</v>
      </c>
      <c r="L215" t="s">
        <v>126</v>
      </c>
      <c r="M215" t="s">
        <v>866</v>
      </c>
      <c r="N215" t="b">
        <v>0</v>
      </c>
    </row>
    <row r="216" spans="1:14">
      <c r="A216">
        <v>11</v>
      </c>
      <c r="B216">
        <v>8</v>
      </c>
      <c r="C216" t="s">
        <v>126</v>
      </c>
      <c r="D216" t="s">
        <v>724</v>
      </c>
      <c r="E216" t="s">
        <v>126</v>
      </c>
      <c r="F216">
        <v>0</v>
      </c>
      <c r="G216" t="s">
        <v>126</v>
      </c>
      <c r="H216" t="s">
        <v>126</v>
      </c>
      <c r="I216" t="s">
        <v>126</v>
      </c>
      <c r="J216" t="s">
        <v>126</v>
      </c>
      <c r="K216" t="s">
        <v>126</v>
      </c>
      <c r="L216" t="s">
        <v>126</v>
      </c>
      <c r="M216" t="s">
        <v>867</v>
      </c>
      <c r="N216" t="b">
        <v>0</v>
      </c>
    </row>
    <row r="217" spans="1:14">
      <c r="A217">
        <v>11</v>
      </c>
      <c r="B217">
        <v>9</v>
      </c>
      <c r="C217" t="s">
        <v>126</v>
      </c>
      <c r="D217" t="s">
        <v>724</v>
      </c>
      <c r="E217" t="s">
        <v>126</v>
      </c>
      <c r="F217">
        <v>0</v>
      </c>
      <c r="G217" t="s">
        <v>126</v>
      </c>
      <c r="H217" t="s">
        <v>126</v>
      </c>
      <c r="I217" t="s">
        <v>126</v>
      </c>
      <c r="J217" t="s">
        <v>126</v>
      </c>
      <c r="K217" t="s">
        <v>126</v>
      </c>
      <c r="L217" t="s">
        <v>126</v>
      </c>
      <c r="M217" t="s">
        <v>868</v>
      </c>
      <c r="N217" t="b">
        <v>0</v>
      </c>
    </row>
    <row r="218" spans="1:14">
      <c r="A218">
        <v>11</v>
      </c>
      <c r="B218">
        <v>10</v>
      </c>
      <c r="C218" t="s">
        <v>126</v>
      </c>
      <c r="D218" t="s">
        <v>724</v>
      </c>
      <c r="E218" t="s">
        <v>126</v>
      </c>
      <c r="F218">
        <v>0</v>
      </c>
      <c r="G218" t="s">
        <v>126</v>
      </c>
      <c r="H218" t="s">
        <v>126</v>
      </c>
      <c r="I218" t="s">
        <v>126</v>
      </c>
      <c r="J218" t="s">
        <v>126</v>
      </c>
      <c r="K218" t="s">
        <v>126</v>
      </c>
      <c r="L218" t="s">
        <v>126</v>
      </c>
      <c r="M218" t="s">
        <v>869</v>
      </c>
      <c r="N218" t="b">
        <v>0</v>
      </c>
    </row>
    <row r="219" spans="1:14">
      <c r="A219">
        <v>11</v>
      </c>
      <c r="B219">
        <v>11</v>
      </c>
      <c r="C219" t="s">
        <v>126</v>
      </c>
      <c r="D219" t="s">
        <v>724</v>
      </c>
      <c r="E219" t="s">
        <v>126</v>
      </c>
      <c r="F219">
        <v>0</v>
      </c>
      <c r="G219" t="s">
        <v>126</v>
      </c>
      <c r="H219" t="s">
        <v>126</v>
      </c>
      <c r="I219" t="s">
        <v>126</v>
      </c>
      <c r="J219" t="s">
        <v>126</v>
      </c>
      <c r="K219" t="s">
        <v>126</v>
      </c>
      <c r="L219" t="s">
        <v>126</v>
      </c>
      <c r="M219" t="s">
        <v>870</v>
      </c>
      <c r="N219" t="b">
        <v>0</v>
      </c>
    </row>
    <row r="220" spans="1:14">
      <c r="A220">
        <v>11</v>
      </c>
      <c r="B220">
        <v>12</v>
      </c>
      <c r="C220" t="s">
        <v>126</v>
      </c>
      <c r="D220" t="s">
        <v>724</v>
      </c>
      <c r="E220" t="s">
        <v>126</v>
      </c>
      <c r="F220">
        <v>0</v>
      </c>
      <c r="G220" t="s">
        <v>126</v>
      </c>
      <c r="H220" t="s">
        <v>126</v>
      </c>
      <c r="I220" t="s">
        <v>126</v>
      </c>
      <c r="J220" t="s">
        <v>126</v>
      </c>
      <c r="K220" t="s">
        <v>126</v>
      </c>
      <c r="L220" t="s">
        <v>126</v>
      </c>
      <c r="M220" t="s">
        <v>871</v>
      </c>
      <c r="N220" t="b">
        <v>0</v>
      </c>
    </row>
    <row r="221" spans="1:14">
      <c r="A221">
        <v>11</v>
      </c>
      <c r="B221">
        <v>13</v>
      </c>
      <c r="C221" t="s">
        <v>126</v>
      </c>
      <c r="D221" t="s">
        <v>724</v>
      </c>
      <c r="E221" t="s">
        <v>126</v>
      </c>
      <c r="F221">
        <v>0</v>
      </c>
      <c r="G221" t="s">
        <v>126</v>
      </c>
      <c r="H221" t="s">
        <v>126</v>
      </c>
      <c r="I221" t="s">
        <v>126</v>
      </c>
      <c r="J221" t="s">
        <v>126</v>
      </c>
      <c r="K221" t="s">
        <v>126</v>
      </c>
      <c r="L221" t="s">
        <v>126</v>
      </c>
      <c r="M221" t="s">
        <v>872</v>
      </c>
      <c r="N221" t="b">
        <v>0</v>
      </c>
    </row>
    <row r="222" spans="1:14">
      <c r="A222">
        <v>11</v>
      </c>
      <c r="B222">
        <v>14</v>
      </c>
      <c r="C222" t="s">
        <v>126</v>
      </c>
      <c r="D222" t="s">
        <v>724</v>
      </c>
      <c r="E222" t="s">
        <v>126</v>
      </c>
      <c r="F222">
        <v>0</v>
      </c>
      <c r="G222" t="s">
        <v>126</v>
      </c>
      <c r="H222" t="s">
        <v>126</v>
      </c>
      <c r="I222" t="s">
        <v>126</v>
      </c>
      <c r="J222" t="s">
        <v>126</v>
      </c>
      <c r="K222" t="s">
        <v>126</v>
      </c>
      <c r="L222" t="s">
        <v>126</v>
      </c>
      <c r="M222" t="s">
        <v>873</v>
      </c>
      <c r="N222" t="b">
        <v>0</v>
      </c>
    </row>
    <row r="223" spans="1:14">
      <c r="A223">
        <v>11</v>
      </c>
      <c r="B223">
        <v>15</v>
      </c>
      <c r="C223" t="s">
        <v>126</v>
      </c>
      <c r="D223" t="s">
        <v>724</v>
      </c>
      <c r="E223" t="s">
        <v>126</v>
      </c>
      <c r="F223">
        <v>0</v>
      </c>
      <c r="G223" t="s">
        <v>126</v>
      </c>
      <c r="H223" t="s">
        <v>126</v>
      </c>
      <c r="I223" t="s">
        <v>126</v>
      </c>
      <c r="J223" t="s">
        <v>126</v>
      </c>
      <c r="K223" t="s">
        <v>126</v>
      </c>
      <c r="L223" t="s">
        <v>126</v>
      </c>
      <c r="M223" t="s">
        <v>874</v>
      </c>
      <c r="N223" t="b">
        <v>0</v>
      </c>
    </row>
    <row r="224" spans="1:14">
      <c r="A224">
        <v>11</v>
      </c>
      <c r="B224">
        <v>16</v>
      </c>
      <c r="C224" t="s">
        <v>206</v>
      </c>
      <c r="D224" t="s">
        <v>741</v>
      </c>
      <c r="E224" t="s">
        <v>109</v>
      </c>
      <c r="F224">
        <v>50</v>
      </c>
      <c r="G224" t="s">
        <v>126</v>
      </c>
      <c r="H224" t="s">
        <v>126</v>
      </c>
      <c r="I224" t="s">
        <v>109</v>
      </c>
      <c r="J224" t="s">
        <v>126</v>
      </c>
      <c r="K224" t="s">
        <v>126</v>
      </c>
      <c r="L224" t="s">
        <v>126</v>
      </c>
      <c r="M224" t="s">
        <v>875</v>
      </c>
      <c r="N224" t="b">
        <v>0</v>
      </c>
    </row>
    <row r="225" spans="1:14">
      <c r="A225">
        <v>11</v>
      </c>
      <c r="B225">
        <v>17</v>
      </c>
      <c r="C225" t="s">
        <v>207</v>
      </c>
      <c r="D225" t="s">
        <v>741</v>
      </c>
      <c r="E225" t="s">
        <v>91</v>
      </c>
      <c r="F225">
        <v>60</v>
      </c>
      <c r="G225" t="s">
        <v>126</v>
      </c>
      <c r="H225" t="s">
        <v>126</v>
      </c>
      <c r="I225" t="s">
        <v>91</v>
      </c>
      <c r="J225" t="s">
        <v>126</v>
      </c>
      <c r="K225" t="s">
        <v>126</v>
      </c>
      <c r="L225" t="s">
        <v>126</v>
      </c>
      <c r="M225" t="s">
        <v>876</v>
      </c>
      <c r="N225" t="b">
        <v>0</v>
      </c>
    </row>
    <row r="226" spans="1:14">
      <c r="A226">
        <v>11</v>
      </c>
      <c r="B226">
        <v>18</v>
      </c>
      <c r="C226" t="s">
        <v>208</v>
      </c>
      <c r="D226" t="s">
        <v>741</v>
      </c>
      <c r="E226" t="s">
        <v>545</v>
      </c>
      <c r="F226">
        <v>50</v>
      </c>
      <c r="G226" t="s">
        <v>760</v>
      </c>
      <c r="H226" t="s">
        <v>126</v>
      </c>
      <c r="I226" t="s">
        <v>126</v>
      </c>
      <c r="J226" t="s">
        <v>824</v>
      </c>
      <c r="K226" t="s">
        <v>825</v>
      </c>
      <c r="L226" t="s">
        <v>826</v>
      </c>
      <c r="M226" t="s">
        <v>877</v>
      </c>
      <c r="N226" t="b">
        <v>0</v>
      </c>
    </row>
    <row r="227" spans="1:14">
      <c r="A227">
        <v>11</v>
      </c>
      <c r="B227">
        <v>19</v>
      </c>
      <c r="C227" t="s">
        <v>209</v>
      </c>
      <c r="D227" t="s">
        <v>741</v>
      </c>
      <c r="E227" t="s">
        <v>104</v>
      </c>
      <c r="F227">
        <v>50</v>
      </c>
      <c r="G227" t="s">
        <v>126</v>
      </c>
      <c r="H227" t="s">
        <v>126</v>
      </c>
      <c r="I227" t="s">
        <v>104</v>
      </c>
      <c r="J227" t="s">
        <v>126</v>
      </c>
      <c r="K227" t="s">
        <v>126</v>
      </c>
      <c r="L227" t="s">
        <v>126</v>
      </c>
      <c r="M227" t="s">
        <v>878</v>
      </c>
      <c r="N227" t="b">
        <v>0</v>
      </c>
    </row>
    <row r="228" spans="1:14">
      <c r="A228">
        <v>11</v>
      </c>
      <c r="B228">
        <v>20</v>
      </c>
      <c r="C228" t="s">
        <v>126</v>
      </c>
      <c r="D228" t="s">
        <v>741</v>
      </c>
      <c r="E228" t="s">
        <v>126</v>
      </c>
      <c r="F228">
        <v>0</v>
      </c>
      <c r="G228" t="s">
        <v>126</v>
      </c>
      <c r="H228" t="s">
        <v>126</v>
      </c>
      <c r="I228" t="s">
        <v>126</v>
      </c>
      <c r="J228" t="s">
        <v>126</v>
      </c>
      <c r="K228" t="s">
        <v>126</v>
      </c>
      <c r="L228" t="s">
        <v>126</v>
      </c>
      <c r="M228" t="s">
        <v>879</v>
      </c>
      <c r="N228" t="b">
        <v>0</v>
      </c>
    </row>
    <row r="229" spans="1:14">
      <c r="A229">
        <v>11</v>
      </c>
      <c r="B229">
        <v>21</v>
      </c>
      <c r="C229" t="s">
        <v>126</v>
      </c>
      <c r="D229" t="s">
        <v>741</v>
      </c>
      <c r="E229" t="s">
        <v>126</v>
      </c>
      <c r="F229">
        <v>0</v>
      </c>
      <c r="G229" t="s">
        <v>126</v>
      </c>
      <c r="H229" t="s">
        <v>126</v>
      </c>
      <c r="I229" t="s">
        <v>126</v>
      </c>
      <c r="J229" t="s">
        <v>126</v>
      </c>
      <c r="K229" t="s">
        <v>126</v>
      </c>
      <c r="L229" t="s">
        <v>126</v>
      </c>
      <c r="M229" t="s">
        <v>880</v>
      </c>
      <c r="N229" t="b">
        <v>0</v>
      </c>
    </row>
    <row r="230" spans="1:14">
      <c r="A230">
        <v>11</v>
      </c>
      <c r="B230">
        <v>22</v>
      </c>
      <c r="C230" t="s">
        <v>126</v>
      </c>
      <c r="D230" t="s">
        <v>741</v>
      </c>
      <c r="E230" t="s">
        <v>126</v>
      </c>
      <c r="F230">
        <v>0</v>
      </c>
      <c r="G230" t="s">
        <v>126</v>
      </c>
      <c r="H230" t="s">
        <v>126</v>
      </c>
      <c r="I230" t="s">
        <v>126</v>
      </c>
      <c r="J230" t="s">
        <v>126</v>
      </c>
      <c r="K230" t="s">
        <v>126</v>
      </c>
      <c r="L230" t="s">
        <v>126</v>
      </c>
      <c r="M230" t="s">
        <v>881</v>
      </c>
      <c r="N230" t="b">
        <v>0</v>
      </c>
    </row>
    <row r="231" spans="1:14">
      <c r="A231">
        <v>11</v>
      </c>
      <c r="B231">
        <v>23</v>
      </c>
      <c r="C231" t="s">
        <v>126</v>
      </c>
      <c r="D231" t="s">
        <v>741</v>
      </c>
      <c r="E231" t="s">
        <v>126</v>
      </c>
      <c r="F231">
        <v>0</v>
      </c>
      <c r="G231" t="s">
        <v>126</v>
      </c>
      <c r="H231" t="s">
        <v>126</v>
      </c>
      <c r="I231" t="s">
        <v>126</v>
      </c>
      <c r="J231" t="s">
        <v>126</v>
      </c>
      <c r="K231" t="s">
        <v>126</v>
      </c>
      <c r="L231" t="s">
        <v>126</v>
      </c>
      <c r="M231" t="s">
        <v>882</v>
      </c>
      <c r="N231" t="b">
        <v>0</v>
      </c>
    </row>
    <row r="232" spans="1:14">
      <c r="A232">
        <v>11</v>
      </c>
      <c r="B232">
        <v>24</v>
      </c>
      <c r="C232" t="s">
        <v>126</v>
      </c>
      <c r="D232" t="s">
        <v>741</v>
      </c>
      <c r="E232" t="s">
        <v>126</v>
      </c>
      <c r="F232">
        <v>0</v>
      </c>
      <c r="G232" t="s">
        <v>126</v>
      </c>
      <c r="H232" t="s">
        <v>126</v>
      </c>
      <c r="I232" t="s">
        <v>126</v>
      </c>
      <c r="J232" t="s">
        <v>126</v>
      </c>
      <c r="K232" t="s">
        <v>126</v>
      </c>
      <c r="L232" t="s">
        <v>126</v>
      </c>
      <c r="M232" t="s">
        <v>883</v>
      </c>
      <c r="N232" t="b">
        <v>0</v>
      </c>
    </row>
    <row r="233" spans="1:14">
      <c r="A233">
        <v>11</v>
      </c>
      <c r="B233">
        <v>25</v>
      </c>
      <c r="C233" t="s">
        <v>126</v>
      </c>
      <c r="D233" t="s">
        <v>741</v>
      </c>
      <c r="E233" t="s">
        <v>126</v>
      </c>
      <c r="F233">
        <v>0</v>
      </c>
      <c r="G233" t="s">
        <v>126</v>
      </c>
      <c r="H233" t="s">
        <v>126</v>
      </c>
      <c r="I233" t="s">
        <v>126</v>
      </c>
      <c r="J233" t="s">
        <v>126</v>
      </c>
      <c r="K233" t="s">
        <v>126</v>
      </c>
      <c r="L233" t="s">
        <v>126</v>
      </c>
      <c r="M233" t="s">
        <v>884</v>
      </c>
      <c r="N233" t="b">
        <v>0</v>
      </c>
    </row>
    <row r="234" spans="1:14">
      <c r="A234">
        <v>11</v>
      </c>
      <c r="B234">
        <v>26</v>
      </c>
      <c r="C234" t="s">
        <v>126</v>
      </c>
      <c r="D234" t="s">
        <v>741</v>
      </c>
      <c r="E234" t="s">
        <v>126</v>
      </c>
      <c r="F234">
        <v>0</v>
      </c>
      <c r="G234" t="s">
        <v>126</v>
      </c>
      <c r="H234" t="s">
        <v>126</v>
      </c>
      <c r="I234" t="s">
        <v>126</v>
      </c>
      <c r="J234" t="s">
        <v>126</v>
      </c>
      <c r="K234" t="s">
        <v>126</v>
      </c>
      <c r="L234" t="s">
        <v>126</v>
      </c>
      <c r="M234" t="s">
        <v>885</v>
      </c>
      <c r="N234" t="b">
        <v>0</v>
      </c>
    </row>
    <row r="235" spans="1:14">
      <c r="A235">
        <v>12</v>
      </c>
      <c r="B235">
        <v>0</v>
      </c>
      <c r="C235" t="s">
        <v>158</v>
      </c>
      <c r="D235" t="s">
        <v>724</v>
      </c>
      <c r="E235" t="s">
        <v>83</v>
      </c>
      <c r="F235">
        <v>40</v>
      </c>
      <c r="G235" t="s">
        <v>126</v>
      </c>
      <c r="H235" t="s">
        <v>126</v>
      </c>
      <c r="I235" t="s">
        <v>83</v>
      </c>
      <c r="J235" t="s">
        <v>126</v>
      </c>
      <c r="K235" t="s">
        <v>126</v>
      </c>
      <c r="L235" t="s">
        <v>126</v>
      </c>
      <c r="M235" t="s">
        <v>886</v>
      </c>
      <c r="N235" t="b">
        <v>0</v>
      </c>
    </row>
    <row r="236" spans="1:14">
      <c r="A236">
        <v>12</v>
      </c>
      <c r="B236">
        <v>1</v>
      </c>
      <c r="C236" t="s">
        <v>210</v>
      </c>
      <c r="D236" t="s">
        <v>724</v>
      </c>
      <c r="E236" t="s">
        <v>87</v>
      </c>
      <c r="F236">
        <v>40</v>
      </c>
      <c r="G236" t="s">
        <v>126</v>
      </c>
      <c r="H236" t="s">
        <v>126</v>
      </c>
      <c r="I236" t="s">
        <v>87</v>
      </c>
      <c r="J236" t="s">
        <v>126</v>
      </c>
      <c r="K236" t="s">
        <v>126</v>
      </c>
      <c r="L236" t="s">
        <v>126</v>
      </c>
      <c r="M236" t="s">
        <v>887</v>
      </c>
      <c r="N236" t="b">
        <v>0</v>
      </c>
    </row>
    <row r="237" spans="1:14">
      <c r="A237">
        <v>12</v>
      </c>
      <c r="B237">
        <v>2</v>
      </c>
      <c r="C237" t="s">
        <v>211</v>
      </c>
      <c r="D237" t="s">
        <v>753</v>
      </c>
      <c r="E237" t="s">
        <v>545</v>
      </c>
      <c r="F237">
        <v>60</v>
      </c>
      <c r="G237" t="s">
        <v>760</v>
      </c>
      <c r="H237" t="s">
        <v>126</v>
      </c>
      <c r="I237" t="s">
        <v>126</v>
      </c>
      <c r="J237" t="s">
        <v>824</v>
      </c>
      <c r="K237" t="s">
        <v>801</v>
      </c>
      <c r="L237" t="s">
        <v>802</v>
      </c>
      <c r="M237" t="s">
        <v>888</v>
      </c>
      <c r="N237" t="b">
        <v>0</v>
      </c>
    </row>
    <row r="238" spans="1:14">
      <c r="A238">
        <v>12</v>
      </c>
      <c r="B238">
        <v>3</v>
      </c>
      <c r="C238" t="s">
        <v>208</v>
      </c>
      <c r="D238" t="s">
        <v>753</v>
      </c>
      <c r="E238" t="s">
        <v>545</v>
      </c>
      <c r="F238">
        <v>50</v>
      </c>
      <c r="G238" t="s">
        <v>760</v>
      </c>
      <c r="H238" t="s">
        <v>126</v>
      </c>
      <c r="I238" t="s">
        <v>126</v>
      </c>
      <c r="J238" t="s">
        <v>824</v>
      </c>
      <c r="K238" t="s">
        <v>825</v>
      </c>
      <c r="L238" t="s">
        <v>826</v>
      </c>
      <c r="M238" t="s">
        <v>889</v>
      </c>
      <c r="N238" t="b">
        <v>0</v>
      </c>
    </row>
    <row r="239" spans="1:14">
      <c r="A239">
        <v>12</v>
      </c>
      <c r="B239">
        <v>4</v>
      </c>
      <c r="C239" t="s">
        <v>208</v>
      </c>
      <c r="D239" t="s">
        <v>753</v>
      </c>
      <c r="E239" t="s">
        <v>545</v>
      </c>
      <c r="F239">
        <v>50</v>
      </c>
      <c r="G239" t="s">
        <v>760</v>
      </c>
      <c r="H239" t="s">
        <v>126</v>
      </c>
      <c r="I239" t="s">
        <v>126</v>
      </c>
      <c r="J239" t="s">
        <v>824</v>
      </c>
      <c r="K239" t="s">
        <v>890</v>
      </c>
      <c r="L239" t="s">
        <v>891</v>
      </c>
      <c r="M239" t="s">
        <v>892</v>
      </c>
      <c r="N239" t="b">
        <v>0</v>
      </c>
    </row>
    <row r="240" spans="1:14">
      <c r="A240">
        <v>12</v>
      </c>
      <c r="B240">
        <v>5</v>
      </c>
      <c r="C240" t="s">
        <v>126</v>
      </c>
      <c r="D240" t="s">
        <v>724</v>
      </c>
      <c r="E240" t="s">
        <v>126</v>
      </c>
      <c r="F240">
        <v>0</v>
      </c>
      <c r="G240" t="s">
        <v>126</v>
      </c>
      <c r="H240" t="s">
        <v>126</v>
      </c>
      <c r="I240" t="s">
        <v>126</v>
      </c>
      <c r="J240" t="s">
        <v>126</v>
      </c>
      <c r="K240" t="s">
        <v>126</v>
      </c>
      <c r="L240" t="s">
        <v>126</v>
      </c>
      <c r="M240" t="s">
        <v>893</v>
      </c>
      <c r="N240" t="b">
        <v>0</v>
      </c>
    </row>
    <row r="241" spans="1:14">
      <c r="A241">
        <v>12</v>
      </c>
      <c r="B241">
        <v>6</v>
      </c>
      <c r="C241" t="s">
        <v>126</v>
      </c>
      <c r="D241" t="s">
        <v>724</v>
      </c>
      <c r="E241" t="s">
        <v>126</v>
      </c>
      <c r="F241">
        <v>0</v>
      </c>
      <c r="G241" t="s">
        <v>126</v>
      </c>
      <c r="H241" t="s">
        <v>126</v>
      </c>
      <c r="I241" t="s">
        <v>126</v>
      </c>
      <c r="J241" t="s">
        <v>126</v>
      </c>
      <c r="K241" t="s">
        <v>126</v>
      </c>
      <c r="L241" t="s">
        <v>126</v>
      </c>
      <c r="M241" t="s">
        <v>894</v>
      </c>
      <c r="N241" t="b">
        <v>0</v>
      </c>
    </row>
    <row r="242" spans="1:14">
      <c r="A242">
        <v>12</v>
      </c>
      <c r="B242">
        <v>7</v>
      </c>
      <c r="C242" t="s">
        <v>126</v>
      </c>
      <c r="D242" t="s">
        <v>724</v>
      </c>
      <c r="E242" t="s">
        <v>126</v>
      </c>
      <c r="F242">
        <v>0</v>
      </c>
      <c r="G242" t="s">
        <v>126</v>
      </c>
      <c r="H242" t="s">
        <v>126</v>
      </c>
      <c r="I242" t="s">
        <v>126</v>
      </c>
      <c r="J242" t="s">
        <v>126</v>
      </c>
      <c r="K242" t="s">
        <v>126</v>
      </c>
      <c r="L242" t="s">
        <v>126</v>
      </c>
      <c r="M242" t="s">
        <v>895</v>
      </c>
      <c r="N242" t="b">
        <v>0</v>
      </c>
    </row>
    <row r="243" spans="1:14">
      <c r="A243">
        <v>12</v>
      </c>
      <c r="B243">
        <v>8</v>
      </c>
      <c r="C243" t="s">
        <v>126</v>
      </c>
      <c r="D243" t="s">
        <v>724</v>
      </c>
      <c r="E243" t="s">
        <v>126</v>
      </c>
      <c r="F243">
        <v>0</v>
      </c>
      <c r="G243" t="s">
        <v>126</v>
      </c>
      <c r="H243" t="s">
        <v>126</v>
      </c>
      <c r="I243" t="s">
        <v>126</v>
      </c>
      <c r="J243" t="s">
        <v>126</v>
      </c>
      <c r="K243" t="s">
        <v>126</v>
      </c>
      <c r="L243" t="s">
        <v>126</v>
      </c>
      <c r="M243" t="s">
        <v>896</v>
      </c>
      <c r="N243" t="b">
        <v>0</v>
      </c>
    </row>
    <row r="244" spans="1:14">
      <c r="A244">
        <v>12</v>
      </c>
      <c r="B244">
        <v>9</v>
      </c>
      <c r="C244" t="s">
        <v>126</v>
      </c>
      <c r="D244" t="s">
        <v>724</v>
      </c>
      <c r="E244" t="s">
        <v>126</v>
      </c>
      <c r="F244">
        <v>0</v>
      </c>
      <c r="G244" t="s">
        <v>126</v>
      </c>
      <c r="H244" t="s">
        <v>126</v>
      </c>
      <c r="I244" t="s">
        <v>126</v>
      </c>
      <c r="J244" t="s">
        <v>126</v>
      </c>
      <c r="K244" t="s">
        <v>126</v>
      </c>
      <c r="L244" t="s">
        <v>126</v>
      </c>
      <c r="M244" t="s">
        <v>897</v>
      </c>
      <c r="N244" t="b">
        <v>0</v>
      </c>
    </row>
    <row r="245" spans="1:14">
      <c r="A245">
        <v>12</v>
      </c>
      <c r="B245">
        <v>10</v>
      </c>
      <c r="C245" t="s">
        <v>126</v>
      </c>
      <c r="D245" t="s">
        <v>724</v>
      </c>
      <c r="E245" t="s">
        <v>126</v>
      </c>
      <c r="F245">
        <v>0</v>
      </c>
      <c r="G245" t="s">
        <v>126</v>
      </c>
      <c r="H245" t="s">
        <v>126</v>
      </c>
      <c r="I245" t="s">
        <v>126</v>
      </c>
      <c r="J245" t="s">
        <v>126</v>
      </c>
      <c r="K245" t="s">
        <v>126</v>
      </c>
      <c r="L245" t="s">
        <v>126</v>
      </c>
      <c r="M245" t="s">
        <v>898</v>
      </c>
      <c r="N245" t="b">
        <v>0</v>
      </c>
    </row>
    <row r="246" spans="1:14">
      <c r="A246">
        <v>12</v>
      </c>
      <c r="B246">
        <v>11</v>
      </c>
      <c r="C246" t="s">
        <v>126</v>
      </c>
      <c r="D246" t="s">
        <v>724</v>
      </c>
      <c r="E246" t="s">
        <v>126</v>
      </c>
      <c r="F246">
        <v>0</v>
      </c>
      <c r="G246" t="s">
        <v>126</v>
      </c>
      <c r="H246" t="s">
        <v>126</v>
      </c>
      <c r="I246" t="s">
        <v>126</v>
      </c>
      <c r="J246" t="s">
        <v>126</v>
      </c>
      <c r="K246" t="s">
        <v>126</v>
      </c>
      <c r="L246" t="s">
        <v>126</v>
      </c>
      <c r="M246" t="s">
        <v>899</v>
      </c>
      <c r="N246" t="b">
        <v>0</v>
      </c>
    </row>
    <row r="247" spans="1:14">
      <c r="A247">
        <v>12</v>
      </c>
      <c r="B247">
        <v>12</v>
      </c>
      <c r="C247" t="s">
        <v>126</v>
      </c>
      <c r="D247" t="s">
        <v>724</v>
      </c>
      <c r="E247" t="s">
        <v>126</v>
      </c>
      <c r="F247">
        <v>0</v>
      </c>
      <c r="G247" t="s">
        <v>126</v>
      </c>
      <c r="H247" t="s">
        <v>126</v>
      </c>
      <c r="I247" t="s">
        <v>126</v>
      </c>
      <c r="J247" t="s">
        <v>126</v>
      </c>
      <c r="K247" t="s">
        <v>126</v>
      </c>
      <c r="L247" t="s">
        <v>126</v>
      </c>
      <c r="M247" t="s">
        <v>900</v>
      </c>
      <c r="N247" t="b">
        <v>0</v>
      </c>
    </row>
    <row r="248" spans="1:14">
      <c r="A248">
        <v>12</v>
      </c>
      <c r="B248">
        <v>13</v>
      </c>
      <c r="C248" t="s">
        <v>126</v>
      </c>
      <c r="D248" t="s">
        <v>724</v>
      </c>
      <c r="E248" t="s">
        <v>126</v>
      </c>
      <c r="F248">
        <v>0</v>
      </c>
      <c r="G248" t="s">
        <v>126</v>
      </c>
      <c r="H248" t="s">
        <v>126</v>
      </c>
      <c r="I248" t="s">
        <v>126</v>
      </c>
      <c r="J248" t="s">
        <v>126</v>
      </c>
      <c r="K248" t="s">
        <v>126</v>
      </c>
      <c r="L248" t="s">
        <v>126</v>
      </c>
      <c r="M248" t="s">
        <v>901</v>
      </c>
      <c r="N248" t="b">
        <v>0</v>
      </c>
    </row>
    <row r="249" spans="1:14">
      <c r="A249">
        <v>12</v>
      </c>
      <c r="B249">
        <v>14</v>
      </c>
      <c r="C249" t="s">
        <v>126</v>
      </c>
      <c r="D249" t="s">
        <v>724</v>
      </c>
      <c r="E249" t="s">
        <v>126</v>
      </c>
      <c r="F249">
        <v>0</v>
      </c>
      <c r="G249" t="s">
        <v>126</v>
      </c>
      <c r="H249" t="s">
        <v>126</v>
      </c>
      <c r="I249" t="s">
        <v>126</v>
      </c>
      <c r="J249" t="s">
        <v>126</v>
      </c>
      <c r="K249" t="s">
        <v>126</v>
      </c>
      <c r="L249" t="s">
        <v>126</v>
      </c>
      <c r="M249" t="s">
        <v>902</v>
      </c>
      <c r="N249" t="b">
        <v>0</v>
      </c>
    </row>
    <row r="250" spans="1:14">
      <c r="A250">
        <v>12</v>
      </c>
      <c r="B250">
        <v>15</v>
      </c>
      <c r="C250" t="s">
        <v>126</v>
      </c>
      <c r="D250" t="s">
        <v>724</v>
      </c>
      <c r="E250" t="s">
        <v>126</v>
      </c>
      <c r="F250">
        <v>0</v>
      </c>
      <c r="G250" t="s">
        <v>126</v>
      </c>
      <c r="H250" t="s">
        <v>126</v>
      </c>
      <c r="I250" t="s">
        <v>126</v>
      </c>
      <c r="J250" t="s">
        <v>126</v>
      </c>
      <c r="K250" t="s">
        <v>126</v>
      </c>
      <c r="L250" t="s">
        <v>126</v>
      </c>
      <c r="M250" t="s">
        <v>903</v>
      </c>
      <c r="N250" t="b">
        <v>0</v>
      </c>
    </row>
    <row r="251" spans="1:14">
      <c r="A251">
        <v>12</v>
      </c>
      <c r="B251">
        <v>16</v>
      </c>
      <c r="C251" t="s">
        <v>178</v>
      </c>
      <c r="D251" t="s">
        <v>741</v>
      </c>
      <c r="E251" t="s">
        <v>60</v>
      </c>
      <c r="F251">
        <v>50</v>
      </c>
      <c r="G251" t="s">
        <v>126</v>
      </c>
      <c r="H251" t="s">
        <v>126</v>
      </c>
      <c r="I251" t="s">
        <v>60</v>
      </c>
      <c r="J251" t="s">
        <v>126</v>
      </c>
      <c r="K251" t="s">
        <v>126</v>
      </c>
      <c r="L251" t="s">
        <v>126</v>
      </c>
      <c r="M251" t="s">
        <v>904</v>
      </c>
      <c r="N251" t="b">
        <v>0</v>
      </c>
    </row>
    <row r="252" spans="1:14">
      <c r="A252">
        <v>12</v>
      </c>
      <c r="B252">
        <v>17</v>
      </c>
      <c r="C252" t="s">
        <v>180</v>
      </c>
      <c r="D252" t="s">
        <v>741</v>
      </c>
      <c r="E252" t="s">
        <v>544</v>
      </c>
      <c r="F252">
        <v>40</v>
      </c>
      <c r="G252" t="s">
        <v>760</v>
      </c>
      <c r="H252" t="s">
        <v>126</v>
      </c>
      <c r="I252" t="s">
        <v>126</v>
      </c>
      <c r="J252" t="s">
        <v>817</v>
      </c>
      <c r="K252" t="s">
        <v>792</v>
      </c>
      <c r="L252" t="s">
        <v>793</v>
      </c>
      <c r="M252" t="s">
        <v>905</v>
      </c>
      <c r="N252" t="b">
        <v>0</v>
      </c>
    </row>
    <row r="253" spans="1:14">
      <c r="A253">
        <v>12</v>
      </c>
      <c r="B253">
        <v>18</v>
      </c>
      <c r="C253" t="s">
        <v>160</v>
      </c>
      <c r="D253" t="s">
        <v>741</v>
      </c>
      <c r="E253" t="s">
        <v>297</v>
      </c>
      <c r="F253">
        <v>40</v>
      </c>
      <c r="G253" t="s">
        <v>760</v>
      </c>
      <c r="H253" t="s">
        <v>126</v>
      </c>
      <c r="I253" t="s">
        <v>126</v>
      </c>
      <c r="J253" t="s">
        <v>761</v>
      </c>
      <c r="K253" t="s">
        <v>762</v>
      </c>
      <c r="L253" t="s">
        <v>763</v>
      </c>
      <c r="M253" t="s">
        <v>906</v>
      </c>
      <c r="N253" t="b">
        <v>0</v>
      </c>
    </row>
    <row r="254" spans="1:14">
      <c r="A254">
        <v>12</v>
      </c>
      <c r="B254">
        <v>19</v>
      </c>
      <c r="C254" t="s">
        <v>212</v>
      </c>
      <c r="D254" t="s">
        <v>741</v>
      </c>
      <c r="E254" t="s">
        <v>109</v>
      </c>
      <c r="F254">
        <v>40</v>
      </c>
      <c r="G254" t="s">
        <v>126</v>
      </c>
      <c r="H254" t="s">
        <v>126</v>
      </c>
      <c r="I254" t="s">
        <v>109</v>
      </c>
      <c r="J254" t="s">
        <v>126</v>
      </c>
      <c r="K254" t="s">
        <v>126</v>
      </c>
      <c r="L254" t="s">
        <v>126</v>
      </c>
      <c r="M254" t="s">
        <v>907</v>
      </c>
      <c r="N254" t="b">
        <v>0</v>
      </c>
    </row>
    <row r="255" spans="1:14">
      <c r="A255">
        <v>12</v>
      </c>
      <c r="B255">
        <v>20</v>
      </c>
      <c r="C255" t="s">
        <v>182</v>
      </c>
      <c r="D255" t="s">
        <v>741</v>
      </c>
      <c r="E255" t="s">
        <v>61</v>
      </c>
      <c r="F255">
        <v>40</v>
      </c>
      <c r="G255" t="s">
        <v>126</v>
      </c>
      <c r="H255" t="s">
        <v>126</v>
      </c>
      <c r="I255" t="s">
        <v>61</v>
      </c>
      <c r="J255" t="s">
        <v>126</v>
      </c>
      <c r="K255" t="s">
        <v>126</v>
      </c>
      <c r="L255" t="s">
        <v>126</v>
      </c>
      <c r="M255" t="s">
        <v>908</v>
      </c>
      <c r="N255" t="b">
        <v>0</v>
      </c>
    </row>
    <row r="256" spans="1:14">
      <c r="A256">
        <v>12</v>
      </c>
      <c r="B256">
        <v>21</v>
      </c>
      <c r="C256" t="s">
        <v>213</v>
      </c>
      <c r="D256" t="s">
        <v>741</v>
      </c>
      <c r="E256" t="s">
        <v>84</v>
      </c>
      <c r="F256">
        <v>40</v>
      </c>
      <c r="G256" t="s">
        <v>126</v>
      </c>
      <c r="H256" t="s">
        <v>126</v>
      </c>
      <c r="I256" t="s">
        <v>84</v>
      </c>
      <c r="J256" t="s">
        <v>126</v>
      </c>
      <c r="K256" t="s">
        <v>126</v>
      </c>
      <c r="L256" t="s">
        <v>126</v>
      </c>
      <c r="M256" t="s">
        <v>909</v>
      </c>
      <c r="N256" t="b">
        <v>0</v>
      </c>
    </row>
    <row r="257" spans="1:14">
      <c r="A257">
        <v>12</v>
      </c>
      <c r="B257">
        <v>22</v>
      </c>
      <c r="C257" t="s">
        <v>126</v>
      </c>
      <c r="D257" t="s">
        <v>741</v>
      </c>
      <c r="E257" t="s">
        <v>126</v>
      </c>
      <c r="F257">
        <v>0</v>
      </c>
      <c r="G257" t="s">
        <v>126</v>
      </c>
      <c r="H257" t="s">
        <v>126</v>
      </c>
      <c r="I257" t="s">
        <v>126</v>
      </c>
      <c r="J257" t="s">
        <v>126</v>
      </c>
      <c r="K257" t="s">
        <v>126</v>
      </c>
      <c r="L257" t="s">
        <v>126</v>
      </c>
      <c r="M257" t="s">
        <v>910</v>
      </c>
      <c r="N257" t="b">
        <v>0</v>
      </c>
    </row>
    <row r="258" spans="1:14">
      <c r="A258">
        <v>12</v>
      </c>
      <c r="B258">
        <v>23</v>
      </c>
      <c r="C258" t="s">
        <v>126</v>
      </c>
      <c r="D258" t="s">
        <v>741</v>
      </c>
      <c r="E258" t="s">
        <v>126</v>
      </c>
      <c r="F258">
        <v>0</v>
      </c>
      <c r="G258" t="s">
        <v>126</v>
      </c>
      <c r="H258" t="s">
        <v>126</v>
      </c>
      <c r="I258" t="s">
        <v>126</v>
      </c>
      <c r="J258" t="s">
        <v>126</v>
      </c>
      <c r="K258" t="s">
        <v>126</v>
      </c>
      <c r="L258" t="s">
        <v>126</v>
      </c>
      <c r="M258" t="s">
        <v>911</v>
      </c>
      <c r="N258" t="b">
        <v>0</v>
      </c>
    </row>
    <row r="259" spans="1:14">
      <c r="A259">
        <v>12</v>
      </c>
      <c r="B259">
        <v>24</v>
      </c>
      <c r="C259" t="s">
        <v>126</v>
      </c>
      <c r="D259" t="s">
        <v>741</v>
      </c>
      <c r="E259" t="s">
        <v>126</v>
      </c>
      <c r="F259">
        <v>0</v>
      </c>
      <c r="G259" t="s">
        <v>126</v>
      </c>
      <c r="H259" t="s">
        <v>126</v>
      </c>
      <c r="I259" t="s">
        <v>126</v>
      </c>
      <c r="J259" t="s">
        <v>126</v>
      </c>
      <c r="K259" t="s">
        <v>126</v>
      </c>
      <c r="L259" t="s">
        <v>126</v>
      </c>
      <c r="M259" t="s">
        <v>912</v>
      </c>
      <c r="N259" t="b">
        <v>0</v>
      </c>
    </row>
    <row r="260" spans="1:14">
      <c r="A260">
        <v>12</v>
      </c>
      <c r="B260">
        <v>25</v>
      </c>
      <c r="C260" t="s">
        <v>126</v>
      </c>
      <c r="D260" t="s">
        <v>741</v>
      </c>
      <c r="E260" t="s">
        <v>126</v>
      </c>
      <c r="F260">
        <v>0</v>
      </c>
      <c r="G260" t="s">
        <v>126</v>
      </c>
      <c r="H260" t="s">
        <v>126</v>
      </c>
      <c r="I260" t="s">
        <v>126</v>
      </c>
      <c r="J260" t="s">
        <v>126</v>
      </c>
      <c r="K260" t="s">
        <v>126</v>
      </c>
      <c r="L260" t="s">
        <v>126</v>
      </c>
      <c r="M260" t="s">
        <v>913</v>
      </c>
      <c r="N260" t="b">
        <v>0</v>
      </c>
    </row>
    <row r="261" spans="1:14">
      <c r="A261">
        <v>12</v>
      </c>
      <c r="B261">
        <v>26</v>
      </c>
      <c r="C261" t="s">
        <v>126</v>
      </c>
      <c r="D261" t="s">
        <v>741</v>
      </c>
      <c r="E261" t="s">
        <v>126</v>
      </c>
      <c r="F261">
        <v>0</v>
      </c>
      <c r="G261" t="s">
        <v>126</v>
      </c>
      <c r="H261" t="s">
        <v>126</v>
      </c>
      <c r="I261" t="s">
        <v>126</v>
      </c>
      <c r="J261" t="s">
        <v>126</v>
      </c>
      <c r="K261" t="s">
        <v>126</v>
      </c>
      <c r="L261" t="s">
        <v>126</v>
      </c>
      <c r="M261" t="s">
        <v>914</v>
      </c>
      <c r="N261" t="b">
        <v>0</v>
      </c>
    </row>
    <row r="262" spans="1:14">
      <c r="A262">
        <v>13</v>
      </c>
      <c r="B262">
        <v>0</v>
      </c>
      <c r="C262" t="s">
        <v>216</v>
      </c>
      <c r="D262" t="s">
        <v>724</v>
      </c>
      <c r="E262" t="s">
        <v>65</v>
      </c>
      <c r="F262">
        <v>60</v>
      </c>
      <c r="G262" t="s">
        <v>126</v>
      </c>
      <c r="H262" t="s">
        <v>126</v>
      </c>
      <c r="I262" t="s">
        <v>65</v>
      </c>
      <c r="J262" t="s">
        <v>126</v>
      </c>
      <c r="K262" t="s">
        <v>126</v>
      </c>
      <c r="L262" t="s">
        <v>126</v>
      </c>
      <c r="M262" t="s">
        <v>915</v>
      </c>
      <c r="N262" t="b">
        <v>0</v>
      </c>
    </row>
    <row r="263" spans="1:14">
      <c r="A263">
        <v>13</v>
      </c>
      <c r="B263">
        <v>1</v>
      </c>
      <c r="C263" t="s">
        <v>217</v>
      </c>
      <c r="D263" t="s">
        <v>724</v>
      </c>
      <c r="E263" t="s">
        <v>77</v>
      </c>
      <c r="F263">
        <v>60</v>
      </c>
      <c r="G263" t="s">
        <v>126</v>
      </c>
      <c r="H263" t="s">
        <v>126</v>
      </c>
      <c r="I263" t="s">
        <v>77</v>
      </c>
      <c r="J263" t="s">
        <v>126</v>
      </c>
      <c r="K263" t="s">
        <v>126</v>
      </c>
      <c r="L263" t="s">
        <v>126</v>
      </c>
      <c r="M263" t="s">
        <v>916</v>
      </c>
      <c r="N263" t="b">
        <v>0</v>
      </c>
    </row>
    <row r="264" spans="1:14">
      <c r="A264">
        <v>13</v>
      </c>
      <c r="B264">
        <v>2</v>
      </c>
      <c r="C264" t="s">
        <v>218</v>
      </c>
      <c r="D264" t="s">
        <v>724</v>
      </c>
      <c r="E264" t="s">
        <v>95</v>
      </c>
      <c r="F264">
        <v>40</v>
      </c>
      <c r="G264" t="s">
        <v>126</v>
      </c>
      <c r="H264" t="s">
        <v>126</v>
      </c>
      <c r="I264" t="s">
        <v>95</v>
      </c>
      <c r="J264" t="s">
        <v>126</v>
      </c>
      <c r="K264" t="s">
        <v>126</v>
      </c>
      <c r="L264" t="s">
        <v>126</v>
      </c>
      <c r="M264" t="s">
        <v>917</v>
      </c>
      <c r="N264" t="b">
        <v>0</v>
      </c>
    </row>
    <row r="265" spans="1:14">
      <c r="A265">
        <v>13</v>
      </c>
      <c r="B265">
        <v>3</v>
      </c>
      <c r="C265" t="s">
        <v>219</v>
      </c>
      <c r="D265" t="s">
        <v>724</v>
      </c>
      <c r="E265" t="s">
        <v>101</v>
      </c>
      <c r="F265">
        <v>60</v>
      </c>
      <c r="G265" t="s">
        <v>126</v>
      </c>
      <c r="H265" t="s">
        <v>126</v>
      </c>
      <c r="I265" t="s">
        <v>101</v>
      </c>
      <c r="J265" t="s">
        <v>126</v>
      </c>
      <c r="K265" t="s">
        <v>126</v>
      </c>
      <c r="L265" t="s">
        <v>126</v>
      </c>
      <c r="M265" t="s">
        <v>918</v>
      </c>
      <c r="N265" t="b">
        <v>0</v>
      </c>
    </row>
    <row r="266" spans="1:14">
      <c r="A266">
        <v>13</v>
      </c>
      <c r="B266">
        <v>4</v>
      </c>
      <c r="C266" t="s">
        <v>198</v>
      </c>
      <c r="D266" t="s">
        <v>724</v>
      </c>
      <c r="E266" t="s">
        <v>113</v>
      </c>
      <c r="F266">
        <v>50</v>
      </c>
      <c r="G266" t="s">
        <v>126</v>
      </c>
      <c r="H266" t="s">
        <v>126</v>
      </c>
      <c r="I266" t="s">
        <v>113</v>
      </c>
      <c r="J266" t="s">
        <v>126</v>
      </c>
      <c r="K266" t="s">
        <v>126</v>
      </c>
      <c r="L266" t="s">
        <v>126</v>
      </c>
      <c r="M266" t="s">
        <v>919</v>
      </c>
      <c r="N266" t="b">
        <v>0</v>
      </c>
    </row>
    <row r="267" spans="1:14">
      <c r="A267">
        <v>13</v>
      </c>
      <c r="B267">
        <v>5</v>
      </c>
      <c r="C267" t="s">
        <v>220</v>
      </c>
      <c r="D267" t="s">
        <v>724</v>
      </c>
      <c r="E267" t="s">
        <v>68</v>
      </c>
      <c r="F267">
        <v>50</v>
      </c>
      <c r="G267" t="s">
        <v>126</v>
      </c>
      <c r="H267" t="s">
        <v>126</v>
      </c>
      <c r="I267" t="s">
        <v>68</v>
      </c>
      <c r="J267" t="s">
        <v>126</v>
      </c>
      <c r="K267" t="s">
        <v>126</v>
      </c>
      <c r="L267" t="s">
        <v>126</v>
      </c>
      <c r="M267" t="s">
        <v>920</v>
      </c>
      <c r="N267" t="b">
        <v>0</v>
      </c>
    </row>
    <row r="268" spans="1:14">
      <c r="A268">
        <v>13</v>
      </c>
      <c r="B268">
        <v>6</v>
      </c>
      <c r="C268" t="s">
        <v>221</v>
      </c>
      <c r="D268" t="s">
        <v>724</v>
      </c>
      <c r="E268" t="s">
        <v>331</v>
      </c>
      <c r="F268">
        <v>60</v>
      </c>
      <c r="G268" t="s">
        <v>126</v>
      </c>
      <c r="H268" t="s">
        <v>548</v>
      </c>
      <c r="I268" t="s">
        <v>445</v>
      </c>
      <c r="J268" t="s">
        <v>126</v>
      </c>
      <c r="K268" t="s">
        <v>921</v>
      </c>
      <c r="L268" t="s">
        <v>922</v>
      </c>
      <c r="M268" t="s">
        <v>923</v>
      </c>
      <c r="N268" t="b">
        <v>0</v>
      </c>
    </row>
    <row r="269" spans="1:14">
      <c r="A269">
        <v>13</v>
      </c>
      <c r="B269">
        <v>7</v>
      </c>
      <c r="C269" t="s">
        <v>167</v>
      </c>
      <c r="D269" t="s">
        <v>724</v>
      </c>
      <c r="E269" t="s">
        <v>74</v>
      </c>
      <c r="F269">
        <v>50</v>
      </c>
      <c r="G269" t="s">
        <v>126</v>
      </c>
      <c r="H269" t="s">
        <v>126</v>
      </c>
      <c r="I269" t="s">
        <v>74</v>
      </c>
      <c r="J269" t="s">
        <v>126</v>
      </c>
      <c r="K269" t="s">
        <v>126</v>
      </c>
      <c r="L269" t="s">
        <v>126</v>
      </c>
      <c r="M269" t="s">
        <v>924</v>
      </c>
      <c r="N269" t="b">
        <v>0</v>
      </c>
    </row>
    <row r="270" spans="1:14">
      <c r="A270">
        <v>13</v>
      </c>
      <c r="B270">
        <v>8</v>
      </c>
      <c r="C270" t="s">
        <v>222</v>
      </c>
      <c r="D270" t="s">
        <v>724</v>
      </c>
      <c r="E270" t="s">
        <v>102</v>
      </c>
      <c r="F270">
        <v>50</v>
      </c>
      <c r="G270" t="s">
        <v>126</v>
      </c>
      <c r="H270" t="s">
        <v>126</v>
      </c>
      <c r="I270" t="s">
        <v>102</v>
      </c>
      <c r="J270" t="s">
        <v>126</v>
      </c>
      <c r="K270" t="s">
        <v>126</v>
      </c>
      <c r="L270" t="s">
        <v>126</v>
      </c>
      <c r="M270" t="s">
        <v>925</v>
      </c>
      <c r="N270" t="b">
        <v>0</v>
      </c>
    </row>
    <row r="271" spans="1:14">
      <c r="A271">
        <v>13</v>
      </c>
      <c r="B271">
        <v>9</v>
      </c>
      <c r="C271" t="s">
        <v>170</v>
      </c>
      <c r="D271" t="s">
        <v>724</v>
      </c>
      <c r="E271" t="s">
        <v>106</v>
      </c>
      <c r="F271">
        <v>50</v>
      </c>
      <c r="G271" t="s">
        <v>126</v>
      </c>
      <c r="H271" t="s">
        <v>126</v>
      </c>
      <c r="I271" t="s">
        <v>106</v>
      </c>
      <c r="J271" t="s">
        <v>126</v>
      </c>
      <c r="K271" t="s">
        <v>126</v>
      </c>
      <c r="L271" t="s">
        <v>126</v>
      </c>
      <c r="M271" t="s">
        <v>926</v>
      </c>
      <c r="N271" t="b">
        <v>0</v>
      </c>
    </row>
    <row r="272" spans="1:14">
      <c r="A272">
        <v>13</v>
      </c>
      <c r="B272">
        <v>10</v>
      </c>
      <c r="C272" t="s">
        <v>223</v>
      </c>
      <c r="D272" t="s">
        <v>724</v>
      </c>
      <c r="E272" t="s">
        <v>107</v>
      </c>
      <c r="F272">
        <v>50</v>
      </c>
      <c r="G272" t="s">
        <v>126</v>
      </c>
      <c r="H272" t="s">
        <v>126</v>
      </c>
      <c r="I272" t="s">
        <v>107</v>
      </c>
      <c r="J272" t="s">
        <v>126</v>
      </c>
      <c r="K272" t="s">
        <v>126</v>
      </c>
      <c r="L272" t="s">
        <v>126</v>
      </c>
      <c r="M272" t="s">
        <v>927</v>
      </c>
      <c r="N272" t="b">
        <v>0</v>
      </c>
    </row>
    <row r="273" spans="1:14">
      <c r="A273">
        <v>13</v>
      </c>
      <c r="B273">
        <v>11</v>
      </c>
      <c r="C273" t="s">
        <v>195</v>
      </c>
      <c r="D273" t="s">
        <v>724</v>
      </c>
      <c r="E273" t="s">
        <v>108</v>
      </c>
      <c r="F273">
        <v>60</v>
      </c>
      <c r="G273" t="s">
        <v>126</v>
      </c>
      <c r="H273" t="s">
        <v>126</v>
      </c>
      <c r="I273" t="s">
        <v>108</v>
      </c>
      <c r="J273" t="s">
        <v>126</v>
      </c>
      <c r="K273" t="s">
        <v>126</v>
      </c>
      <c r="L273" t="s">
        <v>126</v>
      </c>
      <c r="M273" t="s">
        <v>928</v>
      </c>
      <c r="N273" t="b">
        <v>0</v>
      </c>
    </row>
    <row r="274" spans="1:14">
      <c r="A274">
        <v>13</v>
      </c>
      <c r="B274">
        <v>12</v>
      </c>
      <c r="C274" t="s">
        <v>126</v>
      </c>
      <c r="D274" t="s">
        <v>724</v>
      </c>
      <c r="E274" t="s">
        <v>126</v>
      </c>
      <c r="F274">
        <v>0</v>
      </c>
      <c r="G274" t="s">
        <v>126</v>
      </c>
      <c r="H274" t="s">
        <v>126</v>
      </c>
      <c r="I274" t="s">
        <v>126</v>
      </c>
      <c r="J274" t="s">
        <v>126</v>
      </c>
      <c r="K274" t="s">
        <v>126</v>
      </c>
      <c r="L274" t="s">
        <v>126</v>
      </c>
      <c r="M274" t="s">
        <v>929</v>
      </c>
      <c r="N274" t="b">
        <v>0</v>
      </c>
    </row>
    <row r="275" spans="1:14">
      <c r="A275">
        <v>13</v>
      </c>
      <c r="B275">
        <v>13</v>
      </c>
      <c r="C275" t="s">
        <v>126</v>
      </c>
      <c r="D275" t="s">
        <v>724</v>
      </c>
      <c r="E275" t="s">
        <v>126</v>
      </c>
      <c r="F275">
        <v>0</v>
      </c>
      <c r="G275" t="s">
        <v>126</v>
      </c>
      <c r="H275" t="s">
        <v>126</v>
      </c>
      <c r="I275" t="s">
        <v>126</v>
      </c>
      <c r="J275" t="s">
        <v>126</v>
      </c>
      <c r="K275" t="s">
        <v>126</v>
      </c>
      <c r="L275" t="s">
        <v>126</v>
      </c>
      <c r="M275" t="s">
        <v>930</v>
      </c>
      <c r="N275" t="b">
        <v>0</v>
      </c>
    </row>
    <row r="276" spans="1:14">
      <c r="A276">
        <v>13</v>
      </c>
      <c r="B276">
        <v>14</v>
      </c>
      <c r="C276" t="s">
        <v>126</v>
      </c>
      <c r="D276" t="s">
        <v>724</v>
      </c>
      <c r="E276" t="s">
        <v>126</v>
      </c>
      <c r="F276">
        <v>0</v>
      </c>
      <c r="G276" t="s">
        <v>126</v>
      </c>
      <c r="H276" t="s">
        <v>126</v>
      </c>
      <c r="I276" t="s">
        <v>126</v>
      </c>
      <c r="J276" t="s">
        <v>126</v>
      </c>
      <c r="K276" t="s">
        <v>126</v>
      </c>
      <c r="L276" t="s">
        <v>126</v>
      </c>
      <c r="M276" t="s">
        <v>931</v>
      </c>
      <c r="N276" t="b">
        <v>0</v>
      </c>
    </row>
    <row r="277" spans="1:14">
      <c r="A277">
        <v>13</v>
      </c>
      <c r="B277">
        <v>15</v>
      </c>
      <c r="C277" t="s">
        <v>126</v>
      </c>
      <c r="D277" t="s">
        <v>724</v>
      </c>
      <c r="E277" t="s">
        <v>126</v>
      </c>
      <c r="F277">
        <v>0</v>
      </c>
      <c r="G277" t="s">
        <v>126</v>
      </c>
      <c r="H277" t="s">
        <v>126</v>
      </c>
      <c r="I277" t="s">
        <v>126</v>
      </c>
      <c r="J277" t="s">
        <v>126</v>
      </c>
      <c r="K277" t="s">
        <v>126</v>
      </c>
      <c r="L277" t="s">
        <v>126</v>
      </c>
      <c r="M277" t="s">
        <v>932</v>
      </c>
      <c r="N277" t="b">
        <v>0</v>
      </c>
    </row>
    <row r="278" spans="1:14">
      <c r="A278">
        <v>13</v>
      </c>
      <c r="B278">
        <v>16</v>
      </c>
      <c r="C278" t="s">
        <v>126</v>
      </c>
      <c r="D278" t="s">
        <v>741</v>
      </c>
      <c r="E278" t="s">
        <v>126</v>
      </c>
      <c r="F278">
        <v>0</v>
      </c>
      <c r="G278" t="s">
        <v>126</v>
      </c>
      <c r="H278" t="s">
        <v>126</v>
      </c>
      <c r="I278" t="s">
        <v>126</v>
      </c>
      <c r="J278" t="s">
        <v>126</v>
      </c>
      <c r="K278" t="s">
        <v>126</v>
      </c>
      <c r="L278" t="s">
        <v>126</v>
      </c>
      <c r="M278" t="s">
        <v>933</v>
      </c>
      <c r="N278" t="b">
        <v>0</v>
      </c>
    </row>
    <row r="279" spans="1:14">
      <c r="A279">
        <v>13</v>
      </c>
      <c r="B279">
        <v>17</v>
      </c>
      <c r="C279" t="s">
        <v>126</v>
      </c>
      <c r="D279" t="s">
        <v>741</v>
      </c>
      <c r="E279" t="s">
        <v>126</v>
      </c>
      <c r="F279">
        <v>0</v>
      </c>
      <c r="G279" t="s">
        <v>126</v>
      </c>
      <c r="H279" t="s">
        <v>126</v>
      </c>
      <c r="I279" t="s">
        <v>126</v>
      </c>
      <c r="J279" t="s">
        <v>126</v>
      </c>
      <c r="K279" t="s">
        <v>126</v>
      </c>
      <c r="L279" t="s">
        <v>126</v>
      </c>
      <c r="M279" t="s">
        <v>934</v>
      </c>
      <c r="N279" t="b">
        <v>0</v>
      </c>
    </row>
    <row r="280" spans="1:14">
      <c r="A280">
        <v>13</v>
      </c>
      <c r="B280">
        <v>18</v>
      </c>
      <c r="C280" t="s">
        <v>126</v>
      </c>
      <c r="D280" t="s">
        <v>741</v>
      </c>
      <c r="E280" t="s">
        <v>126</v>
      </c>
      <c r="F280">
        <v>0</v>
      </c>
      <c r="G280" t="s">
        <v>126</v>
      </c>
      <c r="H280" t="s">
        <v>126</v>
      </c>
      <c r="I280" t="s">
        <v>126</v>
      </c>
      <c r="J280" t="s">
        <v>126</v>
      </c>
      <c r="K280" t="s">
        <v>126</v>
      </c>
      <c r="L280" t="s">
        <v>126</v>
      </c>
      <c r="M280" t="s">
        <v>935</v>
      </c>
      <c r="N280" t="b">
        <v>0</v>
      </c>
    </row>
    <row r="281" spans="1:14">
      <c r="A281">
        <v>13</v>
      </c>
      <c r="B281">
        <v>19</v>
      </c>
      <c r="C281" t="s">
        <v>126</v>
      </c>
      <c r="D281" t="s">
        <v>741</v>
      </c>
      <c r="E281" t="s">
        <v>126</v>
      </c>
      <c r="F281">
        <v>0</v>
      </c>
      <c r="G281" t="s">
        <v>126</v>
      </c>
      <c r="H281" t="s">
        <v>126</v>
      </c>
      <c r="I281" t="s">
        <v>126</v>
      </c>
      <c r="J281" t="s">
        <v>126</v>
      </c>
      <c r="K281" t="s">
        <v>126</v>
      </c>
      <c r="L281" t="s">
        <v>126</v>
      </c>
      <c r="M281" t="s">
        <v>936</v>
      </c>
      <c r="N281" t="b">
        <v>0</v>
      </c>
    </row>
    <row r="282" spans="1:14">
      <c r="A282">
        <v>13</v>
      </c>
      <c r="B282">
        <v>20</v>
      </c>
      <c r="C282" t="s">
        <v>126</v>
      </c>
      <c r="D282" t="s">
        <v>741</v>
      </c>
      <c r="E282" t="s">
        <v>126</v>
      </c>
      <c r="F282">
        <v>0</v>
      </c>
      <c r="G282" t="s">
        <v>126</v>
      </c>
      <c r="H282" t="s">
        <v>126</v>
      </c>
      <c r="I282" t="s">
        <v>126</v>
      </c>
      <c r="J282" t="s">
        <v>126</v>
      </c>
      <c r="K282" t="s">
        <v>126</v>
      </c>
      <c r="L282" t="s">
        <v>126</v>
      </c>
      <c r="M282" t="s">
        <v>937</v>
      </c>
      <c r="N282" t="b">
        <v>0</v>
      </c>
    </row>
    <row r="283" spans="1:14">
      <c r="A283">
        <v>13</v>
      </c>
      <c r="B283">
        <v>21</v>
      </c>
      <c r="C283" t="s">
        <v>126</v>
      </c>
      <c r="D283" t="s">
        <v>741</v>
      </c>
      <c r="E283" t="s">
        <v>126</v>
      </c>
      <c r="F283">
        <v>0</v>
      </c>
      <c r="G283" t="s">
        <v>126</v>
      </c>
      <c r="H283" t="s">
        <v>126</v>
      </c>
      <c r="I283" t="s">
        <v>126</v>
      </c>
      <c r="J283" t="s">
        <v>126</v>
      </c>
      <c r="K283" t="s">
        <v>126</v>
      </c>
      <c r="L283" t="s">
        <v>126</v>
      </c>
      <c r="M283" t="s">
        <v>938</v>
      </c>
      <c r="N283" t="b">
        <v>0</v>
      </c>
    </row>
    <row r="284" spans="1:14">
      <c r="A284">
        <v>13</v>
      </c>
      <c r="B284">
        <v>22</v>
      </c>
      <c r="C284" t="s">
        <v>126</v>
      </c>
      <c r="D284" t="s">
        <v>741</v>
      </c>
      <c r="E284" t="s">
        <v>126</v>
      </c>
      <c r="F284">
        <v>0</v>
      </c>
      <c r="G284" t="s">
        <v>126</v>
      </c>
      <c r="H284" t="s">
        <v>126</v>
      </c>
      <c r="I284" t="s">
        <v>126</v>
      </c>
      <c r="J284" t="s">
        <v>126</v>
      </c>
      <c r="K284" t="s">
        <v>126</v>
      </c>
      <c r="L284" t="s">
        <v>126</v>
      </c>
      <c r="M284" t="s">
        <v>939</v>
      </c>
      <c r="N284" t="b">
        <v>0</v>
      </c>
    </row>
    <row r="285" spans="1:14">
      <c r="A285">
        <v>13</v>
      </c>
      <c r="B285">
        <v>23</v>
      </c>
      <c r="C285" t="s">
        <v>126</v>
      </c>
      <c r="D285" t="s">
        <v>741</v>
      </c>
      <c r="E285" t="s">
        <v>126</v>
      </c>
      <c r="F285">
        <v>0</v>
      </c>
      <c r="G285" t="s">
        <v>126</v>
      </c>
      <c r="H285" t="s">
        <v>126</v>
      </c>
      <c r="I285" t="s">
        <v>126</v>
      </c>
      <c r="J285" t="s">
        <v>126</v>
      </c>
      <c r="K285" t="s">
        <v>126</v>
      </c>
      <c r="L285" t="s">
        <v>126</v>
      </c>
      <c r="M285" t="s">
        <v>940</v>
      </c>
      <c r="N285" t="b">
        <v>0</v>
      </c>
    </row>
    <row r="286" spans="1:14">
      <c r="A286">
        <v>13</v>
      </c>
      <c r="B286">
        <v>24</v>
      </c>
      <c r="C286" t="s">
        <v>126</v>
      </c>
      <c r="D286" t="s">
        <v>741</v>
      </c>
      <c r="E286" t="s">
        <v>126</v>
      </c>
      <c r="F286">
        <v>0</v>
      </c>
      <c r="G286" t="s">
        <v>126</v>
      </c>
      <c r="H286" t="s">
        <v>126</v>
      </c>
      <c r="I286" t="s">
        <v>126</v>
      </c>
      <c r="J286" t="s">
        <v>126</v>
      </c>
      <c r="K286" t="s">
        <v>126</v>
      </c>
      <c r="L286" t="s">
        <v>126</v>
      </c>
      <c r="M286" t="s">
        <v>941</v>
      </c>
      <c r="N286" t="b">
        <v>0</v>
      </c>
    </row>
    <row r="287" spans="1:14">
      <c r="A287">
        <v>13</v>
      </c>
      <c r="B287">
        <v>25</v>
      </c>
      <c r="C287" t="s">
        <v>126</v>
      </c>
      <c r="D287" t="s">
        <v>741</v>
      </c>
      <c r="E287" t="s">
        <v>126</v>
      </c>
      <c r="F287">
        <v>0</v>
      </c>
      <c r="G287" t="s">
        <v>126</v>
      </c>
      <c r="H287" t="s">
        <v>126</v>
      </c>
      <c r="I287" t="s">
        <v>126</v>
      </c>
      <c r="J287" t="s">
        <v>126</v>
      </c>
      <c r="K287" t="s">
        <v>126</v>
      </c>
      <c r="L287" t="s">
        <v>126</v>
      </c>
      <c r="M287" t="s">
        <v>942</v>
      </c>
      <c r="N287" t="b">
        <v>0</v>
      </c>
    </row>
    <row r="288" spans="1:14">
      <c r="A288">
        <v>13</v>
      </c>
      <c r="B288">
        <v>26</v>
      </c>
      <c r="C288" t="s">
        <v>126</v>
      </c>
      <c r="D288" t="s">
        <v>741</v>
      </c>
      <c r="E288" t="s">
        <v>126</v>
      </c>
      <c r="F288">
        <v>0</v>
      </c>
      <c r="G288" t="s">
        <v>126</v>
      </c>
      <c r="H288" t="s">
        <v>126</v>
      </c>
      <c r="I288" t="s">
        <v>126</v>
      </c>
      <c r="J288" t="s">
        <v>126</v>
      </c>
      <c r="K288" t="s">
        <v>126</v>
      </c>
      <c r="L288" t="s">
        <v>126</v>
      </c>
      <c r="M288" t="s">
        <v>943</v>
      </c>
      <c r="N288" t="b">
        <v>0</v>
      </c>
    </row>
    <row r="289" spans="1:14">
      <c r="A289">
        <v>14</v>
      </c>
      <c r="B289">
        <v>0</v>
      </c>
      <c r="C289" t="s">
        <v>186</v>
      </c>
      <c r="D289" t="s">
        <v>724</v>
      </c>
      <c r="E289" t="s">
        <v>65</v>
      </c>
      <c r="F289">
        <v>50</v>
      </c>
      <c r="G289" t="s">
        <v>126</v>
      </c>
      <c r="H289" t="s">
        <v>126</v>
      </c>
      <c r="I289" t="s">
        <v>65</v>
      </c>
      <c r="J289" t="s">
        <v>126</v>
      </c>
      <c r="K289" t="s">
        <v>126</v>
      </c>
      <c r="L289" t="s">
        <v>126</v>
      </c>
      <c r="M289" t="s">
        <v>944</v>
      </c>
      <c r="N289" t="b">
        <v>0</v>
      </c>
    </row>
    <row r="290" spans="1:14">
      <c r="A290">
        <v>14</v>
      </c>
      <c r="B290">
        <v>1</v>
      </c>
      <c r="C290" t="s">
        <v>226</v>
      </c>
      <c r="D290" t="s">
        <v>724</v>
      </c>
      <c r="E290" t="s">
        <v>77</v>
      </c>
      <c r="F290">
        <v>50</v>
      </c>
      <c r="G290" t="s">
        <v>126</v>
      </c>
      <c r="H290" t="s">
        <v>126</v>
      </c>
      <c r="I290" t="s">
        <v>77</v>
      </c>
      <c r="J290" t="s">
        <v>126</v>
      </c>
      <c r="K290" t="s">
        <v>126</v>
      </c>
      <c r="L290" t="s">
        <v>126</v>
      </c>
      <c r="M290" t="s">
        <v>945</v>
      </c>
      <c r="N290" t="b">
        <v>0</v>
      </c>
    </row>
    <row r="291" spans="1:14">
      <c r="A291">
        <v>14</v>
      </c>
      <c r="B291">
        <v>2</v>
      </c>
      <c r="C291" t="s">
        <v>227</v>
      </c>
      <c r="D291" t="s">
        <v>724</v>
      </c>
      <c r="E291" t="s">
        <v>93</v>
      </c>
      <c r="F291">
        <v>60</v>
      </c>
      <c r="G291" t="s">
        <v>126</v>
      </c>
      <c r="H291" t="s">
        <v>126</v>
      </c>
      <c r="I291" t="s">
        <v>93</v>
      </c>
      <c r="J291" t="s">
        <v>126</v>
      </c>
      <c r="K291" t="s">
        <v>126</v>
      </c>
      <c r="L291" t="s">
        <v>126</v>
      </c>
      <c r="M291" t="s">
        <v>946</v>
      </c>
      <c r="N291" t="b">
        <v>0</v>
      </c>
    </row>
    <row r="292" spans="1:14">
      <c r="A292">
        <v>14</v>
      </c>
      <c r="B292">
        <v>3</v>
      </c>
      <c r="C292" t="s">
        <v>228</v>
      </c>
      <c r="D292" t="s">
        <v>724</v>
      </c>
      <c r="E292" t="s">
        <v>97</v>
      </c>
      <c r="F292">
        <v>40</v>
      </c>
      <c r="G292" t="s">
        <v>126</v>
      </c>
      <c r="H292" t="s">
        <v>126</v>
      </c>
      <c r="I292" t="s">
        <v>97</v>
      </c>
      <c r="J292" t="s">
        <v>126</v>
      </c>
      <c r="K292" t="s">
        <v>126</v>
      </c>
      <c r="L292" t="s">
        <v>126</v>
      </c>
      <c r="M292" t="s">
        <v>947</v>
      </c>
      <c r="N292" t="b">
        <v>0</v>
      </c>
    </row>
    <row r="293" spans="1:14">
      <c r="A293">
        <v>14</v>
      </c>
      <c r="B293">
        <v>4</v>
      </c>
      <c r="C293" t="s">
        <v>188</v>
      </c>
      <c r="D293" t="s">
        <v>724</v>
      </c>
      <c r="E293" t="s">
        <v>99</v>
      </c>
      <c r="F293">
        <v>50</v>
      </c>
      <c r="G293" t="s">
        <v>126</v>
      </c>
      <c r="H293" t="s">
        <v>126</v>
      </c>
      <c r="I293" t="s">
        <v>99</v>
      </c>
      <c r="J293" t="s">
        <v>126</v>
      </c>
      <c r="K293" t="s">
        <v>126</v>
      </c>
      <c r="L293" t="s">
        <v>126</v>
      </c>
      <c r="M293" t="s">
        <v>948</v>
      </c>
      <c r="N293" t="b">
        <v>0</v>
      </c>
    </row>
    <row r="294" spans="1:14">
      <c r="A294">
        <v>14</v>
      </c>
      <c r="B294">
        <v>5</v>
      </c>
      <c r="C294" t="s">
        <v>229</v>
      </c>
      <c r="D294" t="s">
        <v>724</v>
      </c>
      <c r="E294" t="s">
        <v>101</v>
      </c>
      <c r="F294">
        <v>40</v>
      </c>
      <c r="G294" t="s">
        <v>126</v>
      </c>
      <c r="H294" t="s">
        <v>126</v>
      </c>
      <c r="I294" t="s">
        <v>101</v>
      </c>
      <c r="J294" t="s">
        <v>126</v>
      </c>
      <c r="K294" t="s">
        <v>126</v>
      </c>
      <c r="L294" t="s">
        <v>126</v>
      </c>
      <c r="M294" t="s">
        <v>949</v>
      </c>
      <c r="N294" t="b">
        <v>0</v>
      </c>
    </row>
    <row r="295" spans="1:14">
      <c r="A295">
        <v>14</v>
      </c>
      <c r="B295">
        <v>6</v>
      </c>
      <c r="C295" t="s">
        <v>230</v>
      </c>
      <c r="D295" t="s">
        <v>724</v>
      </c>
      <c r="E295" t="s">
        <v>61</v>
      </c>
      <c r="F295">
        <v>20</v>
      </c>
      <c r="G295" t="s">
        <v>126</v>
      </c>
      <c r="H295" t="s">
        <v>126</v>
      </c>
      <c r="I295" t="s">
        <v>61</v>
      </c>
      <c r="J295" t="s">
        <v>126</v>
      </c>
      <c r="K295" t="s">
        <v>126</v>
      </c>
      <c r="L295" t="s">
        <v>126</v>
      </c>
      <c r="M295" t="s">
        <v>950</v>
      </c>
      <c r="N295" t="b">
        <v>0</v>
      </c>
    </row>
    <row r="296" spans="1:14">
      <c r="A296">
        <v>14</v>
      </c>
      <c r="B296">
        <v>7</v>
      </c>
      <c r="C296" t="s">
        <v>231</v>
      </c>
      <c r="D296" t="s">
        <v>724</v>
      </c>
      <c r="E296" t="s">
        <v>68</v>
      </c>
      <c r="F296">
        <v>40</v>
      </c>
      <c r="G296" t="s">
        <v>126</v>
      </c>
      <c r="H296" t="s">
        <v>126</v>
      </c>
      <c r="I296" t="s">
        <v>68</v>
      </c>
      <c r="J296" t="s">
        <v>126</v>
      </c>
      <c r="K296" t="s">
        <v>126</v>
      </c>
      <c r="L296" t="s">
        <v>126</v>
      </c>
      <c r="M296" t="s">
        <v>951</v>
      </c>
      <c r="N296" t="b">
        <v>0</v>
      </c>
    </row>
    <row r="297" spans="1:14">
      <c r="A297">
        <v>14</v>
      </c>
      <c r="B297">
        <v>8</v>
      </c>
      <c r="C297" t="s">
        <v>193</v>
      </c>
      <c r="D297" t="s">
        <v>724</v>
      </c>
      <c r="E297" t="s">
        <v>78</v>
      </c>
      <c r="F297">
        <v>50</v>
      </c>
      <c r="G297" t="s">
        <v>126</v>
      </c>
      <c r="H297" t="s">
        <v>126</v>
      </c>
      <c r="I297" t="s">
        <v>78</v>
      </c>
      <c r="J297" t="s">
        <v>126</v>
      </c>
      <c r="K297" t="s">
        <v>126</v>
      </c>
      <c r="L297" t="s">
        <v>126</v>
      </c>
      <c r="M297" t="s">
        <v>952</v>
      </c>
      <c r="N297" t="b">
        <v>0</v>
      </c>
    </row>
    <row r="298" spans="1:14">
      <c r="A298">
        <v>14</v>
      </c>
      <c r="B298">
        <v>9</v>
      </c>
      <c r="C298" t="s">
        <v>222</v>
      </c>
      <c r="D298" t="s">
        <v>724</v>
      </c>
      <c r="E298" t="s">
        <v>102</v>
      </c>
      <c r="F298">
        <v>50</v>
      </c>
      <c r="G298" t="s">
        <v>126</v>
      </c>
      <c r="H298" t="s">
        <v>126</v>
      </c>
      <c r="I298" t="s">
        <v>102</v>
      </c>
      <c r="J298" t="s">
        <v>126</v>
      </c>
      <c r="K298" t="s">
        <v>126</v>
      </c>
      <c r="L298" t="s">
        <v>126</v>
      </c>
      <c r="M298" t="s">
        <v>953</v>
      </c>
      <c r="N298" t="b">
        <v>0</v>
      </c>
    </row>
    <row r="299" spans="1:14">
      <c r="A299">
        <v>14</v>
      </c>
      <c r="B299">
        <v>10</v>
      </c>
      <c r="C299" t="s">
        <v>232</v>
      </c>
      <c r="D299" t="s">
        <v>724</v>
      </c>
      <c r="E299" t="s">
        <v>108</v>
      </c>
      <c r="F299">
        <v>50</v>
      </c>
      <c r="G299" t="s">
        <v>126</v>
      </c>
      <c r="H299" t="s">
        <v>126</v>
      </c>
      <c r="I299" t="s">
        <v>108</v>
      </c>
      <c r="J299" t="s">
        <v>126</v>
      </c>
      <c r="K299" t="s">
        <v>126</v>
      </c>
      <c r="L299" t="s">
        <v>126</v>
      </c>
      <c r="M299" t="s">
        <v>954</v>
      </c>
      <c r="N299" t="b">
        <v>0</v>
      </c>
    </row>
    <row r="300" spans="1:14">
      <c r="A300">
        <v>14</v>
      </c>
      <c r="B300">
        <v>11</v>
      </c>
      <c r="C300" t="s">
        <v>126</v>
      </c>
      <c r="D300" t="s">
        <v>724</v>
      </c>
      <c r="E300" t="s">
        <v>126</v>
      </c>
      <c r="F300">
        <v>0</v>
      </c>
      <c r="G300" t="s">
        <v>126</v>
      </c>
      <c r="H300" t="s">
        <v>126</v>
      </c>
      <c r="I300" t="s">
        <v>126</v>
      </c>
      <c r="J300" t="s">
        <v>126</v>
      </c>
      <c r="K300" t="s">
        <v>126</v>
      </c>
      <c r="L300" t="s">
        <v>126</v>
      </c>
      <c r="M300" t="s">
        <v>955</v>
      </c>
      <c r="N300" t="b">
        <v>0</v>
      </c>
    </row>
    <row r="301" spans="1:14">
      <c r="A301">
        <v>14</v>
      </c>
      <c r="B301">
        <v>12</v>
      </c>
      <c r="C301" t="s">
        <v>126</v>
      </c>
      <c r="D301" t="s">
        <v>724</v>
      </c>
      <c r="E301" t="s">
        <v>126</v>
      </c>
      <c r="F301">
        <v>0</v>
      </c>
      <c r="G301" t="s">
        <v>126</v>
      </c>
      <c r="H301" t="s">
        <v>126</v>
      </c>
      <c r="I301" t="s">
        <v>126</v>
      </c>
      <c r="J301" t="s">
        <v>126</v>
      </c>
      <c r="K301" t="s">
        <v>126</v>
      </c>
      <c r="L301" t="s">
        <v>126</v>
      </c>
      <c r="M301" t="s">
        <v>956</v>
      </c>
      <c r="N301" t="b">
        <v>0</v>
      </c>
    </row>
    <row r="302" spans="1:14">
      <c r="A302">
        <v>14</v>
      </c>
      <c r="B302">
        <v>13</v>
      </c>
      <c r="C302" t="s">
        <v>126</v>
      </c>
      <c r="D302" t="s">
        <v>724</v>
      </c>
      <c r="E302" t="s">
        <v>126</v>
      </c>
      <c r="F302">
        <v>0</v>
      </c>
      <c r="G302" t="s">
        <v>126</v>
      </c>
      <c r="H302" t="s">
        <v>126</v>
      </c>
      <c r="I302" t="s">
        <v>126</v>
      </c>
      <c r="J302" t="s">
        <v>126</v>
      </c>
      <c r="K302" t="s">
        <v>126</v>
      </c>
      <c r="L302" t="s">
        <v>126</v>
      </c>
      <c r="M302" t="s">
        <v>957</v>
      </c>
      <c r="N302" t="b">
        <v>0</v>
      </c>
    </row>
    <row r="303" spans="1:14">
      <c r="A303">
        <v>14</v>
      </c>
      <c r="B303">
        <v>14</v>
      </c>
      <c r="C303" t="s">
        <v>126</v>
      </c>
      <c r="D303" t="s">
        <v>724</v>
      </c>
      <c r="E303" t="s">
        <v>126</v>
      </c>
      <c r="F303">
        <v>0</v>
      </c>
      <c r="G303" t="s">
        <v>126</v>
      </c>
      <c r="H303" t="s">
        <v>126</v>
      </c>
      <c r="I303" t="s">
        <v>126</v>
      </c>
      <c r="J303" t="s">
        <v>126</v>
      </c>
      <c r="K303" t="s">
        <v>126</v>
      </c>
      <c r="L303" t="s">
        <v>126</v>
      </c>
      <c r="M303" t="s">
        <v>958</v>
      </c>
      <c r="N303" t="b">
        <v>0</v>
      </c>
    </row>
    <row r="304" spans="1:14">
      <c r="A304">
        <v>14</v>
      </c>
      <c r="B304">
        <v>15</v>
      </c>
      <c r="C304" t="s">
        <v>126</v>
      </c>
      <c r="D304" t="s">
        <v>724</v>
      </c>
      <c r="E304" t="s">
        <v>126</v>
      </c>
      <c r="F304">
        <v>0</v>
      </c>
      <c r="G304" t="s">
        <v>126</v>
      </c>
      <c r="H304" t="s">
        <v>126</v>
      </c>
      <c r="I304" t="s">
        <v>126</v>
      </c>
      <c r="J304" t="s">
        <v>126</v>
      </c>
      <c r="K304" t="s">
        <v>126</v>
      </c>
      <c r="L304" t="s">
        <v>126</v>
      </c>
      <c r="M304" t="s">
        <v>959</v>
      </c>
      <c r="N304" t="b">
        <v>0</v>
      </c>
    </row>
    <row r="305" spans="1:14">
      <c r="A305">
        <v>14</v>
      </c>
      <c r="B305">
        <v>16</v>
      </c>
      <c r="C305" t="s">
        <v>233</v>
      </c>
      <c r="D305" t="s">
        <v>741</v>
      </c>
      <c r="E305" t="s">
        <v>544</v>
      </c>
      <c r="F305">
        <v>40</v>
      </c>
      <c r="G305" t="s">
        <v>126</v>
      </c>
      <c r="H305" t="s">
        <v>562</v>
      </c>
      <c r="I305" t="s">
        <v>509</v>
      </c>
      <c r="J305" t="s">
        <v>126</v>
      </c>
      <c r="K305" t="s">
        <v>792</v>
      </c>
      <c r="L305" t="s">
        <v>793</v>
      </c>
      <c r="M305" t="s">
        <v>960</v>
      </c>
      <c r="N305" t="b">
        <v>0</v>
      </c>
    </row>
    <row r="306" spans="1:14">
      <c r="A306">
        <v>14</v>
      </c>
      <c r="B306">
        <v>17</v>
      </c>
      <c r="C306" t="s">
        <v>218</v>
      </c>
      <c r="D306" t="s">
        <v>741</v>
      </c>
      <c r="E306" t="s">
        <v>95</v>
      </c>
      <c r="F306">
        <v>40</v>
      </c>
      <c r="G306" t="s">
        <v>126</v>
      </c>
      <c r="H306" t="s">
        <v>126</v>
      </c>
      <c r="I306" t="s">
        <v>95</v>
      </c>
      <c r="J306" t="s">
        <v>126</v>
      </c>
      <c r="K306" t="s">
        <v>126</v>
      </c>
      <c r="L306" t="s">
        <v>126</v>
      </c>
      <c r="M306" t="s">
        <v>669</v>
      </c>
      <c r="N306" t="b">
        <v>0</v>
      </c>
    </row>
    <row r="307" spans="1:14">
      <c r="A307">
        <v>14</v>
      </c>
      <c r="B307">
        <v>18</v>
      </c>
      <c r="C307" t="s">
        <v>234</v>
      </c>
      <c r="D307" t="s">
        <v>741</v>
      </c>
      <c r="E307" t="s">
        <v>96</v>
      </c>
      <c r="F307">
        <v>50</v>
      </c>
      <c r="G307" t="s">
        <v>126</v>
      </c>
      <c r="H307" t="s">
        <v>126</v>
      </c>
      <c r="I307" t="s">
        <v>96</v>
      </c>
      <c r="J307" t="s">
        <v>126</v>
      </c>
      <c r="K307" t="s">
        <v>126</v>
      </c>
      <c r="L307" t="s">
        <v>126</v>
      </c>
      <c r="M307" t="s">
        <v>961</v>
      </c>
      <c r="N307" t="b">
        <v>0</v>
      </c>
    </row>
    <row r="308" spans="1:14">
      <c r="A308">
        <v>14</v>
      </c>
      <c r="B308">
        <v>19</v>
      </c>
      <c r="C308" t="s">
        <v>160</v>
      </c>
      <c r="D308" t="s">
        <v>741</v>
      </c>
      <c r="E308" t="s">
        <v>297</v>
      </c>
      <c r="F308">
        <v>40</v>
      </c>
      <c r="G308" t="s">
        <v>760</v>
      </c>
      <c r="H308" t="s">
        <v>126</v>
      </c>
      <c r="I308" t="s">
        <v>126</v>
      </c>
      <c r="J308" t="s">
        <v>761</v>
      </c>
      <c r="K308" t="s">
        <v>762</v>
      </c>
      <c r="L308" t="s">
        <v>763</v>
      </c>
      <c r="M308" t="s">
        <v>962</v>
      </c>
      <c r="N308" t="b">
        <v>0</v>
      </c>
    </row>
    <row r="309" spans="1:14">
      <c r="A309">
        <v>14</v>
      </c>
      <c r="B309">
        <v>20</v>
      </c>
      <c r="C309" t="s">
        <v>212</v>
      </c>
      <c r="D309" t="s">
        <v>741</v>
      </c>
      <c r="E309" t="s">
        <v>109</v>
      </c>
      <c r="F309">
        <v>40</v>
      </c>
      <c r="G309" t="s">
        <v>126</v>
      </c>
      <c r="H309" t="s">
        <v>126</v>
      </c>
      <c r="I309" t="s">
        <v>109</v>
      </c>
      <c r="J309" t="s">
        <v>126</v>
      </c>
      <c r="K309" t="s">
        <v>126</v>
      </c>
      <c r="L309" t="s">
        <v>126</v>
      </c>
      <c r="M309" t="s">
        <v>963</v>
      </c>
      <c r="N309" t="b">
        <v>0</v>
      </c>
    </row>
    <row r="310" spans="1:14">
      <c r="A310">
        <v>14</v>
      </c>
      <c r="B310">
        <v>21</v>
      </c>
      <c r="C310" t="s">
        <v>166</v>
      </c>
      <c r="D310" t="s">
        <v>741</v>
      </c>
      <c r="E310" t="s">
        <v>115</v>
      </c>
      <c r="F310">
        <v>50</v>
      </c>
      <c r="G310" t="s">
        <v>126</v>
      </c>
      <c r="H310" t="s">
        <v>126</v>
      </c>
      <c r="I310" t="s">
        <v>115</v>
      </c>
      <c r="J310" t="s">
        <v>126</v>
      </c>
      <c r="K310" t="s">
        <v>126</v>
      </c>
      <c r="L310" t="s">
        <v>126</v>
      </c>
      <c r="M310" t="s">
        <v>964</v>
      </c>
      <c r="N310" t="b">
        <v>0</v>
      </c>
    </row>
    <row r="311" spans="1:14">
      <c r="A311">
        <v>14</v>
      </c>
      <c r="B311">
        <v>22</v>
      </c>
      <c r="C311" t="s">
        <v>167</v>
      </c>
      <c r="D311" t="s">
        <v>741</v>
      </c>
      <c r="E311" t="s">
        <v>74</v>
      </c>
      <c r="F311">
        <v>50</v>
      </c>
      <c r="G311" t="s">
        <v>126</v>
      </c>
      <c r="H311" t="s">
        <v>126</v>
      </c>
      <c r="I311" t="s">
        <v>74</v>
      </c>
      <c r="J311" t="s">
        <v>126</v>
      </c>
      <c r="K311" t="s">
        <v>126</v>
      </c>
      <c r="L311" t="s">
        <v>126</v>
      </c>
      <c r="M311" t="s">
        <v>965</v>
      </c>
      <c r="N311" t="b">
        <v>0</v>
      </c>
    </row>
    <row r="312" spans="1:14">
      <c r="A312">
        <v>14</v>
      </c>
      <c r="B312">
        <v>23</v>
      </c>
      <c r="C312" t="s">
        <v>235</v>
      </c>
      <c r="D312" t="s">
        <v>741</v>
      </c>
      <c r="E312" t="s">
        <v>76</v>
      </c>
      <c r="F312">
        <v>50</v>
      </c>
      <c r="G312" t="s">
        <v>126</v>
      </c>
      <c r="H312" t="s">
        <v>126</v>
      </c>
      <c r="I312" t="s">
        <v>76</v>
      </c>
      <c r="J312" t="s">
        <v>126</v>
      </c>
      <c r="K312" t="s">
        <v>126</v>
      </c>
      <c r="L312" t="s">
        <v>126</v>
      </c>
      <c r="M312" t="s">
        <v>966</v>
      </c>
      <c r="N312" t="b">
        <v>0</v>
      </c>
    </row>
    <row r="313" spans="1:14">
      <c r="A313">
        <v>14</v>
      </c>
      <c r="B313">
        <v>24</v>
      </c>
      <c r="C313" t="s">
        <v>213</v>
      </c>
      <c r="D313" t="s">
        <v>741</v>
      </c>
      <c r="E313" t="s">
        <v>84</v>
      </c>
      <c r="F313">
        <v>40</v>
      </c>
      <c r="G313" t="s">
        <v>126</v>
      </c>
      <c r="H313" t="s">
        <v>126</v>
      </c>
      <c r="I313" t="s">
        <v>84</v>
      </c>
      <c r="J313" t="s">
        <v>126</v>
      </c>
      <c r="K313" t="s">
        <v>126</v>
      </c>
      <c r="L313" t="s">
        <v>126</v>
      </c>
      <c r="M313" t="s">
        <v>967</v>
      </c>
      <c r="N313" t="b">
        <v>0</v>
      </c>
    </row>
    <row r="314" spans="1:14">
      <c r="A314">
        <v>14</v>
      </c>
      <c r="B314">
        <v>25</v>
      </c>
      <c r="C314" t="s">
        <v>126</v>
      </c>
      <c r="D314" t="s">
        <v>741</v>
      </c>
      <c r="E314" t="s">
        <v>126</v>
      </c>
      <c r="F314">
        <v>0</v>
      </c>
      <c r="G314" t="s">
        <v>126</v>
      </c>
      <c r="H314" t="s">
        <v>126</v>
      </c>
      <c r="I314" t="s">
        <v>126</v>
      </c>
      <c r="J314" t="s">
        <v>126</v>
      </c>
      <c r="K314" t="s">
        <v>126</v>
      </c>
      <c r="L314" t="s">
        <v>126</v>
      </c>
      <c r="M314" t="s">
        <v>968</v>
      </c>
      <c r="N314" t="b">
        <v>0</v>
      </c>
    </row>
    <row r="315" spans="1:14">
      <c r="A315">
        <v>14</v>
      </c>
      <c r="B315">
        <v>26</v>
      </c>
      <c r="C315" t="s">
        <v>126</v>
      </c>
      <c r="D315" t="s">
        <v>741</v>
      </c>
      <c r="E315" t="s">
        <v>126</v>
      </c>
      <c r="F315">
        <v>0</v>
      </c>
      <c r="G315" t="s">
        <v>126</v>
      </c>
      <c r="H315" t="s">
        <v>126</v>
      </c>
      <c r="I315" t="s">
        <v>126</v>
      </c>
      <c r="J315" t="s">
        <v>126</v>
      </c>
      <c r="K315" t="s">
        <v>126</v>
      </c>
      <c r="L315" t="s">
        <v>126</v>
      </c>
      <c r="M315" t="s">
        <v>969</v>
      </c>
      <c r="N315" t="b">
        <v>0</v>
      </c>
    </row>
    <row r="316" spans="1:14">
      <c r="A316">
        <v>15</v>
      </c>
      <c r="B316">
        <v>0</v>
      </c>
      <c r="C316" t="s">
        <v>186</v>
      </c>
      <c r="D316" t="s">
        <v>724</v>
      </c>
      <c r="E316" t="s">
        <v>65</v>
      </c>
      <c r="F316">
        <v>50</v>
      </c>
      <c r="G316" t="s">
        <v>126</v>
      </c>
      <c r="H316" t="s">
        <v>126</v>
      </c>
      <c r="I316" t="s">
        <v>65</v>
      </c>
      <c r="J316" t="s">
        <v>126</v>
      </c>
      <c r="K316" t="s">
        <v>126</v>
      </c>
      <c r="L316" t="s">
        <v>126</v>
      </c>
      <c r="M316" t="s">
        <v>970</v>
      </c>
      <c r="N316" t="b">
        <v>0</v>
      </c>
    </row>
    <row r="317" spans="1:14">
      <c r="A317">
        <v>15</v>
      </c>
      <c r="B317">
        <v>1</v>
      </c>
      <c r="C317" t="s">
        <v>217</v>
      </c>
      <c r="D317" t="s">
        <v>724</v>
      </c>
      <c r="E317" t="s">
        <v>77</v>
      </c>
      <c r="F317">
        <v>60</v>
      </c>
      <c r="G317" t="s">
        <v>126</v>
      </c>
      <c r="H317" t="s">
        <v>126</v>
      </c>
      <c r="I317" t="s">
        <v>77</v>
      </c>
      <c r="J317" t="s">
        <v>126</v>
      </c>
      <c r="K317" t="s">
        <v>126</v>
      </c>
      <c r="L317" t="s">
        <v>126</v>
      </c>
      <c r="M317" t="s">
        <v>971</v>
      </c>
      <c r="N317" t="b">
        <v>0</v>
      </c>
    </row>
    <row r="318" spans="1:14">
      <c r="A318">
        <v>15</v>
      </c>
      <c r="B318">
        <v>2</v>
      </c>
      <c r="C318" t="s">
        <v>238</v>
      </c>
      <c r="D318" t="s">
        <v>724</v>
      </c>
      <c r="E318" t="s">
        <v>544</v>
      </c>
      <c r="F318">
        <v>40</v>
      </c>
      <c r="G318" t="s">
        <v>126</v>
      </c>
      <c r="H318" t="s">
        <v>547</v>
      </c>
      <c r="I318" t="s">
        <v>508</v>
      </c>
      <c r="J318" t="s">
        <v>126</v>
      </c>
      <c r="K318" t="s">
        <v>792</v>
      </c>
      <c r="L318" t="s">
        <v>793</v>
      </c>
      <c r="M318" t="s">
        <v>972</v>
      </c>
      <c r="N318" t="b">
        <v>0</v>
      </c>
    </row>
    <row r="319" spans="1:14">
      <c r="A319">
        <v>15</v>
      </c>
      <c r="B319">
        <v>3</v>
      </c>
      <c r="C319" t="s">
        <v>239</v>
      </c>
      <c r="D319" t="s">
        <v>724</v>
      </c>
      <c r="E319" t="s">
        <v>544</v>
      </c>
      <c r="F319">
        <v>40</v>
      </c>
      <c r="G319" t="s">
        <v>126</v>
      </c>
      <c r="H319" t="s">
        <v>557</v>
      </c>
      <c r="I319" t="s">
        <v>486</v>
      </c>
      <c r="J319" t="s">
        <v>126</v>
      </c>
      <c r="K319" t="s">
        <v>795</v>
      </c>
      <c r="L319" t="s">
        <v>796</v>
      </c>
      <c r="M319" t="s">
        <v>973</v>
      </c>
      <c r="N319" t="b">
        <v>0</v>
      </c>
    </row>
    <row r="320" spans="1:14">
      <c r="A320">
        <v>15</v>
      </c>
      <c r="B320">
        <v>4</v>
      </c>
      <c r="C320" t="s">
        <v>240</v>
      </c>
      <c r="D320" t="s">
        <v>724</v>
      </c>
      <c r="E320" t="s">
        <v>95</v>
      </c>
      <c r="F320">
        <v>50</v>
      </c>
      <c r="G320" t="s">
        <v>126</v>
      </c>
      <c r="H320" t="s">
        <v>126</v>
      </c>
      <c r="I320" t="s">
        <v>95</v>
      </c>
      <c r="J320" t="s">
        <v>126</v>
      </c>
      <c r="K320" t="s">
        <v>126</v>
      </c>
      <c r="L320" t="s">
        <v>126</v>
      </c>
      <c r="M320" t="s">
        <v>974</v>
      </c>
      <c r="N320" t="b">
        <v>0</v>
      </c>
    </row>
    <row r="321" spans="1:14">
      <c r="A321">
        <v>15</v>
      </c>
      <c r="B321">
        <v>5</v>
      </c>
      <c r="C321" t="s">
        <v>188</v>
      </c>
      <c r="D321" t="s">
        <v>724</v>
      </c>
      <c r="E321" t="s">
        <v>99</v>
      </c>
      <c r="F321">
        <v>50</v>
      </c>
      <c r="G321" t="s">
        <v>126</v>
      </c>
      <c r="H321" t="s">
        <v>126</v>
      </c>
      <c r="I321" t="s">
        <v>99</v>
      </c>
      <c r="J321" t="s">
        <v>126</v>
      </c>
      <c r="K321" t="s">
        <v>126</v>
      </c>
      <c r="L321" t="s">
        <v>126</v>
      </c>
      <c r="M321" t="s">
        <v>975</v>
      </c>
      <c r="N321" t="b">
        <v>0</v>
      </c>
    </row>
    <row r="322" spans="1:14">
      <c r="A322">
        <v>15</v>
      </c>
      <c r="B322">
        <v>6</v>
      </c>
      <c r="C322" t="s">
        <v>241</v>
      </c>
      <c r="D322" t="s">
        <v>724</v>
      </c>
      <c r="E322" t="s">
        <v>103</v>
      </c>
      <c r="F322">
        <v>50</v>
      </c>
      <c r="G322" t="s">
        <v>126</v>
      </c>
      <c r="H322" t="s">
        <v>126</v>
      </c>
      <c r="I322" t="s">
        <v>103</v>
      </c>
      <c r="J322" t="s">
        <v>126</v>
      </c>
      <c r="K322" t="s">
        <v>126</v>
      </c>
      <c r="L322" t="s">
        <v>126</v>
      </c>
      <c r="M322" t="s">
        <v>976</v>
      </c>
      <c r="N322" t="b">
        <v>0</v>
      </c>
    </row>
    <row r="323" spans="1:14">
      <c r="A323">
        <v>15</v>
      </c>
      <c r="B323">
        <v>7</v>
      </c>
      <c r="C323" t="s">
        <v>212</v>
      </c>
      <c r="D323" t="s">
        <v>724</v>
      </c>
      <c r="E323" t="s">
        <v>109</v>
      </c>
      <c r="F323">
        <v>40</v>
      </c>
      <c r="G323" t="s">
        <v>126</v>
      </c>
      <c r="H323" t="s">
        <v>126</v>
      </c>
      <c r="I323" t="s">
        <v>109</v>
      </c>
      <c r="J323" t="s">
        <v>126</v>
      </c>
      <c r="K323" t="s">
        <v>126</v>
      </c>
      <c r="L323" t="s">
        <v>126</v>
      </c>
      <c r="M323" t="s">
        <v>977</v>
      </c>
      <c r="N323" t="b">
        <v>0</v>
      </c>
    </row>
    <row r="324" spans="1:14">
      <c r="A324">
        <v>15</v>
      </c>
      <c r="B324">
        <v>8</v>
      </c>
      <c r="C324" t="s">
        <v>181</v>
      </c>
      <c r="D324" t="s">
        <v>724</v>
      </c>
      <c r="E324" t="s">
        <v>112</v>
      </c>
      <c r="F324">
        <v>50</v>
      </c>
      <c r="G324" t="s">
        <v>126</v>
      </c>
      <c r="H324" t="s">
        <v>126</v>
      </c>
      <c r="I324" t="s">
        <v>112</v>
      </c>
      <c r="J324" t="s">
        <v>126</v>
      </c>
      <c r="K324" t="s">
        <v>126</v>
      </c>
      <c r="L324" t="s">
        <v>126</v>
      </c>
      <c r="M324" t="s">
        <v>978</v>
      </c>
      <c r="N324" t="b">
        <v>0</v>
      </c>
    </row>
    <row r="325" spans="1:14">
      <c r="A325">
        <v>15</v>
      </c>
      <c r="B325">
        <v>9</v>
      </c>
      <c r="C325" t="s">
        <v>167</v>
      </c>
      <c r="D325" t="s">
        <v>724</v>
      </c>
      <c r="E325" t="s">
        <v>74</v>
      </c>
      <c r="F325">
        <v>50</v>
      </c>
      <c r="G325" t="s">
        <v>126</v>
      </c>
      <c r="H325" t="s">
        <v>126</v>
      </c>
      <c r="I325" t="s">
        <v>74</v>
      </c>
      <c r="J325" t="s">
        <v>126</v>
      </c>
      <c r="K325" t="s">
        <v>126</v>
      </c>
      <c r="L325" t="s">
        <v>126</v>
      </c>
      <c r="M325" t="s">
        <v>979</v>
      </c>
      <c r="N325" t="b">
        <v>0</v>
      </c>
    </row>
    <row r="326" spans="1:14">
      <c r="A326">
        <v>15</v>
      </c>
      <c r="B326">
        <v>10</v>
      </c>
      <c r="C326" t="s">
        <v>205</v>
      </c>
      <c r="D326" t="s">
        <v>724</v>
      </c>
      <c r="E326" t="s">
        <v>98</v>
      </c>
      <c r="F326">
        <v>40</v>
      </c>
      <c r="G326" t="s">
        <v>126</v>
      </c>
      <c r="H326" t="s">
        <v>126</v>
      </c>
      <c r="I326" t="s">
        <v>98</v>
      </c>
      <c r="J326" t="s">
        <v>126</v>
      </c>
      <c r="K326" t="s">
        <v>126</v>
      </c>
      <c r="L326" t="s">
        <v>126</v>
      </c>
      <c r="M326" t="s">
        <v>980</v>
      </c>
      <c r="N326" t="b">
        <v>0</v>
      </c>
    </row>
    <row r="327" spans="1:14">
      <c r="A327">
        <v>15</v>
      </c>
      <c r="B327">
        <v>11</v>
      </c>
      <c r="C327" t="s">
        <v>126</v>
      </c>
      <c r="D327" t="s">
        <v>724</v>
      </c>
      <c r="E327" t="s">
        <v>126</v>
      </c>
      <c r="F327">
        <v>0</v>
      </c>
      <c r="G327" t="s">
        <v>126</v>
      </c>
      <c r="H327" t="s">
        <v>126</v>
      </c>
      <c r="I327" t="s">
        <v>126</v>
      </c>
      <c r="J327" t="s">
        <v>126</v>
      </c>
      <c r="K327" t="s">
        <v>126</v>
      </c>
      <c r="L327" t="s">
        <v>126</v>
      </c>
      <c r="M327" t="s">
        <v>981</v>
      </c>
      <c r="N327" t="b">
        <v>0</v>
      </c>
    </row>
    <row r="328" spans="1:14">
      <c r="A328">
        <v>15</v>
      </c>
      <c r="B328">
        <v>12</v>
      </c>
      <c r="C328" t="s">
        <v>126</v>
      </c>
      <c r="D328" t="s">
        <v>724</v>
      </c>
      <c r="E328" t="s">
        <v>126</v>
      </c>
      <c r="F328">
        <v>0</v>
      </c>
      <c r="G328" t="s">
        <v>126</v>
      </c>
      <c r="H328" t="s">
        <v>126</v>
      </c>
      <c r="I328" t="s">
        <v>126</v>
      </c>
      <c r="J328" t="s">
        <v>126</v>
      </c>
      <c r="K328" t="s">
        <v>126</v>
      </c>
      <c r="L328" t="s">
        <v>126</v>
      </c>
      <c r="M328" t="s">
        <v>982</v>
      </c>
      <c r="N328" t="b">
        <v>0</v>
      </c>
    </row>
    <row r="329" spans="1:14">
      <c r="A329">
        <v>15</v>
      </c>
      <c r="B329">
        <v>13</v>
      </c>
      <c r="C329" t="s">
        <v>126</v>
      </c>
      <c r="D329" t="s">
        <v>724</v>
      </c>
      <c r="E329" t="s">
        <v>126</v>
      </c>
      <c r="F329">
        <v>0</v>
      </c>
      <c r="G329" t="s">
        <v>126</v>
      </c>
      <c r="H329" t="s">
        <v>126</v>
      </c>
      <c r="I329" t="s">
        <v>126</v>
      </c>
      <c r="J329" t="s">
        <v>126</v>
      </c>
      <c r="K329" t="s">
        <v>126</v>
      </c>
      <c r="L329" t="s">
        <v>126</v>
      </c>
      <c r="M329" t="s">
        <v>983</v>
      </c>
      <c r="N329" t="b">
        <v>0</v>
      </c>
    </row>
    <row r="330" spans="1:14">
      <c r="A330">
        <v>15</v>
      </c>
      <c r="B330">
        <v>14</v>
      </c>
      <c r="C330" t="s">
        <v>126</v>
      </c>
      <c r="D330" t="s">
        <v>724</v>
      </c>
      <c r="E330" t="s">
        <v>126</v>
      </c>
      <c r="F330">
        <v>0</v>
      </c>
      <c r="G330" t="s">
        <v>126</v>
      </c>
      <c r="H330" t="s">
        <v>126</v>
      </c>
      <c r="I330" t="s">
        <v>126</v>
      </c>
      <c r="J330" t="s">
        <v>126</v>
      </c>
      <c r="K330" t="s">
        <v>126</v>
      </c>
      <c r="L330" t="s">
        <v>126</v>
      </c>
      <c r="M330" t="s">
        <v>984</v>
      </c>
      <c r="N330" t="b">
        <v>0</v>
      </c>
    </row>
    <row r="331" spans="1:14">
      <c r="A331">
        <v>15</v>
      </c>
      <c r="B331">
        <v>15</v>
      </c>
      <c r="C331" t="s">
        <v>126</v>
      </c>
      <c r="D331" t="s">
        <v>724</v>
      </c>
      <c r="E331" t="s">
        <v>126</v>
      </c>
      <c r="F331">
        <v>0</v>
      </c>
      <c r="G331" t="s">
        <v>126</v>
      </c>
      <c r="H331" t="s">
        <v>126</v>
      </c>
      <c r="I331" t="s">
        <v>126</v>
      </c>
      <c r="J331" t="s">
        <v>126</v>
      </c>
      <c r="K331" t="s">
        <v>126</v>
      </c>
      <c r="L331" t="s">
        <v>126</v>
      </c>
      <c r="M331" t="s">
        <v>985</v>
      </c>
      <c r="N331" t="b">
        <v>0</v>
      </c>
    </row>
    <row r="332" spans="1:14">
      <c r="A332">
        <v>15</v>
      </c>
      <c r="B332">
        <v>16</v>
      </c>
      <c r="C332" t="s">
        <v>126</v>
      </c>
      <c r="D332" t="s">
        <v>741</v>
      </c>
      <c r="E332" t="s">
        <v>126</v>
      </c>
      <c r="F332">
        <v>0</v>
      </c>
      <c r="G332" t="s">
        <v>126</v>
      </c>
      <c r="H332" t="s">
        <v>126</v>
      </c>
      <c r="I332" t="s">
        <v>126</v>
      </c>
      <c r="J332" t="s">
        <v>126</v>
      </c>
      <c r="K332" t="s">
        <v>126</v>
      </c>
      <c r="L332" t="s">
        <v>126</v>
      </c>
      <c r="M332" t="s">
        <v>986</v>
      </c>
      <c r="N332" t="b">
        <v>0</v>
      </c>
    </row>
    <row r="333" spans="1:14">
      <c r="A333">
        <v>15</v>
      </c>
      <c r="B333">
        <v>17</v>
      </c>
      <c r="C333" t="s">
        <v>126</v>
      </c>
      <c r="D333" t="s">
        <v>741</v>
      </c>
      <c r="E333" t="s">
        <v>126</v>
      </c>
      <c r="F333">
        <v>0</v>
      </c>
      <c r="G333" t="s">
        <v>126</v>
      </c>
      <c r="H333" t="s">
        <v>126</v>
      </c>
      <c r="I333" t="s">
        <v>126</v>
      </c>
      <c r="J333" t="s">
        <v>126</v>
      </c>
      <c r="K333" t="s">
        <v>126</v>
      </c>
      <c r="L333" t="s">
        <v>126</v>
      </c>
      <c r="M333" t="s">
        <v>671</v>
      </c>
      <c r="N333" t="b">
        <v>0</v>
      </c>
    </row>
    <row r="334" spans="1:14">
      <c r="A334">
        <v>15</v>
      </c>
      <c r="B334">
        <v>18</v>
      </c>
      <c r="C334" t="s">
        <v>126</v>
      </c>
      <c r="D334" t="s">
        <v>741</v>
      </c>
      <c r="E334" t="s">
        <v>126</v>
      </c>
      <c r="F334">
        <v>0</v>
      </c>
      <c r="G334" t="s">
        <v>126</v>
      </c>
      <c r="H334" t="s">
        <v>126</v>
      </c>
      <c r="I334" t="s">
        <v>126</v>
      </c>
      <c r="J334" t="s">
        <v>126</v>
      </c>
      <c r="K334" t="s">
        <v>126</v>
      </c>
      <c r="L334" t="s">
        <v>126</v>
      </c>
      <c r="M334" t="s">
        <v>987</v>
      </c>
      <c r="N334" t="b">
        <v>0</v>
      </c>
    </row>
    <row r="335" spans="1:14">
      <c r="A335">
        <v>15</v>
      </c>
      <c r="B335">
        <v>19</v>
      </c>
      <c r="C335" t="s">
        <v>126</v>
      </c>
      <c r="D335" t="s">
        <v>741</v>
      </c>
      <c r="E335" t="s">
        <v>126</v>
      </c>
      <c r="F335">
        <v>0</v>
      </c>
      <c r="G335" t="s">
        <v>126</v>
      </c>
      <c r="H335" t="s">
        <v>126</v>
      </c>
      <c r="I335" t="s">
        <v>126</v>
      </c>
      <c r="J335" t="s">
        <v>126</v>
      </c>
      <c r="K335" t="s">
        <v>126</v>
      </c>
      <c r="L335" t="s">
        <v>126</v>
      </c>
      <c r="M335" t="s">
        <v>988</v>
      </c>
      <c r="N335" t="b">
        <v>0</v>
      </c>
    </row>
    <row r="336" spans="1:14">
      <c r="A336">
        <v>15</v>
      </c>
      <c r="B336">
        <v>20</v>
      </c>
      <c r="C336" t="s">
        <v>126</v>
      </c>
      <c r="D336" t="s">
        <v>741</v>
      </c>
      <c r="E336" t="s">
        <v>126</v>
      </c>
      <c r="F336">
        <v>0</v>
      </c>
      <c r="G336" t="s">
        <v>126</v>
      </c>
      <c r="H336" t="s">
        <v>126</v>
      </c>
      <c r="I336" t="s">
        <v>126</v>
      </c>
      <c r="J336" t="s">
        <v>126</v>
      </c>
      <c r="K336" t="s">
        <v>126</v>
      </c>
      <c r="L336" t="s">
        <v>126</v>
      </c>
      <c r="M336" t="s">
        <v>989</v>
      </c>
      <c r="N336" t="b">
        <v>0</v>
      </c>
    </row>
    <row r="337" spans="1:14">
      <c r="A337">
        <v>15</v>
      </c>
      <c r="B337">
        <v>21</v>
      </c>
      <c r="C337" t="s">
        <v>126</v>
      </c>
      <c r="D337" t="s">
        <v>741</v>
      </c>
      <c r="E337" t="s">
        <v>126</v>
      </c>
      <c r="F337">
        <v>0</v>
      </c>
      <c r="G337" t="s">
        <v>126</v>
      </c>
      <c r="H337" t="s">
        <v>126</v>
      </c>
      <c r="I337" t="s">
        <v>126</v>
      </c>
      <c r="J337" t="s">
        <v>126</v>
      </c>
      <c r="K337" t="s">
        <v>126</v>
      </c>
      <c r="L337" t="s">
        <v>126</v>
      </c>
      <c r="M337" t="s">
        <v>990</v>
      </c>
      <c r="N337" t="b">
        <v>0</v>
      </c>
    </row>
    <row r="338" spans="1:14">
      <c r="A338">
        <v>15</v>
      </c>
      <c r="B338">
        <v>22</v>
      </c>
      <c r="C338" t="s">
        <v>126</v>
      </c>
      <c r="D338" t="s">
        <v>741</v>
      </c>
      <c r="E338" t="s">
        <v>126</v>
      </c>
      <c r="F338">
        <v>0</v>
      </c>
      <c r="G338" t="s">
        <v>126</v>
      </c>
      <c r="H338" t="s">
        <v>126</v>
      </c>
      <c r="I338" t="s">
        <v>126</v>
      </c>
      <c r="J338" t="s">
        <v>126</v>
      </c>
      <c r="K338" t="s">
        <v>126</v>
      </c>
      <c r="L338" t="s">
        <v>126</v>
      </c>
      <c r="M338" t="s">
        <v>991</v>
      </c>
      <c r="N338" t="b">
        <v>0</v>
      </c>
    </row>
    <row r="339" spans="1:14">
      <c r="A339">
        <v>15</v>
      </c>
      <c r="B339">
        <v>23</v>
      </c>
      <c r="C339" t="s">
        <v>126</v>
      </c>
      <c r="D339" t="s">
        <v>741</v>
      </c>
      <c r="E339" t="s">
        <v>126</v>
      </c>
      <c r="F339">
        <v>0</v>
      </c>
      <c r="G339" t="s">
        <v>126</v>
      </c>
      <c r="H339" t="s">
        <v>126</v>
      </c>
      <c r="I339" t="s">
        <v>126</v>
      </c>
      <c r="J339" t="s">
        <v>126</v>
      </c>
      <c r="K339" t="s">
        <v>126</v>
      </c>
      <c r="L339" t="s">
        <v>126</v>
      </c>
      <c r="M339" t="s">
        <v>992</v>
      </c>
      <c r="N339" t="b">
        <v>0</v>
      </c>
    </row>
    <row r="340" spans="1:14">
      <c r="A340">
        <v>15</v>
      </c>
      <c r="B340">
        <v>24</v>
      </c>
      <c r="C340" t="s">
        <v>126</v>
      </c>
      <c r="D340" t="s">
        <v>741</v>
      </c>
      <c r="E340" t="s">
        <v>126</v>
      </c>
      <c r="F340">
        <v>0</v>
      </c>
      <c r="G340" t="s">
        <v>126</v>
      </c>
      <c r="H340" t="s">
        <v>126</v>
      </c>
      <c r="I340" t="s">
        <v>126</v>
      </c>
      <c r="J340" t="s">
        <v>126</v>
      </c>
      <c r="K340" t="s">
        <v>126</v>
      </c>
      <c r="L340" t="s">
        <v>126</v>
      </c>
      <c r="M340" t="s">
        <v>993</v>
      </c>
      <c r="N340" t="b">
        <v>0</v>
      </c>
    </row>
    <row r="341" spans="1:14">
      <c r="A341">
        <v>15</v>
      </c>
      <c r="B341">
        <v>25</v>
      </c>
      <c r="C341" t="s">
        <v>126</v>
      </c>
      <c r="D341" t="s">
        <v>741</v>
      </c>
      <c r="E341" t="s">
        <v>126</v>
      </c>
      <c r="F341">
        <v>0</v>
      </c>
      <c r="G341" t="s">
        <v>126</v>
      </c>
      <c r="H341" t="s">
        <v>126</v>
      </c>
      <c r="I341" t="s">
        <v>126</v>
      </c>
      <c r="J341" t="s">
        <v>126</v>
      </c>
      <c r="K341" t="s">
        <v>126</v>
      </c>
      <c r="L341" t="s">
        <v>126</v>
      </c>
      <c r="M341" t="s">
        <v>994</v>
      </c>
      <c r="N341" t="b">
        <v>0</v>
      </c>
    </row>
    <row r="342" spans="1:14">
      <c r="A342">
        <v>15</v>
      </c>
      <c r="B342">
        <v>26</v>
      </c>
      <c r="C342" t="s">
        <v>126</v>
      </c>
      <c r="D342" t="s">
        <v>741</v>
      </c>
      <c r="E342" t="s">
        <v>126</v>
      </c>
      <c r="F342">
        <v>0</v>
      </c>
      <c r="G342" t="s">
        <v>126</v>
      </c>
      <c r="H342" t="s">
        <v>126</v>
      </c>
      <c r="I342" t="s">
        <v>126</v>
      </c>
      <c r="J342" t="s">
        <v>126</v>
      </c>
      <c r="K342" t="s">
        <v>126</v>
      </c>
      <c r="L342" t="s">
        <v>126</v>
      </c>
      <c r="M342" t="s">
        <v>995</v>
      </c>
      <c r="N342" t="b">
        <v>0</v>
      </c>
    </row>
    <row r="343" spans="1:14">
      <c r="A343">
        <v>16</v>
      </c>
      <c r="B343">
        <v>0</v>
      </c>
      <c r="C343" t="s">
        <v>244</v>
      </c>
      <c r="D343" t="s">
        <v>724</v>
      </c>
      <c r="E343" t="s">
        <v>60</v>
      </c>
      <c r="F343">
        <v>40</v>
      </c>
      <c r="G343" t="s">
        <v>126</v>
      </c>
      <c r="H343" t="s">
        <v>126</v>
      </c>
      <c r="I343" t="s">
        <v>60</v>
      </c>
      <c r="J343" t="s">
        <v>126</v>
      </c>
      <c r="K343" t="s">
        <v>126</v>
      </c>
      <c r="L343" t="s">
        <v>126</v>
      </c>
      <c r="M343" t="s">
        <v>996</v>
      </c>
      <c r="N343" t="b">
        <v>0</v>
      </c>
    </row>
    <row r="344" spans="1:14">
      <c r="A344">
        <v>16</v>
      </c>
      <c r="B344">
        <v>1</v>
      </c>
      <c r="C344" t="s">
        <v>164</v>
      </c>
      <c r="D344" t="s">
        <v>724</v>
      </c>
      <c r="E344" t="s">
        <v>67</v>
      </c>
      <c r="F344">
        <v>40</v>
      </c>
      <c r="G344" t="s">
        <v>126</v>
      </c>
      <c r="H344" t="s">
        <v>126</v>
      </c>
      <c r="I344" t="s">
        <v>67</v>
      </c>
      <c r="J344" t="s">
        <v>126</v>
      </c>
      <c r="K344" t="s">
        <v>126</v>
      </c>
      <c r="L344" t="s">
        <v>126</v>
      </c>
      <c r="M344" t="s">
        <v>997</v>
      </c>
      <c r="N344" t="b">
        <v>0</v>
      </c>
    </row>
    <row r="345" spans="1:14">
      <c r="A345">
        <v>16</v>
      </c>
      <c r="B345">
        <v>2</v>
      </c>
      <c r="C345" t="s">
        <v>245</v>
      </c>
      <c r="D345" t="s">
        <v>724</v>
      </c>
      <c r="E345" t="s">
        <v>83</v>
      </c>
      <c r="F345">
        <v>60</v>
      </c>
      <c r="G345" t="s">
        <v>126</v>
      </c>
      <c r="H345" t="s">
        <v>126</v>
      </c>
      <c r="I345" t="s">
        <v>83</v>
      </c>
      <c r="J345" t="s">
        <v>126</v>
      </c>
      <c r="K345" t="s">
        <v>126</v>
      </c>
      <c r="L345" t="s">
        <v>126</v>
      </c>
      <c r="M345" t="s">
        <v>998</v>
      </c>
      <c r="N345" t="b">
        <v>0</v>
      </c>
    </row>
    <row r="346" spans="1:14">
      <c r="A346">
        <v>16</v>
      </c>
      <c r="B346">
        <v>3</v>
      </c>
      <c r="C346" t="s">
        <v>159</v>
      </c>
      <c r="D346" t="s">
        <v>753</v>
      </c>
      <c r="E346" t="s">
        <v>297</v>
      </c>
      <c r="F346">
        <v>50</v>
      </c>
      <c r="G346" t="s">
        <v>760</v>
      </c>
      <c r="H346" t="s">
        <v>126</v>
      </c>
      <c r="I346" t="s">
        <v>126</v>
      </c>
      <c r="J346" t="s">
        <v>761</v>
      </c>
      <c r="K346" t="s">
        <v>762</v>
      </c>
      <c r="L346" t="s">
        <v>763</v>
      </c>
      <c r="M346" t="s">
        <v>999</v>
      </c>
      <c r="N346" t="b">
        <v>0</v>
      </c>
    </row>
    <row r="347" spans="1:14">
      <c r="A347">
        <v>16</v>
      </c>
      <c r="B347">
        <v>4</v>
      </c>
      <c r="C347" t="s">
        <v>159</v>
      </c>
      <c r="D347" t="s">
        <v>753</v>
      </c>
      <c r="E347" t="s">
        <v>297</v>
      </c>
      <c r="F347">
        <v>50</v>
      </c>
      <c r="G347" t="s">
        <v>760</v>
      </c>
      <c r="H347" t="s">
        <v>126</v>
      </c>
      <c r="I347" t="s">
        <v>126</v>
      </c>
      <c r="J347" t="s">
        <v>761</v>
      </c>
      <c r="K347" t="s">
        <v>765</v>
      </c>
      <c r="L347" t="s">
        <v>766</v>
      </c>
      <c r="M347" t="s">
        <v>1000</v>
      </c>
      <c r="N347" t="b">
        <v>0</v>
      </c>
    </row>
    <row r="348" spans="1:14">
      <c r="A348">
        <v>16</v>
      </c>
      <c r="B348">
        <v>5</v>
      </c>
      <c r="C348" t="s">
        <v>160</v>
      </c>
      <c r="D348" t="s">
        <v>753</v>
      </c>
      <c r="E348" t="s">
        <v>297</v>
      </c>
      <c r="F348">
        <v>40</v>
      </c>
      <c r="G348" t="s">
        <v>760</v>
      </c>
      <c r="H348" t="s">
        <v>126</v>
      </c>
      <c r="I348" t="s">
        <v>126</v>
      </c>
      <c r="J348" t="s">
        <v>761</v>
      </c>
      <c r="K348" t="s">
        <v>1001</v>
      </c>
      <c r="L348" t="s">
        <v>1002</v>
      </c>
      <c r="M348" t="s">
        <v>1003</v>
      </c>
      <c r="N348" t="b">
        <v>0</v>
      </c>
    </row>
    <row r="349" spans="1:14">
      <c r="A349">
        <v>16</v>
      </c>
      <c r="B349">
        <v>6</v>
      </c>
      <c r="C349" t="s">
        <v>246</v>
      </c>
      <c r="D349" t="s">
        <v>724</v>
      </c>
      <c r="E349" t="s">
        <v>114</v>
      </c>
      <c r="F349">
        <v>40</v>
      </c>
      <c r="G349" t="s">
        <v>126</v>
      </c>
      <c r="H349" t="s">
        <v>126</v>
      </c>
      <c r="I349" t="s">
        <v>114</v>
      </c>
      <c r="J349" t="s">
        <v>126</v>
      </c>
      <c r="K349" t="s">
        <v>126</v>
      </c>
      <c r="L349" t="s">
        <v>126</v>
      </c>
      <c r="M349" t="s">
        <v>1004</v>
      </c>
      <c r="N349" t="b">
        <v>0</v>
      </c>
    </row>
    <row r="350" spans="1:14">
      <c r="A350">
        <v>16</v>
      </c>
      <c r="B350">
        <v>7</v>
      </c>
      <c r="C350" t="s">
        <v>166</v>
      </c>
      <c r="D350" t="s">
        <v>724</v>
      </c>
      <c r="E350" t="s">
        <v>115</v>
      </c>
      <c r="F350">
        <v>50</v>
      </c>
      <c r="G350" t="s">
        <v>126</v>
      </c>
      <c r="H350" t="s">
        <v>126</v>
      </c>
      <c r="I350" t="s">
        <v>115</v>
      </c>
      <c r="J350" t="s">
        <v>126</v>
      </c>
      <c r="K350" t="s">
        <v>126</v>
      </c>
      <c r="L350" t="s">
        <v>126</v>
      </c>
      <c r="M350" t="s">
        <v>1005</v>
      </c>
      <c r="N350" t="b">
        <v>0</v>
      </c>
    </row>
    <row r="351" spans="1:14">
      <c r="A351">
        <v>16</v>
      </c>
      <c r="B351">
        <v>8</v>
      </c>
      <c r="C351" t="s">
        <v>182</v>
      </c>
      <c r="D351" t="s">
        <v>724</v>
      </c>
      <c r="E351" t="s">
        <v>61</v>
      </c>
      <c r="F351">
        <v>40</v>
      </c>
      <c r="G351" t="s">
        <v>126</v>
      </c>
      <c r="H351" t="s">
        <v>126</v>
      </c>
      <c r="I351" t="s">
        <v>61</v>
      </c>
      <c r="J351" t="s">
        <v>126</v>
      </c>
      <c r="K351" t="s">
        <v>126</v>
      </c>
      <c r="L351" t="s">
        <v>126</v>
      </c>
      <c r="M351" t="s">
        <v>1006</v>
      </c>
      <c r="N351" t="b">
        <v>0</v>
      </c>
    </row>
    <row r="352" spans="1:14">
      <c r="A352">
        <v>16</v>
      </c>
      <c r="B352">
        <v>9</v>
      </c>
      <c r="C352" t="s">
        <v>193</v>
      </c>
      <c r="D352" t="s">
        <v>724</v>
      </c>
      <c r="E352" t="s">
        <v>78</v>
      </c>
      <c r="F352">
        <v>50</v>
      </c>
      <c r="G352" t="s">
        <v>126</v>
      </c>
      <c r="H352" t="s">
        <v>126</v>
      </c>
      <c r="I352" t="s">
        <v>78</v>
      </c>
      <c r="J352" t="s">
        <v>126</v>
      </c>
      <c r="K352" t="s">
        <v>126</v>
      </c>
      <c r="L352" t="s">
        <v>126</v>
      </c>
      <c r="M352" t="s">
        <v>1007</v>
      </c>
      <c r="N352" t="b">
        <v>0</v>
      </c>
    </row>
    <row r="353" spans="1:14">
      <c r="A353">
        <v>16</v>
      </c>
      <c r="B353">
        <v>10</v>
      </c>
      <c r="C353" t="s">
        <v>126</v>
      </c>
      <c r="D353" t="s">
        <v>724</v>
      </c>
      <c r="E353" t="s">
        <v>126</v>
      </c>
      <c r="F353">
        <v>0</v>
      </c>
      <c r="G353" t="s">
        <v>126</v>
      </c>
      <c r="H353" t="s">
        <v>126</v>
      </c>
      <c r="I353" t="s">
        <v>126</v>
      </c>
      <c r="J353" t="s">
        <v>126</v>
      </c>
      <c r="K353" t="s">
        <v>126</v>
      </c>
      <c r="L353" t="s">
        <v>126</v>
      </c>
      <c r="M353" t="s">
        <v>1008</v>
      </c>
      <c r="N353" t="b">
        <v>0</v>
      </c>
    </row>
    <row r="354" spans="1:14">
      <c r="A354">
        <v>16</v>
      </c>
      <c r="B354">
        <v>11</v>
      </c>
      <c r="C354" t="s">
        <v>126</v>
      </c>
      <c r="D354" t="s">
        <v>724</v>
      </c>
      <c r="E354" t="s">
        <v>126</v>
      </c>
      <c r="F354">
        <v>0</v>
      </c>
      <c r="G354" t="s">
        <v>126</v>
      </c>
      <c r="H354" t="s">
        <v>126</v>
      </c>
      <c r="I354" t="s">
        <v>126</v>
      </c>
      <c r="J354" t="s">
        <v>126</v>
      </c>
      <c r="K354" t="s">
        <v>126</v>
      </c>
      <c r="L354" t="s">
        <v>126</v>
      </c>
      <c r="M354" t="s">
        <v>1009</v>
      </c>
      <c r="N354" t="b">
        <v>0</v>
      </c>
    </row>
    <row r="355" spans="1:14">
      <c r="A355">
        <v>16</v>
      </c>
      <c r="B355">
        <v>12</v>
      </c>
      <c r="C355" t="s">
        <v>126</v>
      </c>
      <c r="D355" t="s">
        <v>724</v>
      </c>
      <c r="E355" t="s">
        <v>126</v>
      </c>
      <c r="F355">
        <v>0</v>
      </c>
      <c r="G355" t="s">
        <v>126</v>
      </c>
      <c r="H355" t="s">
        <v>126</v>
      </c>
      <c r="I355" t="s">
        <v>126</v>
      </c>
      <c r="J355" t="s">
        <v>126</v>
      </c>
      <c r="K355" t="s">
        <v>126</v>
      </c>
      <c r="L355" t="s">
        <v>126</v>
      </c>
      <c r="M355" t="s">
        <v>1010</v>
      </c>
      <c r="N355" t="b">
        <v>0</v>
      </c>
    </row>
    <row r="356" spans="1:14">
      <c r="A356">
        <v>16</v>
      </c>
      <c r="B356">
        <v>13</v>
      </c>
      <c r="C356" t="s">
        <v>126</v>
      </c>
      <c r="D356" t="s">
        <v>724</v>
      </c>
      <c r="E356" t="s">
        <v>126</v>
      </c>
      <c r="F356">
        <v>0</v>
      </c>
      <c r="G356" t="s">
        <v>126</v>
      </c>
      <c r="H356" t="s">
        <v>126</v>
      </c>
      <c r="I356" t="s">
        <v>126</v>
      </c>
      <c r="J356" t="s">
        <v>126</v>
      </c>
      <c r="K356" t="s">
        <v>126</v>
      </c>
      <c r="L356" t="s">
        <v>126</v>
      </c>
      <c r="M356" t="s">
        <v>1011</v>
      </c>
      <c r="N356" t="b">
        <v>0</v>
      </c>
    </row>
    <row r="357" spans="1:14">
      <c r="A357">
        <v>16</v>
      </c>
      <c r="B357">
        <v>14</v>
      </c>
      <c r="C357" t="s">
        <v>126</v>
      </c>
      <c r="D357" t="s">
        <v>724</v>
      </c>
      <c r="E357" t="s">
        <v>126</v>
      </c>
      <c r="F357">
        <v>0</v>
      </c>
      <c r="G357" t="s">
        <v>126</v>
      </c>
      <c r="H357" t="s">
        <v>126</v>
      </c>
      <c r="I357" t="s">
        <v>126</v>
      </c>
      <c r="J357" t="s">
        <v>126</v>
      </c>
      <c r="K357" t="s">
        <v>126</v>
      </c>
      <c r="L357" t="s">
        <v>126</v>
      </c>
      <c r="M357" t="s">
        <v>1012</v>
      </c>
      <c r="N357" t="b">
        <v>0</v>
      </c>
    </row>
    <row r="358" spans="1:14">
      <c r="A358">
        <v>16</v>
      </c>
      <c r="B358">
        <v>15</v>
      </c>
      <c r="C358" t="s">
        <v>126</v>
      </c>
      <c r="D358" t="s">
        <v>724</v>
      </c>
      <c r="E358" t="s">
        <v>126</v>
      </c>
      <c r="F358">
        <v>0</v>
      </c>
      <c r="G358" t="s">
        <v>126</v>
      </c>
      <c r="H358" t="s">
        <v>126</v>
      </c>
      <c r="I358" t="s">
        <v>126</v>
      </c>
      <c r="J358" t="s">
        <v>126</v>
      </c>
      <c r="K358" t="s">
        <v>126</v>
      </c>
      <c r="L358" t="s">
        <v>126</v>
      </c>
      <c r="M358" t="s">
        <v>1013</v>
      </c>
      <c r="N358" t="b">
        <v>0</v>
      </c>
    </row>
    <row r="359" spans="1:14">
      <c r="A359">
        <v>16</v>
      </c>
      <c r="B359">
        <v>16</v>
      </c>
      <c r="C359" t="s">
        <v>126</v>
      </c>
      <c r="D359" t="s">
        <v>741</v>
      </c>
      <c r="E359" t="s">
        <v>126</v>
      </c>
      <c r="F359">
        <v>0</v>
      </c>
      <c r="G359" t="s">
        <v>126</v>
      </c>
      <c r="H359" t="s">
        <v>126</v>
      </c>
      <c r="I359" t="s">
        <v>126</v>
      </c>
      <c r="J359" t="s">
        <v>126</v>
      </c>
      <c r="K359" t="s">
        <v>126</v>
      </c>
      <c r="L359" t="s">
        <v>126</v>
      </c>
      <c r="M359" t="s">
        <v>1014</v>
      </c>
      <c r="N359" t="b">
        <v>0</v>
      </c>
    </row>
    <row r="360" spans="1:14">
      <c r="A360">
        <v>16</v>
      </c>
      <c r="B360">
        <v>17</v>
      </c>
      <c r="C360" t="s">
        <v>126</v>
      </c>
      <c r="D360" t="s">
        <v>741</v>
      </c>
      <c r="E360" t="s">
        <v>126</v>
      </c>
      <c r="F360">
        <v>0</v>
      </c>
      <c r="G360" t="s">
        <v>126</v>
      </c>
      <c r="H360" t="s">
        <v>126</v>
      </c>
      <c r="I360" t="s">
        <v>126</v>
      </c>
      <c r="J360" t="s">
        <v>126</v>
      </c>
      <c r="K360" t="s">
        <v>126</v>
      </c>
      <c r="L360" t="s">
        <v>126</v>
      </c>
      <c r="M360" t="s">
        <v>673</v>
      </c>
      <c r="N360" t="b">
        <v>0</v>
      </c>
    </row>
    <row r="361" spans="1:14">
      <c r="A361">
        <v>16</v>
      </c>
      <c r="B361">
        <v>18</v>
      </c>
      <c r="C361" t="s">
        <v>126</v>
      </c>
      <c r="D361" t="s">
        <v>741</v>
      </c>
      <c r="E361" t="s">
        <v>126</v>
      </c>
      <c r="F361">
        <v>0</v>
      </c>
      <c r="G361" t="s">
        <v>126</v>
      </c>
      <c r="H361" t="s">
        <v>126</v>
      </c>
      <c r="I361" t="s">
        <v>126</v>
      </c>
      <c r="J361" t="s">
        <v>126</v>
      </c>
      <c r="K361" t="s">
        <v>126</v>
      </c>
      <c r="L361" t="s">
        <v>126</v>
      </c>
      <c r="M361" t="s">
        <v>1015</v>
      </c>
      <c r="N361" t="b">
        <v>0</v>
      </c>
    </row>
    <row r="362" spans="1:14">
      <c r="A362">
        <v>16</v>
      </c>
      <c r="B362">
        <v>19</v>
      </c>
      <c r="C362" t="s">
        <v>126</v>
      </c>
      <c r="D362" t="s">
        <v>741</v>
      </c>
      <c r="E362" t="s">
        <v>126</v>
      </c>
      <c r="F362">
        <v>0</v>
      </c>
      <c r="G362" t="s">
        <v>126</v>
      </c>
      <c r="H362" t="s">
        <v>126</v>
      </c>
      <c r="I362" t="s">
        <v>126</v>
      </c>
      <c r="J362" t="s">
        <v>126</v>
      </c>
      <c r="K362" t="s">
        <v>126</v>
      </c>
      <c r="L362" t="s">
        <v>126</v>
      </c>
      <c r="M362" t="s">
        <v>1016</v>
      </c>
      <c r="N362" t="b">
        <v>0</v>
      </c>
    </row>
    <row r="363" spans="1:14">
      <c r="A363">
        <v>16</v>
      </c>
      <c r="B363">
        <v>20</v>
      </c>
      <c r="C363" t="s">
        <v>126</v>
      </c>
      <c r="D363" t="s">
        <v>741</v>
      </c>
      <c r="E363" t="s">
        <v>126</v>
      </c>
      <c r="F363">
        <v>0</v>
      </c>
      <c r="G363" t="s">
        <v>126</v>
      </c>
      <c r="H363" t="s">
        <v>126</v>
      </c>
      <c r="I363" t="s">
        <v>126</v>
      </c>
      <c r="J363" t="s">
        <v>126</v>
      </c>
      <c r="K363" t="s">
        <v>126</v>
      </c>
      <c r="L363" t="s">
        <v>126</v>
      </c>
      <c r="M363" t="s">
        <v>1017</v>
      </c>
      <c r="N363" t="b">
        <v>0</v>
      </c>
    </row>
    <row r="364" spans="1:14">
      <c r="A364">
        <v>16</v>
      </c>
      <c r="B364">
        <v>21</v>
      </c>
      <c r="C364" t="s">
        <v>126</v>
      </c>
      <c r="D364" t="s">
        <v>741</v>
      </c>
      <c r="E364" t="s">
        <v>126</v>
      </c>
      <c r="F364">
        <v>0</v>
      </c>
      <c r="G364" t="s">
        <v>126</v>
      </c>
      <c r="H364" t="s">
        <v>126</v>
      </c>
      <c r="I364" t="s">
        <v>126</v>
      </c>
      <c r="J364" t="s">
        <v>126</v>
      </c>
      <c r="K364" t="s">
        <v>126</v>
      </c>
      <c r="L364" t="s">
        <v>126</v>
      </c>
      <c r="M364" t="s">
        <v>1018</v>
      </c>
      <c r="N364" t="b">
        <v>0</v>
      </c>
    </row>
    <row r="365" spans="1:14">
      <c r="A365">
        <v>16</v>
      </c>
      <c r="B365">
        <v>22</v>
      </c>
      <c r="C365" t="s">
        <v>126</v>
      </c>
      <c r="D365" t="s">
        <v>741</v>
      </c>
      <c r="E365" t="s">
        <v>126</v>
      </c>
      <c r="F365">
        <v>0</v>
      </c>
      <c r="G365" t="s">
        <v>126</v>
      </c>
      <c r="H365" t="s">
        <v>126</v>
      </c>
      <c r="I365" t="s">
        <v>126</v>
      </c>
      <c r="J365" t="s">
        <v>126</v>
      </c>
      <c r="K365" t="s">
        <v>126</v>
      </c>
      <c r="L365" t="s">
        <v>126</v>
      </c>
      <c r="M365" t="s">
        <v>1019</v>
      </c>
      <c r="N365" t="b">
        <v>0</v>
      </c>
    </row>
    <row r="366" spans="1:14">
      <c r="A366">
        <v>16</v>
      </c>
      <c r="B366">
        <v>23</v>
      </c>
      <c r="C366" t="s">
        <v>126</v>
      </c>
      <c r="D366" t="s">
        <v>741</v>
      </c>
      <c r="E366" t="s">
        <v>126</v>
      </c>
      <c r="F366">
        <v>0</v>
      </c>
      <c r="G366" t="s">
        <v>126</v>
      </c>
      <c r="H366" t="s">
        <v>126</v>
      </c>
      <c r="I366" t="s">
        <v>126</v>
      </c>
      <c r="J366" t="s">
        <v>126</v>
      </c>
      <c r="K366" t="s">
        <v>126</v>
      </c>
      <c r="L366" t="s">
        <v>126</v>
      </c>
      <c r="M366" t="s">
        <v>1020</v>
      </c>
      <c r="N366" t="b">
        <v>0</v>
      </c>
    </row>
    <row r="367" spans="1:14">
      <c r="A367">
        <v>16</v>
      </c>
      <c r="B367">
        <v>24</v>
      </c>
      <c r="C367" t="s">
        <v>126</v>
      </c>
      <c r="D367" t="s">
        <v>741</v>
      </c>
      <c r="E367" t="s">
        <v>126</v>
      </c>
      <c r="F367">
        <v>0</v>
      </c>
      <c r="G367" t="s">
        <v>126</v>
      </c>
      <c r="H367" t="s">
        <v>126</v>
      </c>
      <c r="I367" t="s">
        <v>126</v>
      </c>
      <c r="J367" t="s">
        <v>126</v>
      </c>
      <c r="K367" t="s">
        <v>126</v>
      </c>
      <c r="L367" t="s">
        <v>126</v>
      </c>
      <c r="M367" t="s">
        <v>1021</v>
      </c>
      <c r="N367" t="b">
        <v>0</v>
      </c>
    </row>
    <row r="368" spans="1:14">
      <c r="A368">
        <v>16</v>
      </c>
      <c r="B368">
        <v>25</v>
      </c>
      <c r="C368" t="s">
        <v>126</v>
      </c>
      <c r="D368" t="s">
        <v>741</v>
      </c>
      <c r="E368" t="s">
        <v>126</v>
      </c>
      <c r="F368">
        <v>0</v>
      </c>
      <c r="G368" t="s">
        <v>126</v>
      </c>
      <c r="H368" t="s">
        <v>126</v>
      </c>
      <c r="I368" t="s">
        <v>126</v>
      </c>
      <c r="J368" t="s">
        <v>126</v>
      </c>
      <c r="K368" t="s">
        <v>126</v>
      </c>
      <c r="L368" t="s">
        <v>126</v>
      </c>
      <c r="M368" t="s">
        <v>1022</v>
      </c>
      <c r="N368" t="b">
        <v>0</v>
      </c>
    </row>
    <row r="369" spans="1:14">
      <c r="A369">
        <v>16</v>
      </c>
      <c r="B369">
        <v>26</v>
      </c>
      <c r="C369" t="s">
        <v>126</v>
      </c>
      <c r="D369" t="s">
        <v>741</v>
      </c>
      <c r="E369" t="s">
        <v>126</v>
      </c>
      <c r="F369">
        <v>0</v>
      </c>
      <c r="G369" t="s">
        <v>126</v>
      </c>
      <c r="H369" t="s">
        <v>126</v>
      </c>
      <c r="I369" t="s">
        <v>126</v>
      </c>
      <c r="J369" t="s">
        <v>126</v>
      </c>
      <c r="K369" t="s">
        <v>126</v>
      </c>
      <c r="L369" t="s">
        <v>126</v>
      </c>
      <c r="M369" t="s">
        <v>1023</v>
      </c>
      <c r="N369" t="b">
        <v>0</v>
      </c>
    </row>
    <row r="370" spans="1:14">
      <c r="A370">
        <v>17</v>
      </c>
      <c r="B370">
        <v>0</v>
      </c>
      <c r="C370" t="s">
        <v>164</v>
      </c>
      <c r="D370" t="s">
        <v>724</v>
      </c>
      <c r="E370" t="s">
        <v>67</v>
      </c>
      <c r="F370">
        <v>40</v>
      </c>
      <c r="G370" t="s">
        <v>126</v>
      </c>
      <c r="H370" t="s">
        <v>126</v>
      </c>
      <c r="I370" t="s">
        <v>67</v>
      </c>
      <c r="J370" t="s">
        <v>126</v>
      </c>
      <c r="K370" t="s">
        <v>126</v>
      </c>
      <c r="L370" t="s">
        <v>126</v>
      </c>
      <c r="M370" t="s">
        <v>1024</v>
      </c>
      <c r="N370" t="b">
        <v>0</v>
      </c>
    </row>
    <row r="371" spans="1:14">
      <c r="A371">
        <v>17</v>
      </c>
      <c r="B371">
        <v>1</v>
      </c>
      <c r="C371" t="s">
        <v>179</v>
      </c>
      <c r="D371" t="s">
        <v>724</v>
      </c>
      <c r="E371" t="s">
        <v>83</v>
      </c>
      <c r="F371">
        <v>50</v>
      </c>
      <c r="G371" t="s">
        <v>126</v>
      </c>
      <c r="H371" t="s">
        <v>126</v>
      </c>
      <c r="I371" t="s">
        <v>83</v>
      </c>
      <c r="J371" t="s">
        <v>126</v>
      </c>
      <c r="K371" t="s">
        <v>126</v>
      </c>
      <c r="L371" t="s">
        <v>126</v>
      </c>
      <c r="M371" t="s">
        <v>1025</v>
      </c>
      <c r="N371" t="b">
        <v>0</v>
      </c>
    </row>
    <row r="372" spans="1:14">
      <c r="A372">
        <v>17</v>
      </c>
      <c r="B372">
        <v>2</v>
      </c>
      <c r="C372" t="s">
        <v>210</v>
      </c>
      <c r="D372" t="s">
        <v>724</v>
      </c>
      <c r="E372" t="s">
        <v>87</v>
      </c>
      <c r="F372">
        <v>40</v>
      </c>
      <c r="G372" t="s">
        <v>126</v>
      </c>
      <c r="H372" t="s">
        <v>126</v>
      </c>
      <c r="I372" t="s">
        <v>87</v>
      </c>
      <c r="J372" t="s">
        <v>126</v>
      </c>
      <c r="K372" t="s">
        <v>126</v>
      </c>
      <c r="L372" t="s">
        <v>126</v>
      </c>
      <c r="M372" t="s">
        <v>1026</v>
      </c>
      <c r="N372" t="b">
        <v>0</v>
      </c>
    </row>
    <row r="373" spans="1:14">
      <c r="A373">
        <v>17</v>
      </c>
      <c r="B373">
        <v>3</v>
      </c>
      <c r="C373" t="s">
        <v>248</v>
      </c>
      <c r="D373" t="s">
        <v>724</v>
      </c>
      <c r="E373" t="s">
        <v>93</v>
      </c>
      <c r="F373">
        <v>40</v>
      </c>
      <c r="G373" t="s">
        <v>126</v>
      </c>
      <c r="H373" t="s">
        <v>126</v>
      </c>
      <c r="I373" t="s">
        <v>93</v>
      </c>
      <c r="J373" t="s">
        <v>126</v>
      </c>
      <c r="K373" t="s">
        <v>126</v>
      </c>
      <c r="L373" t="s">
        <v>126</v>
      </c>
      <c r="M373" t="s">
        <v>1027</v>
      </c>
      <c r="N373" t="b">
        <v>0</v>
      </c>
    </row>
    <row r="374" spans="1:14">
      <c r="A374">
        <v>17</v>
      </c>
      <c r="B374">
        <v>4</v>
      </c>
      <c r="C374" t="s">
        <v>159</v>
      </c>
      <c r="D374" t="s">
        <v>753</v>
      </c>
      <c r="E374" t="s">
        <v>297</v>
      </c>
      <c r="F374">
        <v>50</v>
      </c>
      <c r="G374" t="s">
        <v>760</v>
      </c>
      <c r="H374" t="s">
        <v>126</v>
      </c>
      <c r="I374" t="s">
        <v>126</v>
      </c>
      <c r="J374" t="s">
        <v>761</v>
      </c>
      <c r="K374" t="s">
        <v>762</v>
      </c>
      <c r="L374" t="s">
        <v>763</v>
      </c>
      <c r="M374" t="s">
        <v>1028</v>
      </c>
      <c r="N374" t="b">
        <v>0</v>
      </c>
    </row>
    <row r="375" spans="1:14">
      <c r="A375">
        <v>17</v>
      </c>
      <c r="B375">
        <v>5</v>
      </c>
      <c r="C375" t="s">
        <v>159</v>
      </c>
      <c r="D375" t="s">
        <v>753</v>
      </c>
      <c r="E375" t="s">
        <v>297</v>
      </c>
      <c r="F375">
        <v>50</v>
      </c>
      <c r="G375" t="s">
        <v>760</v>
      </c>
      <c r="H375" t="s">
        <v>126</v>
      </c>
      <c r="I375" t="s">
        <v>126</v>
      </c>
      <c r="J375" t="s">
        <v>761</v>
      </c>
      <c r="K375" t="s">
        <v>765</v>
      </c>
      <c r="L375" t="s">
        <v>766</v>
      </c>
      <c r="M375" t="s">
        <v>1029</v>
      </c>
      <c r="N375" t="b">
        <v>0</v>
      </c>
    </row>
    <row r="376" spans="1:14">
      <c r="A376">
        <v>17</v>
      </c>
      <c r="B376">
        <v>6</v>
      </c>
      <c r="C376" t="s">
        <v>160</v>
      </c>
      <c r="D376" t="s">
        <v>753</v>
      </c>
      <c r="E376" t="s">
        <v>297</v>
      </c>
      <c r="F376">
        <v>40</v>
      </c>
      <c r="G376" t="s">
        <v>760</v>
      </c>
      <c r="H376" t="s">
        <v>126</v>
      </c>
      <c r="I376" t="s">
        <v>126</v>
      </c>
      <c r="J376" t="s">
        <v>761</v>
      </c>
      <c r="K376" t="s">
        <v>1001</v>
      </c>
      <c r="L376" t="s">
        <v>1002</v>
      </c>
      <c r="M376" t="s">
        <v>1030</v>
      </c>
      <c r="N376" t="b">
        <v>0</v>
      </c>
    </row>
    <row r="377" spans="1:14">
      <c r="A377">
        <v>17</v>
      </c>
      <c r="B377">
        <v>7</v>
      </c>
      <c r="C377" t="s">
        <v>246</v>
      </c>
      <c r="D377" t="s">
        <v>724</v>
      </c>
      <c r="E377" t="s">
        <v>114</v>
      </c>
      <c r="F377">
        <v>40</v>
      </c>
      <c r="G377" t="s">
        <v>126</v>
      </c>
      <c r="H377" t="s">
        <v>126</v>
      </c>
      <c r="I377" t="s">
        <v>114</v>
      </c>
      <c r="J377" t="s">
        <v>126</v>
      </c>
      <c r="K377" t="s">
        <v>126</v>
      </c>
      <c r="L377" t="s">
        <v>126</v>
      </c>
      <c r="M377" t="s">
        <v>1031</v>
      </c>
      <c r="N377" t="b">
        <v>0</v>
      </c>
    </row>
    <row r="378" spans="1:14">
      <c r="A378">
        <v>17</v>
      </c>
      <c r="B378">
        <v>8</v>
      </c>
      <c r="C378" t="s">
        <v>166</v>
      </c>
      <c r="D378" t="s">
        <v>724</v>
      </c>
      <c r="E378" t="s">
        <v>115</v>
      </c>
      <c r="F378">
        <v>50</v>
      </c>
      <c r="G378" t="s">
        <v>126</v>
      </c>
      <c r="H378" t="s">
        <v>126</v>
      </c>
      <c r="I378" t="s">
        <v>115</v>
      </c>
      <c r="J378" t="s">
        <v>126</v>
      </c>
      <c r="K378" t="s">
        <v>126</v>
      </c>
      <c r="L378" t="s">
        <v>126</v>
      </c>
      <c r="M378" t="s">
        <v>1032</v>
      </c>
      <c r="N378" t="b">
        <v>0</v>
      </c>
    </row>
    <row r="379" spans="1:14">
      <c r="A379">
        <v>17</v>
      </c>
      <c r="B379">
        <v>9</v>
      </c>
      <c r="C379" t="s">
        <v>177</v>
      </c>
      <c r="D379" t="s">
        <v>724</v>
      </c>
      <c r="E379" t="s">
        <v>100</v>
      </c>
      <c r="F379">
        <v>40</v>
      </c>
      <c r="G379" t="s">
        <v>126</v>
      </c>
      <c r="H379" t="s">
        <v>126</v>
      </c>
      <c r="I379" t="s">
        <v>100</v>
      </c>
      <c r="J379" t="s">
        <v>126</v>
      </c>
      <c r="K379" t="s">
        <v>126</v>
      </c>
      <c r="L379" t="s">
        <v>126</v>
      </c>
      <c r="M379" t="s">
        <v>1033</v>
      </c>
      <c r="N379" t="b">
        <v>0</v>
      </c>
    </row>
    <row r="380" spans="1:14">
      <c r="A380">
        <v>17</v>
      </c>
      <c r="B380">
        <v>10</v>
      </c>
      <c r="C380" t="s">
        <v>126</v>
      </c>
      <c r="D380" t="s">
        <v>724</v>
      </c>
      <c r="E380" t="s">
        <v>126</v>
      </c>
      <c r="F380">
        <v>0</v>
      </c>
      <c r="G380" t="s">
        <v>126</v>
      </c>
      <c r="H380" t="s">
        <v>126</v>
      </c>
      <c r="I380" t="s">
        <v>126</v>
      </c>
      <c r="J380" t="s">
        <v>126</v>
      </c>
      <c r="K380" t="s">
        <v>126</v>
      </c>
      <c r="L380" t="s">
        <v>126</v>
      </c>
      <c r="M380" t="s">
        <v>1034</v>
      </c>
      <c r="N380" t="b">
        <v>0</v>
      </c>
    </row>
    <row r="381" spans="1:14">
      <c r="A381">
        <v>17</v>
      </c>
      <c r="B381">
        <v>11</v>
      </c>
      <c r="C381" t="s">
        <v>126</v>
      </c>
      <c r="D381" t="s">
        <v>724</v>
      </c>
      <c r="E381" t="s">
        <v>126</v>
      </c>
      <c r="F381">
        <v>0</v>
      </c>
      <c r="G381" t="s">
        <v>126</v>
      </c>
      <c r="H381" t="s">
        <v>126</v>
      </c>
      <c r="I381" t="s">
        <v>126</v>
      </c>
      <c r="J381" t="s">
        <v>126</v>
      </c>
      <c r="K381" t="s">
        <v>126</v>
      </c>
      <c r="L381" t="s">
        <v>126</v>
      </c>
      <c r="M381" t="s">
        <v>1035</v>
      </c>
      <c r="N381" t="b">
        <v>0</v>
      </c>
    </row>
    <row r="382" spans="1:14">
      <c r="A382">
        <v>17</v>
      </c>
      <c r="B382">
        <v>12</v>
      </c>
      <c r="C382" t="s">
        <v>126</v>
      </c>
      <c r="D382" t="s">
        <v>724</v>
      </c>
      <c r="E382" t="s">
        <v>126</v>
      </c>
      <c r="F382">
        <v>0</v>
      </c>
      <c r="G382" t="s">
        <v>126</v>
      </c>
      <c r="H382" t="s">
        <v>126</v>
      </c>
      <c r="I382" t="s">
        <v>126</v>
      </c>
      <c r="J382" t="s">
        <v>126</v>
      </c>
      <c r="K382" t="s">
        <v>126</v>
      </c>
      <c r="L382" t="s">
        <v>126</v>
      </c>
      <c r="M382" t="s">
        <v>1036</v>
      </c>
      <c r="N382" t="b">
        <v>0</v>
      </c>
    </row>
    <row r="383" spans="1:14">
      <c r="A383">
        <v>17</v>
      </c>
      <c r="B383">
        <v>13</v>
      </c>
      <c r="C383" t="s">
        <v>126</v>
      </c>
      <c r="D383" t="s">
        <v>724</v>
      </c>
      <c r="E383" t="s">
        <v>126</v>
      </c>
      <c r="F383">
        <v>0</v>
      </c>
      <c r="G383" t="s">
        <v>126</v>
      </c>
      <c r="H383" t="s">
        <v>126</v>
      </c>
      <c r="I383" t="s">
        <v>126</v>
      </c>
      <c r="J383" t="s">
        <v>126</v>
      </c>
      <c r="K383" t="s">
        <v>126</v>
      </c>
      <c r="L383" t="s">
        <v>126</v>
      </c>
      <c r="M383" t="s">
        <v>1037</v>
      </c>
      <c r="N383" t="b">
        <v>0</v>
      </c>
    </row>
    <row r="384" spans="1:14">
      <c r="A384">
        <v>17</v>
      </c>
      <c r="B384">
        <v>14</v>
      </c>
      <c r="C384" t="s">
        <v>126</v>
      </c>
      <c r="D384" t="s">
        <v>724</v>
      </c>
      <c r="E384" t="s">
        <v>126</v>
      </c>
      <c r="F384">
        <v>0</v>
      </c>
      <c r="G384" t="s">
        <v>126</v>
      </c>
      <c r="H384" t="s">
        <v>126</v>
      </c>
      <c r="I384" t="s">
        <v>126</v>
      </c>
      <c r="J384" t="s">
        <v>126</v>
      </c>
      <c r="K384" t="s">
        <v>126</v>
      </c>
      <c r="L384" t="s">
        <v>126</v>
      </c>
      <c r="M384" t="s">
        <v>1038</v>
      </c>
      <c r="N384" t="b">
        <v>0</v>
      </c>
    </row>
    <row r="385" spans="1:14">
      <c r="A385">
        <v>17</v>
      </c>
      <c r="B385">
        <v>15</v>
      </c>
      <c r="C385" t="s">
        <v>126</v>
      </c>
      <c r="D385" t="s">
        <v>724</v>
      </c>
      <c r="E385" t="s">
        <v>126</v>
      </c>
      <c r="F385">
        <v>0</v>
      </c>
      <c r="G385" t="s">
        <v>126</v>
      </c>
      <c r="H385" t="s">
        <v>126</v>
      </c>
      <c r="I385" t="s">
        <v>126</v>
      </c>
      <c r="J385" t="s">
        <v>126</v>
      </c>
      <c r="K385" t="s">
        <v>126</v>
      </c>
      <c r="L385" t="s">
        <v>126</v>
      </c>
      <c r="M385" t="s">
        <v>1039</v>
      </c>
      <c r="N385" t="b">
        <v>0</v>
      </c>
    </row>
    <row r="386" spans="1:14">
      <c r="A386">
        <v>17</v>
      </c>
      <c r="B386">
        <v>16</v>
      </c>
      <c r="C386" t="s">
        <v>126</v>
      </c>
      <c r="D386" t="s">
        <v>741</v>
      </c>
      <c r="E386" t="s">
        <v>126</v>
      </c>
      <c r="F386">
        <v>0</v>
      </c>
      <c r="G386" t="s">
        <v>126</v>
      </c>
      <c r="H386" t="s">
        <v>126</v>
      </c>
      <c r="I386" t="s">
        <v>126</v>
      </c>
      <c r="J386" t="s">
        <v>126</v>
      </c>
      <c r="K386" t="s">
        <v>126</v>
      </c>
      <c r="L386" t="s">
        <v>126</v>
      </c>
      <c r="M386" t="s">
        <v>1040</v>
      </c>
      <c r="N386" t="b">
        <v>0</v>
      </c>
    </row>
    <row r="387" spans="1:14">
      <c r="A387">
        <v>17</v>
      </c>
      <c r="B387">
        <v>17</v>
      </c>
      <c r="C387" t="s">
        <v>126</v>
      </c>
      <c r="D387" t="s">
        <v>741</v>
      </c>
      <c r="E387" t="s">
        <v>126</v>
      </c>
      <c r="F387">
        <v>0</v>
      </c>
      <c r="G387" t="s">
        <v>126</v>
      </c>
      <c r="H387" t="s">
        <v>126</v>
      </c>
      <c r="I387" t="s">
        <v>126</v>
      </c>
      <c r="J387" t="s">
        <v>126</v>
      </c>
      <c r="K387" t="s">
        <v>126</v>
      </c>
      <c r="L387" t="s">
        <v>126</v>
      </c>
      <c r="M387" t="s">
        <v>675</v>
      </c>
      <c r="N387" t="b">
        <v>0</v>
      </c>
    </row>
    <row r="388" spans="1:14">
      <c r="A388">
        <v>17</v>
      </c>
      <c r="B388">
        <v>18</v>
      </c>
      <c r="C388" t="s">
        <v>126</v>
      </c>
      <c r="D388" t="s">
        <v>741</v>
      </c>
      <c r="E388" t="s">
        <v>126</v>
      </c>
      <c r="F388">
        <v>0</v>
      </c>
      <c r="G388" t="s">
        <v>126</v>
      </c>
      <c r="H388" t="s">
        <v>126</v>
      </c>
      <c r="I388" t="s">
        <v>126</v>
      </c>
      <c r="J388" t="s">
        <v>126</v>
      </c>
      <c r="K388" t="s">
        <v>126</v>
      </c>
      <c r="L388" t="s">
        <v>126</v>
      </c>
      <c r="M388" t="s">
        <v>1041</v>
      </c>
      <c r="N388" t="b">
        <v>0</v>
      </c>
    </row>
    <row r="389" spans="1:14">
      <c r="A389">
        <v>17</v>
      </c>
      <c r="B389">
        <v>19</v>
      </c>
      <c r="C389" t="s">
        <v>126</v>
      </c>
      <c r="D389" t="s">
        <v>741</v>
      </c>
      <c r="E389" t="s">
        <v>126</v>
      </c>
      <c r="F389">
        <v>0</v>
      </c>
      <c r="G389" t="s">
        <v>126</v>
      </c>
      <c r="H389" t="s">
        <v>126</v>
      </c>
      <c r="I389" t="s">
        <v>126</v>
      </c>
      <c r="J389" t="s">
        <v>126</v>
      </c>
      <c r="K389" t="s">
        <v>126</v>
      </c>
      <c r="L389" t="s">
        <v>126</v>
      </c>
      <c r="M389" t="s">
        <v>1042</v>
      </c>
      <c r="N389" t="b">
        <v>0</v>
      </c>
    </row>
    <row r="390" spans="1:14">
      <c r="A390">
        <v>17</v>
      </c>
      <c r="B390">
        <v>20</v>
      </c>
      <c r="C390" t="s">
        <v>126</v>
      </c>
      <c r="D390" t="s">
        <v>741</v>
      </c>
      <c r="E390" t="s">
        <v>126</v>
      </c>
      <c r="F390">
        <v>0</v>
      </c>
      <c r="G390" t="s">
        <v>126</v>
      </c>
      <c r="H390" t="s">
        <v>126</v>
      </c>
      <c r="I390" t="s">
        <v>126</v>
      </c>
      <c r="J390" t="s">
        <v>126</v>
      </c>
      <c r="K390" t="s">
        <v>126</v>
      </c>
      <c r="L390" t="s">
        <v>126</v>
      </c>
      <c r="M390" t="s">
        <v>1043</v>
      </c>
      <c r="N390" t="b">
        <v>0</v>
      </c>
    </row>
    <row r="391" spans="1:14">
      <c r="A391">
        <v>17</v>
      </c>
      <c r="B391">
        <v>21</v>
      </c>
      <c r="C391" t="s">
        <v>126</v>
      </c>
      <c r="D391" t="s">
        <v>741</v>
      </c>
      <c r="E391" t="s">
        <v>126</v>
      </c>
      <c r="F391">
        <v>0</v>
      </c>
      <c r="G391" t="s">
        <v>126</v>
      </c>
      <c r="H391" t="s">
        <v>126</v>
      </c>
      <c r="I391" t="s">
        <v>126</v>
      </c>
      <c r="J391" t="s">
        <v>126</v>
      </c>
      <c r="K391" t="s">
        <v>126</v>
      </c>
      <c r="L391" t="s">
        <v>126</v>
      </c>
      <c r="M391" t="s">
        <v>1044</v>
      </c>
      <c r="N391" t="b">
        <v>0</v>
      </c>
    </row>
    <row r="392" spans="1:14">
      <c r="A392">
        <v>17</v>
      </c>
      <c r="B392">
        <v>22</v>
      </c>
      <c r="C392" t="s">
        <v>126</v>
      </c>
      <c r="D392" t="s">
        <v>741</v>
      </c>
      <c r="E392" t="s">
        <v>126</v>
      </c>
      <c r="F392">
        <v>0</v>
      </c>
      <c r="G392" t="s">
        <v>126</v>
      </c>
      <c r="H392" t="s">
        <v>126</v>
      </c>
      <c r="I392" t="s">
        <v>126</v>
      </c>
      <c r="J392" t="s">
        <v>126</v>
      </c>
      <c r="K392" t="s">
        <v>126</v>
      </c>
      <c r="L392" t="s">
        <v>126</v>
      </c>
      <c r="M392" t="s">
        <v>1045</v>
      </c>
      <c r="N392" t="b">
        <v>0</v>
      </c>
    </row>
    <row r="393" spans="1:14">
      <c r="A393">
        <v>17</v>
      </c>
      <c r="B393">
        <v>23</v>
      </c>
      <c r="C393" t="s">
        <v>126</v>
      </c>
      <c r="D393" t="s">
        <v>741</v>
      </c>
      <c r="E393" t="s">
        <v>126</v>
      </c>
      <c r="F393">
        <v>0</v>
      </c>
      <c r="G393" t="s">
        <v>126</v>
      </c>
      <c r="H393" t="s">
        <v>126</v>
      </c>
      <c r="I393" t="s">
        <v>126</v>
      </c>
      <c r="J393" t="s">
        <v>126</v>
      </c>
      <c r="K393" t="s">
        <v>126</v>
      </c>
      <c r="L393" t="s">
        <v>126</v>
      </c>
      <c r="M393" t="s">
        <v>1046</v>
      </c>
      <c r="N393" t="b">
        <v>0</v>
      </c>
    </row>
    <row r="394" spans="1:14">
      <c r="A394">
        <v>17</v>
      </c>
      <c r="B394">
        <v>24</v>
      </c>
      <c r="C394" t="s">
        <v>126</v>
      </c>
      <c r="D394" t="s">
        <v>741</v>
      </c>
      <c r="E394" t="s">
        <v>126</v>
      </c>
      <c r="F394">
        <v>0</v>
      </c>
      <c r="G394" t="s">
        <v>126</v>
      </c>
      <c r="H394" t="s">
        <v>126</v>
      </c>
      <c r="I394" t="s">
        <v>126</v>
      </c>
      <c r="J394" t="s">
        <v>126</v>
      </c>
      <c r="K394" t="s">
        <v>126</v>
      </c>
      <c r="L394" t="s">
        <v>126</v>
      </c>
      <c r="M394" t="s">
        <v>1047</v>
      </c>
      <c r="N394" t="b">
        <v>0</v>
      </c>
    </row>
    <row r="395" spans="1:14">
      <c r="A395">
        <v>17</v>
      </c>
      <c r="B395">
        <v>25</v>
      </c>
      <c r="C395" t="s">
        <v>126</v>
      </c>
      <c r="D395" t="s">
        <v>741</v>
      </c>
      <c r="E395" t="s">
        <v>126</v>
      </c>
      <c r="F395">
        <v>0</v>
      </c>
      <c r="G395" t="s">
        <v>126</v>
      </c>
      <c r="H395" t="s">
        <v>126</v>
      </c>
      <c r="I395" t="s">
        <v>126</v>
      </c>
      <c r="J395" t="s">
        <v>126</v>
      </c>
      <c r="K395" t="s">
        <v>126</v>
      </c>
      <c r="L395" t="s">
        <v>126</v>
      </c>
      <c r="M395" t="s">
        <v>1048</v>
      </c>
      <c r="N395" t="b">
        <v>0</v>
      </c>
    </row>
    <row r="396" spans="1:14">
      <c r="A396">
        <v>17</v>
      </c>
      <c r="B396">
        <v>26</v>
      </c>
      <c r="C396" t="s">
        <v>126</v>
      </c>
      <c r="D396" t="s">
        <v>741</v>
      </c>
      <c r="E396" t="s">
        <v>126</v>
      </c>
      <c r="F396">
        <v>0</v>
      </c>
      <c r="G396" t="s">
        <v>126</v>
      </c>
      <c r="H396" t="s">
        <v>126</v>
      </c>
      <c r="I396" t="s">
        <v>126</v>
      </c>
      <c r="J396" t="s">
        <v>126</v>
      </c>
      <c r="K396" t="s">
        <v>126</v>
      </c>
      <c r="L396" t="s">
        <v>126</v>
      </c>
      <c r="M396" t="s">
        <v>1049</v>
      </c>
      <c r="N396" t="b">
        <v>0</v>
      </c>
    </row>
    <row r="397" spans="1:14">
      <c r="A397">
        <v>18</v>
      </c>
      <c r="B397">
        <v>0</v>
      </c>
      <c r="C397" t="s">
        <v>186</v>
      </c>
      <c r="D397" t="s">
        <v>724</v>
      </c>
      <c r="E397" t="s">
        <v>65</v>
      </c>
      <c r="F397">
        <v>50</v>
      </c>
      <c r="G397" t="s">
        <v>126</v>
      </c>
      <c r="H397" t="s">
        <v>126</v>
      </c>
      <c r="I397" t="s">
        <v>65</v>
      </c>
      <c r="J397" t="s">
        <v>126</v>
      </c>
      <c r="K397" t="s">
        <v>126</v>
      </c>
      <c r="L397" t="s">
        <v>126</v>
      </c>
      <c r="M397" t="s">
        <v>1050</v>
      </c>
      <c r="N397" t="b">
        <v>0</v>
      </c>
    </row>
    <row r="398" spans="1:14">
      <c r="A398">
        <v>18</v>
      </c>
      <c r="B398">
        <v>1</v>
      </c>
      <c r="C398" t="s">
        <v>158</v>
      </c>
      <c r="D398" t="s">
        <v>724</v>
      </c>
      <c r="E398" t="s">
        <v>83</v>
      </c>
      <c r="F398">
        <v>40</v>
      </c>
      <c r="G398" t="s">
        <v>126</v>
      </c>
      <c r="H398" t="s">
        <v>126</v>
      </c>
      <c r="I398" t="s">
        <v>83</v>
      </c>
      <c r="J398" t="s">
        <v>126</v>
      </c>
      <c r="K398" t="s">
        <v>126</v>
      </c>
      <c r="L398" t="s">
        <v>126</v>
      </c>
      <c r="M398" t="s">
        <v>1051</v>
      </c>
      <c r="N398" t="b">
        <v>0</v>
      </c>
    </row>
    <row r="399" spans="1:14">
      <c r="A399">
        <v>18</v>
      </c>
      <c r="B399">
        <v>2</v>
      </c>
      <c r="C399" t="s">
        <v>187</v>
      </c>
      <c r="D399" t="s">
        <v>724</v>
      </c>
      <c r="E399" t="s">
        <v>93</v>
      </c>
      <c r="F399">
        <v>50</v>
      </c>
      <c r="G399" t="s">
        <v>126</v>
      </c>
      <c r="H399" t="s">
        <v>126</v>
      </c>
      <c r="I399" t="s">
        <v>93</v>
      </c>
      <c r="J399" t="s">
        <v>126</v>
      </c>
      <c r="K399" t="s">
        <v>126</v>
      </c>
      <c r="L399" t="s">
        <v>126</v>
      </c>
      <c r="M399" t="s">
        <v>1052</v>
      </c>
      <c r="N399" t="b">
        <v>0</v>
      </c>
    </row>
    <row r="400" spans="1:14">
      <c r="A400">
        <v>18</v>
      </c>
      <c r="B400">
        <v>3</v>
      </c>
      <c r="C400" t="s">
        <v>234</v>
      </c>
      <c r="D400" t="s">
        <v>724</v>
      </c>
      <c r="E400" t="s">
        <v>96</v>
      </c>
      <c r="F400">
        <v>50</v>
      </c>
      <c r="G400" t="s">
        <v>126</v>
      </c>
      <c r="H400" t="s">
        <v>126</v>
      </c>
      <c r="I400" t="s">
        <v>96</v>
      </c>
      <c r="J400" t="s">
        <v>126</v>
      </c>
      <c r="K400" t="s">
        <v>126</v>
      </c>
      <c r="L400" t="s">
        <v>126</v>
      </c>
      <c r="M400" t="s">
        <v>1053</v>
      </c>
      <c r="N400" t="b">
        <v>0</v>
      </c>
    </row>
    <row r="401" spans="1:14">
      <c r="A401">
        <v>18</v>
      </c>
      <c r="B401">
        <v>4</v>
      </c>
      <c r="C401" t="s">
        <v>251</v>
      </c>
      <c r="D401" t="s">
        <v>724</v>
      </c>
      <c r="E401" t="s">
        <v>99</v>
      </c>
      <c r="F401">
        <v>40</v>
      </c>
      <c r="G401" t="s">
        <v>126</v>
      </c>
      <c r="H401" t="s">
        <v>126</v>
      </c>
      <c r="I401" t="s">
        <v>99</v>
      </c>
      <c r="J401" t="s">
        <v>126</v>
      </c>
      <c r="K401" t="s">
        <v>126</v>
      </c>
      <c r="L401" t="s">
        <v>126</v>
      </c>
      <c r="M401" t="s">
        <v>1054</v>
      </c>
      <c r="N401" t="b">
        <v>0</v>
      </c>
    </row>
    <row r="402" spans="1:14">
      <c r="A402">
        <v>18</v>
      </c>
      <c r="B402">
        <v>5</v>
      </c>
      <c r="C402" t="s">
        <v>229</v>
      </c>
      <c r="D402" t="s">
        <v>724</v>
      </c>
      <c r="E402" t="s">
        <v>101</v>
      </c>
      <c r="F402">
        <v>40</v>
      </c>
      <c r="G402" t="s">
        <v>126</v>
      </c>
      <c r="H402" t="s">
        <v>126</v>
      </c>
      <c r="I402" t="s">
        <v>101</v>
      </c>
      <c r="J402" t="s">
        <v>126</v>
      </c>
      <c r="K402" t="s">
        <v>126</v>
      </c>
      <c r="L402" t="s">
        <v>126</v>
      </c>
      <c r="M402" t="s">
        <v>1055</v>
      </c>
      <c r="N402" t="b">
        <v>0</v>
      </c>
    </row>
    <row r="403" spans="1:14">
      <c r="A403">
        <v>18</v>
      </c>
      <c r="B403">
        <v>6</v>
      </c>
      <c r="C403" t="s">
        <v>159</v>
      </c>
      <c r="D403" t="s">
        <v>753</v>
      </c>
      <c r="E403" t="s">
        <v>297</v>
      </c>
      <c r="F403">
        <v>50</v>
      </c>
      <c r="G403" t="s">
        <v>760</v>
      </c>
      <c r="H403" t="s">
        <v>126</v>
      </c>
      <c r="I403" t="s">
        <v>126</v>
      </c>
      <c r="J403" t="s">
        <v>761</v>
      </c>
      <c r="K403" t="s">
        <v>762</v>
      </c>
      <c r="L403" t="s">
        <v>763</v>
      </c>
      <c r="M403" t="s">
        <v>1056</v>
      </c>
      <c r="N403" t="b">
        <v>0</v>
      </c>
    </row>
    <row r="404" spans="1:14">
      <c r="A404">
        <v>18</v>
      </c>
      <c r="B404">
        <v>7</v>
      </c>
      <c r="C404" t="s">
        <v>160</v>
      </c>
      <c r="D404" t="s">
        <v>753</v>
      </c>
      <c r="E404" t="s">
        <v>297</v>
      </c>
      <c r="F404">
        <v>40</v>
      </c>
      <c r="G404" t="s">
        <v>760</v>
      </c>
      <c r="H404" t="s">
        <v>126</v>
      </c>
      <c r="I404" t="s">
        <v>126</v>
      </c>
      <c r="J404" t="s">
        <v>761</v>
      </c>
      <c r="K404" t="s">
        <v>765</v>
      </c>
      <c r="L404" t="s">
        <v>766</v>
      </c>
      <c r="M404" t="s">
        <v>1057</v>
      </c>
      <c r="N404" t="b">
        <v>0</v>
      </c>
    </row>
    <row r="405" spans="1:14">
      <c r="A405">
        <v>18</v>
      </c>
      <c r="B405">
        <v>8</v>
      </c>
      <c r="C405" t="s">
        <v>191</v>
      </c>
      <c r="D405" t="s">
        <v>724</v>
      </c>
      <c r="E405" t="s">
        <v>115</v>
      </c>
      <c r="F405">
        <v>60</v>
      </c>
      <c r="G405" t="s">
        <v>126</v>
      </c>
      <c r="H405" t="s">
        <v>126</v>
      </c>
      <c r="I405" t="s">
        <v>115</v>
      </c>
      <c r="J405" t="s">
        <v>126</v>
      </c>
      <c r="K405" t="s">
        <v>126</v>
      </c>
      <c r="L405" t="s">
        <v>126</v>
      </c>
      <c r="M405" t="s">
        <v>1058</v>
      </c>
      <c r="N405" t="b">
        <v>0</v>
      </c>
    </row>
    <row r="406" spans="1:14">
      <c r="A406">
        <v>18</v>
      </c>
      <c r="B406">
        <v>9</v>
      </c>
      <c r="C406" t="s">
        <v>252</v>
      </c>
      <c r="D406" t="s">
        <v>724</v>
      </c>
      <c r="E406" t="s">
        <v>78</v>
      </c>
      <c r="F406">
        <v>60</v>
      </c>
      <c r="G406" t="s">
        <v>126</v>
      </c>
      <c r="H406" t="s">
        <v>126</v>
      </c>
      <c r="I406" t="s">
        <v>78</v>
      </c>
      <c r="J406" t="s">
        <v>126</v>
      </c>
      <c r="K406" t="s">
        <v>126</v>
      </c>
      <c r="L406" t="s">
        <v>126</v>
      </c>
      <c r="M406" t="s">
        <v>1059</v>
      </c>
      <c r="N406" t="b">
        <v>0</v>
      </c>
    </row>
    <row r="407" spans="1:14">
      <c r="A407">
        <v>18</v>
      </c>
      <c r="B407">
        <v>10</v>
      </c>
      <c r="C407" t="s">
        <v>177</v>
      </c>
      <c r="D407" t="s">
        <v>724</v>
      </c>
      <c r="E407" t="s">
        <v>100</v>
      </c>
      <c r="F407">
        <v>40</v>
      </c>
      <c r="G407" t="s">
        <v>126</v>
      </c>
      <c r="H407" t="s">
        <v>126</v>
      </c>
      <c r="I407" t="s">
        <v>100</v>
      </c>
      <c r="J407" t="s">
        <v>126</v>
      </c>
      <c r="K407" t="s">
        <v>126</v>
      </c>
      <c r="L407" t="s">
        <v>126</v>
      </c>
      <c r="M407" t="s">
        <v>1060</v>
      </c>
      <c r="N407" t="b">
        <v>0</v>
      </c>
    </row>
    <row r="408" spans="1:14">
      <c r="A408">
        <v>18</v>
      </c>
      <c r="B408">
        <v>11</v>
      </c>
      <c r="C408" t="s">
        <v>222</v>
      </c>
      <c r="D408" t="s">
        <v>724</v>
      </c>
      <c r="E408" t="s">
        <v>102</v>
      </c>
      <c r="F408">
        <v>50</v>
      </c>
      <c r="G408" t="s">
        <v>126</v>
      </c>
      <c r="H408" t="s">
        <v>126</v>
      </c>
      <c r="I408" t="s">
        <v>102</v>
      </c>
      <c r="J408" t="s">
        <v>126</v>
      </c>
      <c r="K408" t="s">
        <v>126</v>
      </c>
      <c r="L408" t="s">
        <v>126</v>
      </c>
      <c r="M408" t="s">
        <v>1061</v>
      </c>
      <c r="N408" t="b">
        <v>0</v>
      </c>
    </row>
    <row r="409" spans="1:14">
      <c r="A409">
        <v>18</v>
      </c>
      <c r="B409">
        <v>12</v>
      </c>
      <c r="C409" t="s">
        <v>232</v>
      </c>
      <c r="D409" t="s">
        <v>724</v>
      </c>
      <c r="E409" t="s">
        <v>108</v>
      </c>
      <c r="F409">
        <v>50</v>
      </c>
      <c r="G409" t="s">
        <v>126</v>
      </c>
      <c r="H409" t="s">
        <v>126</v>
      </c>
      <c r="I409" t="s">
        <v>108</v>
      </c>
      <c r="J409" t="s">
        <v>126</v>
      </c>
      <c r="K409" t="s">
        <v>126</v>
      </c>
      <c r="L409" t="s">
        <v>126</v>
      </c>
      <c r="M409" t="s">
        <v>1062</v>
      </c>
      <c r="N409" t="b">
        <v>0</v>
      </c>
    </row>
    <row r="410" spans="1:14">
      <c r="A410">
        <v>18</v>
      </c>
      <c r="B410">
        <v>13</v>
      </c>
      <c r="C410" t="s">
        <v>126</v>
      </c>
      <c r="D410" t="s">
        <v>724</v>
      </c>
      <c r="E410" t="s">
        <v>126</v>
      </c>
      <c r="F410">
        <v>0</v>
      </c>
      <c r="G410" t="s">
        <v>126</v>
      </c>
      <c r="H410" t="s">
        <v>126</v>
      </c>
      <c r="I410" t="s">
        <v>126</v>
      </c>
      <c r="J410" t="s">
        <v>126</v>
      </c>
      <c r="K410" t="s">
        <v>126</v>
      </c>
      <c r="L410" t="s">
        <v>126</v>
      </c>
      <c r="M410" t="s">
        <v>1063</v>
      </c>
      <c r="N410" t="b">
        <v>0</v>
      </c>
    </row>
    <row r="411" spans="1:14">
      <c r="A411">
        <v>18</v>
      </c>
      <c r="B411">
        <v>14</v>
      </c>
      <c r="C411" t="s">
        <v>126</v>
      </c>
      <c r="D411" t="s">
        <v>724</v>
      </c>
      <c r="E411" t="s">
        <v>126</v>
      </c>
      <c r="F411">
        <v>0</v>
      </c>
      <c r="G411" t="s">
        <v>126</v>
      </c>
      <c r="H411" t="s">
        <v>126</v>
      </c>
      <c r="I411" t="s">
        <v>126</v>
      </c>
      <c r="J411" t="s">
        <v>126</v>
      </c>
      <c r="K411" t="s">
        <v>126</v>
      </c>
      <c r="L411" t="s">
        <v>126</v>
      </c>
      <c r="M411" t="s">
        <v>1064</v>
      </c>
      <c r="N411" t="b">
        <v>0</v>
      </c>
    </row>
    <row r="412" spans="1:14">
      <c r="A412">
        <v>18</v>
      </c>
      <c r="B412">
        <v>15</v>
      </c>
      <c r="C412" t="s">
        <v>126</v>
      </c>
      <c r="D412" t="s">
        <v>724</v>
      </c>
      <c r="E412" t="s">
        <v>126</v>
      </c>
      <c r="F412">
        <v>0</v>
      </c>
      <c r="G412" t="s">
        <v>126</v>
      </c>
      <c r="H412" t="s">
        <v>126</v>
      </c>
      <c r="I412" t="s">
        <v>126</v>
      </c>
      <c r="J412" t="s">
        <v>126</v>
      </c>
      <c r="K412" t="s">
        <v>126</v>
      </c>
      <c r="L412" t="s">
        <v>126</v>
      </c>
      <c r="M412" t="s">
        <v>1065</v>
      </c>
      <c r="N412" t="b">
        <v>0</v>
      </c>
    </row>
    <row r="413" spans="1:14">
      <c r="A413">
        <v>18</v>
      </c>
      <c r="B413">
        <v>16</v>
      </c>
      <c r="C413" t="s">
        <v>126</v>
      </c>
      <c r="D413" t="s">
        <v>741</v>
      </c>
      <c r="E413" t="s">
        <v>126</v>
      </c>
      <c r="F413">
        <v>0</v>
      </c>
      <c r="G413" t="s">
        <v>126</v>
      </c>
      <c r="H413" t="s">
        <v>126</v>
      </c>
      <c r="I413" t="s">
        <v>126</v>
      </c>
      <c r="J413" t="s">
        <v>126</v>
      </c>
      <c r="K413" t="s">
        <v>126</v>
      </c>
      <c r="L413" t="s">
        <v>126</v>
      </c>
      <c r="M413" t="s">
        <v>1066</v>
      </c>
      <c r="N413" t="b">
        <v>0</v>
      </c>
    </row>
    <row r="414" spans="1:14">
      <c r="A414">
        <v>18</v>
      </c>
      <c r="B414">
        <v>17</v>
      </c>
      <c r="C414" t="s">
        <v>126</v>
      </c>
      <c r="D414" t="s">
        <v>741</v>
      </c>
      <c r="E414" t="s">
        <v>126</v>
      </c>
      <c r="F414">
        <v>0</v>
      </c>
      <c r="G414" t="s">
        <v>126</v>
      </c>
      <c r="H414" t="s">
        <v>126</v>
      </c>
      <c r="I414" t="s">
        <v>126</v>
      </c>
      <c r="J414" t="s">
        <v>126</v>
      </c>
      <c r="K414" t="s">
        <v>126</v>
      </c>
      <c r="L414" t="s">
        <v>126</v>
      </c>
      <c r="M414" t="s">
        <v>677</v>
      </c>
      <c r="N414" t="b">
        <v>0</v>
      </c>
    </row>
    <row r="415" spans="1:14">
      <c r="A415">
        <v>18</v>
      </c>
      <c r="B415">
        <v>18</v>
      </c>
      <c r="C415" t="s">
        <v>126</v>
      </c>
      <c r="D415" t="s">
        <v>741</v>
      </c>
      <c r="E415" t="s">
        <v>126</v>
      </c>
      <c r="F415">
        <v>0</v>
      </c>
      <c r="G415" t="s">
        <v>126</v>
      </c>
      <c r="H415" t="s">
        <v>126</v>
      </c>
      <c r="I415" t="s">
        <v>126</v>
      </c>
      <c r="J415" t="s">
        <v>126</v>
      </c>
      <c r="K415" t="s">
        <v>126</v>
      </c>
      <c r="L415" t="s">
        <v>126</v>
      </c>
      <c r="M415" t="s">
        <v>1067</v>
      </c>
      <c r="N415" t="b">
        <v>0</v>
      </c>
    </row>
    <row r="416" spans="1:14">
      <c r="A416">
        <v>18</v>
      </c>
      <c r="B416">
        <v>19</v>
      </c>
      <c r="C416" t="s">
        <v>126</v>
      </c>
      <c r="D416" t="s">
        <v>741</v>
      </c>
      <c r="E416" t="s">
        <v>126</v>
      </c>
      <c r="F416">
        <v>0</v>
      </c>
      <c r="G416" t="s">
        <v>126</v>
      </c>
      <c r="H416" t="s">
        <v>126</v>
      </c>
      <c r="I416" t="s">
        <v>126</v>
      </c>
      <c r="J416" t="s">
        <v>126</v>
      </c>
      <c r="K416" t="s">
        <v>126</v>
      </c>
      <c r="L416" t="s">
        <v>126</v>
      </c>
      <c r="M416" t="s">
        <v>1068</v>
      </c>
      <c r="N416" t="b">
        <v>0</v>
      </c>
    </row>
    <row r="417" spans="1:14">
      <c r="A417">
        <v>18</v>
      </c>
      <c r="B417">
        <v>20</v>
      </c>
      <c r="C417" t="s">
        <v>126</v>
      </c>
      <c r="D417" t="s">
        <v>741</v>
      </c>
      <c r="E417" t="s">
        <v>126</v>
      </c>
      <c r="F417">
        <v>0</v>
      </c>
      <c r="G417" t="s">
        <v>126</v>
      </c>
      <c r="H417" t="s">
        <v>126</v>
      </c>
      <c r="I417" t="s">
        <v>126</v>
      </c>
      <c r="J417" t="s">
        <v>126</v>
      </c>
      <c r="K417" t="s">
        <v>126</v>
      </c>
      <c r="L417" t="s">
        <v>126</v>
      </c>
      <c r="M417" t="s">
        <v>1069</v>
      </c>
      <c r="N417" t="b">
        <v>0</v>
      </c>
    </row>
    <row r="418" spans="1:14">
      <c r="A418">
        <v>18</v>
      </c>
      <c r="B418">
        <v>21</v>
      </c>
      <c r="C418" t="s">
        <v>126</v>
      </c>
      <c r="D418" t="s">
        <v>741</v>
      </c>
      <c r="E418" t="s">
        <v>126</v>
      </c>
      <c r="F418">
        <v>0</v>
      </c>
      <c r="G418" t="s">
        <v>126</v>
      </c>
      <c r="H418" t="s">
        <v>126</v>
      </c>
      <c r="I418" t="s">
        <v>126</v>
      </c>
      <c r="J418" t="s">
        <v>126</v>
      </c>
      <c r="K418" t="s">
        <v>126</v>
      </c>
      <c r="L418" t="s">
        <v>126</v>
      </c>
      <c r="M418" t="s">
        <v>1070</v>
      </c>
      <c r="N418" t="b">
        <v>0</v>
      </c>
    </row>
    <row r="419" spans="1:14">
      <c r="A419">
        <v>18</v>
      </c>
      <c r="B419">
        <v>22</v>
      </c>
      <c r="C419" t="s">
        <v>126</v>
      </c>
      <c r="D419" t="s">
        <v>741</v>
      </c>
      <c r="E419" t="s">
        <v>126</v>
      </c>
      <c r="F419">
        <v>0</v>
      </c>
      <c r="G419" t="s">
        <v>126</v>
      </c>
      <c r="H419" t="s">
        <v>126</v>
      </c>
      <c r="I419" t="s">
        <v>126</v>
      </c>
      <c r="J419" t="s">
        <v>126</v>
      </c>
      <c r="K419" t="s">
        <v>126</v>
      </c>
      <c r="L419" t="s">
        <v>126</v>
      </c>
      <c r="M419" t="s">
        <v>1071</v>
      </c>
      <c r="N419" t="b">
        <v>0</v>
      </c>
    </row>
    <row r="420" spans="1:14">
      <c r="A420">
        <v>18</v>
      </c>
      <c r="B420">
        <v>23</v>
      </c>
      <c r="C420" t="s">
        <v>126</v>
      </c>
      <c r="D420" t="s">
        <v>741</v>
      </c>
      <c r="E420" t="s">
        <v>126</v>
      </c>
      <c r="F420">
        <v>0</v>
      </c>
      <c r="G420" t="s">
        <v>126</v>
      </c>
      <c r="H420" t="s">
        <v>126</v>
      </c>
      <c r="I420" t="s">
        <v>126</v>
      </c>
      <c r="J420" t="s">
        <v>126</v>
      </c>
      <c r="K420" t="s">
        <v>126</v>
      </c>
      <c r="L420" t="s">
        <v>126</v>
      </c>
      <c r="M420" t="s">
        <v>1072</v>
      </c>
      <c r="N420" t="b">
        <v>0</v>
      </c>
    </row>
    <row r="421" spans="1:14">
      <c r="A421">
        <v>18</v>
      </c>
      <c r="B421">
        <v>24</v>
      </c>
      <c r="C421" t="s">
        <v>126</v>
      </c>
      <c r="D421" t="s">
        <v>741</v>
      </c>
      <c r="E421" t="s">
        <v>126</v>
      </c>
      <c r="F421">
        <v>0</v>
      </c>
      <c r="G421" t="s">
        <v>126</v>
      </c>
      <c r="H421" t="s">
        <v>126</v>
      </c>
      <c r="I421" t="s">
        <v>126</v>
      </c>
      <c r="J421" t="s">
        <v>126</v>
      </c>
      <c r="K421" t="s">
        <v>126</v>
      </c>
      <c r="L421" t="s">
        <v>126</v>
      </c>
      <c r="M421" t="s">
        <v>1073</v>
      </c>
      <c r="N421" t="b">
        <v>0</v>
      </c>
    </row>
    <row r="422" spans="1:14">
      <c r="A422">
        <v>18</v>
      </c>
      <c r="B422">
        <v>25</v>
      </c>
      <c r="C422" t="s">
        <v>126</v>
      </c>
      <c r="D422" t="s">
        <v>741</v>
      </c>
      <c r="E422" t="s">
        <v>126</v>
      </c>
      <c r="F422">
        <v>0</v>
      </c>
      <c r="G422" t="s">
        <v>126</v>
      </c>
      <c r="H422" t="s">
        <v>126</v>
      </c>
      <c r="I422" t="s">
        <v>126</v>
      </c>
      <c r="J422" t="s">
        <v>126</v>
      </c>
      <c r="K422" t="s">
        <v>126</v>
      </c>
      <c r="L422" t="s">
        <v>126</v>
      </c>
      <c r="M422" t="s">
        <v>1074</v>
      </c>
      <c r="N422" t="b">
        <v>0</v>
      </c>
    </row>
    <row r="423" spans="1:14">
      <c r="A423">
        <v>18</v>
      </c>
      <c r="B423">
        <v>26</v>
      </c>
      <c r="C423" t="s">
        <v>126</v>
      </c>
      <c r="D423" t="s">
        <v>741</v>
      </c>
      <c r="E423" t="s">
        <v>126</v>
      </c>
      <c r="F423">
        <v>0</v>
      </c>
      <c r="G423" t="s">
        <v>126</v>
      </c>
      <c r="H423" t="s">
        <v>126</v>
      </c>
      <c r="I423" t="s">
        <v>126</v>
      </c>
      <c r="J423" t="s">
        <v>126</v>
      </c>
      <c r="K423" t="s">
        <v>126</v>
      </c>
      <c r="L423" t="s">
        <v>126</v>
      </c>
      <c r="M423" t="s">
        <v>1075</v>
      </c>
      <c r="N423" t="b">
        <v>0</v>
      </c>
    </row>
    <row r="424" spans="1:14">
      <c r="A424">
        <v>19</v>
      </c>
      <c r="B424">
        <v>0</v>
      </c>
      <c r="C424" t="s">
        <v>178</v>
      </c>
      <c r="D424" t="s">
        <v>724</v>
      </c>
      <c r="E424" t="s">
        <v>60</v>
      </c>
      <c r="F424">
        <v>50</v>
      </c>
      <c r="G424" t="s">
        <v>126</v>
      </c>
      <c r="H424" t="s">
        <v>126</v>
      </c>
      <c r="I424" t="s">
        <v>60</v>
      </c>
      <c r="J424" t="s">
        <v>126</v>
      </c>
      <c r="K424" t="s">
        <v>126</v>
      </c>
      <c r="L424" t="s">
        <v>126</v>
      </c>
      <c r="M424" t="s">
        <v>1076</v>
      </c>
      <c r="N424" t="b">
        <v>0</v>
      </c>
    </row>
    <row r="425" spans="1:14">
      <c r="A425">
        <v>19</v>
      </c>
      <c r="B425">
        <v>1</v>
      </c>
      <c r="C425" t="s">
        <v>179</v>
      </c>
      <c r="D425" t="s">
        <v>724</v>
      </c>
      <c r="E425" t="s">
        <v>83</v>
      </c>
      <c r="F425">
        <v>50</v>
      </c>
      <c r="G425" t="s">
        <v>126</v>
      </c>
      <c r="H425" t="s">
        <v>126</v>
      </c>
      <c r="I425" t="s">
        <v>83</v>
      </c>
      <c r="J425" t="s">
        <v>126</v>
      </c>
      <c r="K425" t="s">
        <v>126</v>
      </c>
      <c r="L425" t="s">
        <v>126</v>
      </c>
      <c r="M425" t="s">
        <v>1077</v>
      </c>
      <c r="N425" t="b">
        <v>0</v>
      </c>
    </row>
    <row r="426" spans="1:14">
      <c r="A426">
        <v>19</v>
      </c>
      <c r="B426">
        <v>2</v>
      </c>
      <c r="C426" t="s">
        <v>254</v>
      </c>
      <c r="D426" t="s">
        <v>724</v>
      </c>
      <c r="E426" t="s">
        <v>115</v>
      </c>
      <c r="F426">
        <v>40</v>
      </c>
      <c r="G426" t="s">
        <v>126</v>
      </c>
      <c r="H426" t="s">
        <v>126</v>
      </c>
      <c r="I426" t="s">
        <v>115</v>
      </c>
      <c r="J426" t="s">
        <v>126</v>
      </c>
      <c r="K426" t="s">
        <v>126</v>
      </c>
      <c r="L426" t="s">
        <v>126</v>
      </c>
      <c r="M426" t="s">
        <v>1078</v>
      </c>
      <c r="N426" t="b">
        <v>0</v>
      </c>
    </row>
    <row r="427" spans="1:14">
      <c r="A427">
        <v>19</v>
      </c>
      <c r="B427">
        <v>3</v>
      </c>
      <c r="C427" t="s">
        <v>252</v>
      </c>
      <c r="D427" t="s">
        <v>724</v>
      </c>
      <c r="E427" t="s">
        <v>78</v>
      </c>
      <c r="F427">
        <v>60</v>
      </c>
      <c r="G427" t="s">
        <v>126</v>
      </c>
      <c r="H427" t="s">
        <v>126</v>
      </c>
      <c r="I427" t="s">
        <v>78</v>
      </c>
      <c r="J427" t="s">
        <v>126</v>
      </c>
      <c r="K427" t="s">
        <v>126</v>
      </c>
      <c r="L427" t="s">
        <v>126</v>
      </c>
      <c r="M427" t="s">
        <v>1079</v>
      </c>
      <c r="N427" t="b">
        <v>0</v>
      </c>
    </row>
    <row r="428" spans="1:14">
      <c r="A428">
        <v>19</v>
      </c>
      <c r="B428">
        <v>4</v>
      </c>
      <c r="C428" t="s">
        <v>126</v>
      </c>
      <c r="D428" t="s">
        <v>724</v>
      </c>
      <c r="E428" t="s">
        <v>126</v>
      </c>
      <c r="F428">
        <v>0</v>
      </c>
      <c r="G428" t="s">
        <v>126</v>
      </c>
      <c r="H428" t="s">
        <v>126</v>
      </c>
      <c r="I428" t="s">
        <v>126</v>
      </c>
      <c r="J428" t="s">
        <v>126</v>
      </c>
      <c r="K428" t="s">
        <v>126</v>
      </c>
      <c r="L428" t="s">
        <v>126</v>
      </c>
      <c r="M428" t="s">
        <v>1080</v>
      </c>
      <c r="N428" t="b">
        <v>0</v>
      </c>
    </row>
    <row r="429" spans="1:14">
      <c r="A429">
        <v>19</v>
      </c>
      <c r="B429">
        <v>5</v>
      </c>
      <c r="C429" t="s">
        <v>126</v>
      </c>
      <c r="D429" t="s">
        <v>724</v>
      </c>
      <c r="E429" t="s">
        <v>126</v>
      </c>
      <c r="F429">
        <v>0</v>
      </c>
      <c r="G429" t="s">
        <v>126</v>
      </c>
      <c r="H429" t="s">
        <v>126</v>
      </c>
      <c r="I429" t="s">
        <v>126</v>
      </c>
      <c r="J429" t="s">
        <v>126</v>
      </c>
      <c r="K429" t="s">
        <v>126</v>
      </c>
      <c r="L429" t="s">
        <v>126</v>
      </c>
      <c r="M429" t="s">
        <v>1081</v>
      </c>
      <c r="N429" t="b">
        <v>0</v>
      </c>
    </row>
    <row r="430" spans="1:14">
      <c r="A430">
        <v>19</v>
      </c>
      <c r="B430">
        <v>6</v>
      </c>
      <c r="C430" t="s">
        <v>126</v>
      </c>
      <c r="D430" t="s">
        <v>724</v>
      </c>
      <c r="E430" t="s">
        <v>126</v>
      </c>
      <c r="F430">
        <v>0</v>
      </c>
      <c r="G430" t="s">
        <v>126</v>
      </c>
      <c r="H430" t="s">
        <v>126</v>
      </c>
      <c r="I430" t="s">
        <v>126</v>
      </c>
      <c r="J430" t="s">
        <v>126</v>
      </c>
      <c r="K430" t="s">
        <v>126</v>
      </c>
      <c r="L430" t="s">
        <v>126</v>
      </c>
      <c r="M430" t="s">
        <v>1082</v>
      </c>
      <c r="N430" t="b">
        <v>0</v>
      </c>
    </row>
    <row r="431" spans="1:14">
      <c r="A431">
        <v>19</v>
      </c>
      <c r="B431">
        <v>7</v>
      </c>
      <c r="C431" t="s">
        <v>126</v>
      </c>
      <c r="D431" t="s">
        <v>724</v>
      </c>
      <c r="E431" t="s">
        <v>126</v>
      </c>
      <c r="F431">
        <v>0</v>
      </c>
      <c r="G431" t="s">
        <v>126</v>
      </c>
      <c r="H431" t="s">
        <v>126</v>
      </c>
      <c r="I431" t="s">
        <v>126</v>
      </c>
      <c r="J431" t="s">
        <v>126</v>
      </c>
      <c r="K431" t="s">
        <v>126</v>
      </c>
      <c r="L431" t="s">
        <v>126</v>
      </c>
      <c r="M431" t="s">
        <v>1083</v>
      </c>
      <c r="N431" t="b">
        <v>0</v>
      </c>
    </row>
    <row r="432" spans="1:14">
      <c r="A432">
        <v>19</v>
      </c>
      <c r="B432">
        <v>8</v>
      </c>
      <c r="C432" t="s">
        <v>126</v>
      </c>
      <c r="D432" t="s">
        <v>724</v>
      </c>
      <c r="E432" t="s">
        <v>126</v>
      </c>
      <c r="F432">
        <v>0</v>
      </c>
      <c r="G432" t="s">
        <v>126</v>
      </c>
      <c r="H432" t="s">
        <v>126</v>
      </c>
      <c r="I432" t="s">
        <v>126</v>
      </c>
      <c r="J432" t="s">
        <v>126</v>
      </c>
      <c r="K432" t="s">
        <v>126</v>
      </c>
      <c r="L432" t="s">
        <v>126</v>
      </c>
      <c r="M432" t="s">
        <v>1084</v>
      </c>
      <c r="N432" t="b">
        <v>0</v>
      </c>
    </row>
    <row r="433" spans="1:14">
      <c r="A433">
        <v>19</v>
      </c>
      <c r="B433">
        <v>9</v>
      </c>
      <c r="C433" t="s">
        <v>126</v>
      </c>
      <c r="D433" t="s">
        <v>724</v>
      </c>
      <c r="E433" t="s">
        <v>126</v>
      </c>
      <c r="F433">
        <v>0</v>
      </c>
      <c r="G433" t="s">
        <v>126</v>
      </c>
      <c r="H433" t="s">
        <v>126</v>
      </c>
      <c r="I433" t="s">
        <v>126</v>
      </c>
      <c r="J433" t="s">
        <v>126</v>
      </c>
      <c r="K433" t="s">
        <v>126</v>
      </c>
      <c r="L433" t="s">
        <v>126</v>
      </c>
      <c r="M433" t="s">
        <v>1085</v>
      </c>
      <c r="N433" t="b">
        <v>0</v>
      </c>
    </row>
    <row r="434" spans="1:14">
      <c r="A434">
        <v>19</v>
      </c>
      <c r="B434">
        <v>10</v>
      </c>
      <c r="C434" t="s">
        <v>126</v>
      </c>
      <c r="D434" t="s">
        <v>724</v>
      </c>
      <c r="E434" t="s">
        <v>126</v>
      </c>
      <c r="F434">
        <v>0</v>
      </c>
      <c r="G434" t="s">
        <v>126</v>
      </c>
      <c r="H434" t="s">
        <v>126</v>
      </c>
      <c r="I434" t="s">
        <v>126</v>
      </c>
      <c r="J434" t="s">
        <v>126</v>
      </c>
      <c r="K434" t="s">
        <v>126</v>
      </c>
      <c r="L434" t="s">
        <v>126</v>
      </c>
      <c r="M434" t="s">
        <v>1086</v>
      </c>
      <c r="N434" t="b">
        <v>0</v>
      </c>
    </row>
    <row r="435" spans="1:14">
      <c r="A435">
        <v>19</v>
      </c>
      <c r="B435">
        <v>11</v>
      </c>
      <c r="C435" t="s">
        <v>126</v>
      </c>
      <c r="D435" t="s">
        <v>724</v>
      </c>
      <c r="E435" t="s">
        <v>126</v>
      </c>
      <c r="F435">
        <v>0</v>
      </c>
      <c r="G435" t="s">
        <v>126</v>
      </c>
      <c r="H435" t="s">
        <v>126</v>
      </c>
      <c r="I435" t="s">
        <v>126</v>
      </c>
      <c r="J435" t="s">
        <v>126</v>
      </c>
      <c r="K435" t="s">
        <v>126</v>
      </c>
      <c r="L435" t="s">
        <v>126</v>
      </c>
      <c r="M435" t="s">
        <v>1087</v>
      </c>
      <c r="N435" t="b">
        <v>0</v>
      </c>
    </row>
    <row r="436" spans="1:14">
      <c r="A436">
        <v>19</v>
      </c>
      <c r="B436">
        <v>12</v>
      </c>
      <c r="C436" t="s">
        <v>126</v>
      </c>
      <c r="D436" t="s">
        <v>724</v>
      </c>
      <c r="E436" t="s">
        <v>126</v>
      </c>
      <c r="F436">
        <v>0</v>
      </c>
      <c r="G436" t="s">
        <v>126</v>
      </c>
      <c r="H436" t="s">
        <v>126</v>
      </c>
      <c r="I436" t="s">
        <v>126</v>
      </c>
      <c r="J436" t="s">
        <v>126</v>
      </c>
      <c r="K436" t="s">
        <v>126</v>
      </c>
      <c r="L436" t="s">
        <v>126</v>
      </c>
      <c r="M436" t="s">
        <v>1088</v>
      </c>
      <c r="N436" t="b">
        <v>0</v>
      </c>
    </row>
    <row r="437" spans="1:14">
      <c r="A437">
        <v>19</v>
      </c>
      <c r="B437">
        <v>13</v>
      </c>
      <c r="C437" t="s">
        <v>126</v>
      </c>
      <c r="D437" t="s">
        <v>724</v>
      </c>
      <c r="E437" t="s">
        <v>126</v>
      </c>
      <c r="F437">
        <v>0</v>
      </c>
      <c r="G437" t="s">
        <v>126</v>
      </c>
      <c r="H437" t="s">
        <v>126</v>
      </c>
      <c r="I437" t="s">
        <v>126</v>
      </c>
      <c r="J437" t="s">
        <v>126</v>
      </c>
      <c r="K437" t="s">
        <v>126</v>
      </c>
      <c r="L437" t="s">
        <v>126</v>
      </c>
      <c r="M437" t="s">
        <v>1089</v>
      </c>
      <c r="N437" t="b">
        <v>0</v>
      </c>
    </row>
    <row r="438" spans="1:14">
      <c r="A438">
        <v>19</v>
      </c>
      <c r="B438">
        <v>14</v>
      </c>
      <c r="C438" t="s">
        <v>126</v>
      </c>
      <c r="D438" t="s">
        <v>724</v>
      </c>
      <c r="E438" t="s">
        <v>126</v>
      </c>
      <c r="F438">
        <v>0</v>
      </c>
      <c r="G438" t="s">
        <v>126</v>
      </c>
      <c r="H438" t="s">
        <v>126</v>
      </c>
      <c r="I438" t="s">
        <v>126</v>
      </c>
      <c r="J438" t="s">
        <v>126</v>
      </c>
      <c r="K438" t="s">
        <v>126</v>
      </c>
      <c r="L438" t="s">
        <v>126</v>
      </c>
      <c r="M438" t="s">
        <v>1090</v>
      </c>
      <c r="N438" t="b">
        <v>0</v>
      </c>
    </row>
    <row r="439" spans="1:14">
      <c r="A439">
        <v>19</v>
      </c>
      <c r="B439">
        <v>15</v>
      </c>
      <c r="C439" t="s">
        <v>126</v>
      </c>
      <c r="D439" t="s">
        <v>724</v>
      </c>
      <c r="E439" t="s">
        <v>126</v>
      </c>
      <c r="F439">
        <v>0</v>
      </c>
      <c r="G439" t="s">
        <v>126</v>
      </c>
      <c r="H439" t="s">
        <v>126</v>
      </c>
      <c r="I439" t="s">
        <v>126</v>
      </c>
      <c r="J439" t="s">
        <v>126</v>
      </c>
      <c r="K439" t="s">
        <v>126</v>
      </c>
      <c r="L439" t="s">
        <v>126</v>
      </c>
      <c r="M439" t="s">
        <v>1091</v>
      </c>
      <c r="N439" t="b">
        <v>0</v>
      </c>
    </row>
    <row r="440" spans="1:14">
      <c r="A440">
        <v>19</v>
      </c>
      <c r="B440">
        <v>16</v>
      </c>
      <c r="C440" t="s">
        <v>197</v>
      </c>
      <c r="D440" t="s">
        <v>741</v>
      </c>
      <c r="E440" t="s">
        <v>87</v>
      </c>
      <c r="F440">
        <v>50</v>
      </c>
      <c r="G440" t="s">
        <v>126</v>
      </c>
      <c r="H440" t="s">
        <v>126</v>
      </c>
      <c r="I440" t="s">
        <v>87</v>
      </c>
      <c r="J440" t="s">
        <v>126</v>
      </c>
      <c r="K440" t="s">
        <v>126</v>
      </c>
      <c r="L440" t="s">
        <v>126</v>
      </c>
      <c r="M440" t="s">
        <v>1092</v>
      </c>
      <c r="N440" t="b">
        <v>0</v>
      </c>
    </row>
    <row r="441" spans="1:14">
      <c r="A441">
        <v>19</v>
      </c>
      <c r="B441">
        <v>17</v>
      </c>
      <c r="C441" t="s">
        <v>227</v>
      </c>
      <c r="D441" t="s">
        <v>741</v>
      </c>
      <c r="E441" t="s">
        <v>93</v>
      </c>
      <c r="F441">
        <v>60</v>
      </c>
      <c r="G441" t="s">
        <v>126</v>
      </c>
      <c r="H441" t="s">
        <v>126</v>
      </c>
      <c r="I441" t="s">
        <v>93</v>
      </c>
      <c r="J441" t="s">
        <v>126</v>
      </c>
      <c r="K441" t="s">
        <v>126</v>
      </c>
      <c r="L441" t="s">
        <v>126</v>
      </c>
      <c r="M441" t="s">
        <v>679</v>
      </c>
      <c r="N441" t="b">
        <v>0</v>
      </c>
    </row>
    <row r="442" spans="1:14">
      <c r="A442">
        <v>19</v>
      </c>
      <c r="B442">
        <v>18</v>
      </c>
      <c r="C442" t="s">
        <v>159</v>
      </c>
      <c r="D442" t="s">
        <v>741</v>
      </c>
      <c r="E442" t="s">
        <v>297</v>
      </c>
      <c r="F442">
        <v>50</v>
      </c>
      <c r="G442" t="s">
        <v>760</v>
      </c>
      <c r="H442" t="s">
        <v>126</v>
      </c>
      <c r="I442" t="s">
        <v>126</v>
      </c>
      <c r="J442" t="s">
        <v>761</v>
      </c>
      <c r="K442" t="s">
        <v>762</v>
      </c>
      <c r="L442" t="s">
        <v>763</v>
      </c>
      <c r="M442" t="s">
        <v>1093</v>
      </c>
      <c r="N442" t="b">
        <v>0</v>
      </c>
    </row>
    <row r="443" spans="1:14">
      <c r="A443">
        <v>19</v>
      </c>
      <c r="B443">
        <v>19</v>
      </c>
      <c r="C443" t="s">
        <v>255</v>
      </c>
      <c r="D443" t="s">
        <v>741</v>
      </c>
      <c r="E443" t="s">
        <v>61</v>
      </c>
      <c r="F443">
        <v>50</v>
      </c>
      <c r="G443" t="s">
        <v>126</v>
      </c>
      <c r="H443" t="s">
        <v>126</v>
      </c>
      <c r="I443" t="s">
        <v>61</v>
      </c>
      <c r="J443" t="s">
        <v>126</v>
      </c>
      <c r="K443" t="s">
        <v>126</v>
      </c>
      <c r="L443" t="s">
        <v>126</v>
      </c>
      <c r="M443" t="s">
        <v>1094</v>
      </c>
      <c r="N443" t="b">
        <v>0</v>
      </c>
    </row>
    <row r="444" spans="1:14">
      <c r="A444">
        <v>19</v>
      </c>
      <c r="B444">
        <v>20</v>
      </c>
      <c r="C444" t="s">
        <v>199</v>
      </c>
      <c r="D444" t="s">
        <v>741</v>
      </c>
      <c r="E444" t="s">
        <v>84</v>
      </c>
      <c r="F444">
        <v>50</v>
      </c>
      <c r="G444" t="s">
        <v>126</v>
      </c>
      <c r="H444" t="s">
        <v>126</v>
      </c>
      <c r="I444" t="s">
        <v>84</v>
      </c>
      <c r="J444" t="s">
        <v>126</v>
      </c>
      <c r="K444" t="s">
        <v>126</v>
      </c>
      <c r="L444" t="s">
        <v>126</v>
      </c>
      <c r="M444" t="s">
        <v>1095</v>
      </c>
      <c r="N444" t="b">
        <v>0</v>
      </c>
    </row>
    <row r="445" spans="1:14">
      <c r="A445">
        <v>19</v>
      </c>
      <c r="B445">
        <v>21</v>
      </c>
      <c r="C445" t="s">
        <v>126</v>
      </c>
      <c r="D445" t="s">
        <v>741</v>
      </c>
      <c r="E445" t="s">
        <v>126</v>
      </c>
      <c r="F445">
        <v>0</v>
      </c>
      <c r="G445" t="s">
        <v>126</v>
      </c>
      <c r="H445" t="s">
        <v>126</v>
      </c>
      <c r="I445" t="s">
        <v>126</v>
      </c>
      <c r="J445" t="s">
        <v>126</v>
      </c>
      <c r="K445" t="s">
        <v>126</v>
      </c>
      <c r="L445" t="s">
        <v>126</v>
      </c>
      <c r="M445" t="s">
        <v>1096</v>
      </c>
      <c r="N445" t="b">
        <v>0</v>
      </c>
    </row>
    <row r="446" spans="1:14">
      <c r="A446">
        <v>19</v>
      </c>
      <c r="B446">
        <v>22</v>
      </c>
      <c r="C446" t="s">
        <v>126</v>
      </c>
      <c r="D446" t="s">
        <v>741</v>
      </c>
      <c r="E446" t="s">
        <v>126</v>
      </c>
      <c r="F446">
        <v>0</v>
      </c>
      <c r="G446" t="s">
        <v>126</v>
      </c>
      <c r="H446" t="s">
        <v>126</v>
      </c>
      <c r="I446" t="s">
        <v>126</v>
      </c>
      <c r="J446" t="s">
        <v>126</v>
      </c>
      <c r="K446" t="s">
        <v>126</v>
      </c>
      <c r="L446" t="s">
        <v>126</v>
      </c>
      <c r="M446" t="s">
        <v>1097</v>
      </c>
      <c r="N446" t="b">
        <v>0</v>
      </c>
    </row>
    <row r="447" spans="1:14">
      <c r="A447">
        <v>19</v>
      </c>
      <c r="B447">
        <v>23</v>
      </c>
      <c r="C447" t="s">
        <v>126</v>
      </c>
      <c r="D447" t="s">
        <v>741</v>
      </c>
      <c r="E447" t="s">
        <v>126</v>
      </c>
      <c r="F447">
        <v>0</v>
      </c>
      <c r="G447" t="s">
        <v>126</v>
      </c>
      <c r="H447" t="s">
        <v>126</v>
      </c>
      <c r="I447" t="s">
        <v>126</v>
      </c>
      <c r="J447" t="s">
        <v>126</v>
      </c>
      <c r="K447" t="s">
        <v>126</v>
      </c>
      <c r="L447" t="s">
        <v>126</v>
      </c>
      <c r="M447" t="s">
        <v>1098</v>
      </c>
      <c r="N447" t="b">
        <v>0</v>
      </c>
    </row>
    <row r="448" spans="1:14">
      <c r="A448">
        <v>19</v>
      </c>
      <c r="B448">
        <v>24</v>
      </c>
      <c r="C448" t="s">
        <v>126</v>
      </c>
      <c r="D448" t="s">
        <v>741</v>
      </c>
      <c r="E448" t="s">
        <v>126</v>
      </c>
      <c r="F448">
        <v>0</v>
      </c>
      <c r="G448" t="s">
        <v>126</v>
      </c>
      <c r="H448" t="s">
        <v>126</v>
      </c>
      <c r="I448" t="s">
        <v>126</v>
      </c>
      <c r="J448" t="s">
        <v>126</v>
      </c>
      <c r="K448" t="s">
        <v>126</v>
      </c>
      <c r="L448" t="s">
        <v>126</v>
      </c>
      <c r="M448" t="s">
        <v>1099</v>
      </c>
      <c r="N448" t="b">
        <v>0</v>
      </c>
    </row>
    <row r="449" spans="1:14">
      <c r="A449">
        <v>19</v>
      </c>
      <c r="B449">
        <v>25</v>
      </c>
      <c r="C449" t="s">
        <v>126</v>
      </c>
      <c r="D449" t="s">
        <v>741</v>
      </c>
      <c r="E449" t="s">
        <v>126</v>
      </c>
      <c r="F449">
        <v>0</v>
      </c>
      <c r="G449" t="s">
        <v>126</v>
      </c>
      <c r="H449" t="s">
        <v>126</v>
      </c>
      <c r="I449" t="s">
        <v>126</v>
      </c>
      <c r="J449" t="s">
        <v>126</v>
      </c>
      <c r="K449" t="s">
        <v>126</v>
      </c>
      <c r="L449" t="s">
        <v>126</v>
      </c>
      <c r="M449" t="s">
        <v>1100</v>
      </c>
      <c r="N449" t="b">
        <v>0</v>
      </c>
    </row>
    <row r="450" spans="1:14">
      <c r="A450">
        <v>19</v>
      </c>
      <c r="B450">
        <v>26</v>
      </c>
      <c r="C450" t="s">
        <v>126</v>
      </c>
      <c r="D450" t="s">
        <v>741</v>
      </c>
      <c r="E450" t="s">
        <v>126</v>
      </c>
      <c r="F450">
        <v>0</v>
      </c>
      <c r="G450" t="s">
        <v>126</v>
      </c>
      <c r="H450" t="s">
        <v>126</v>
      </c>
      <c r="I450" t="s">
        <v>126</v>
      </c>
      <c r="J450" t="s">
        <v>126</v>
      </c>
      <c r="K450" t="s">
        <v>126</v>
      </c>
      <c r="L450" t="s">
        <v>126</v>
      </c>
      <c r="M450" t="s">
        <v>1101</v>
      </c>
      <c r="N450" t="b">
        <v>0</v>
      </c>
    </row>
    <row r="451" spans="1:14">
      <c r="A451">
        <v>20</v>
      </c>
      <c r="B451">
        <v>0</v>
      </c>
      <c r="C451" t="s">
        <v>257</v>
      </c>
      <c r="D451" t="s">
        <v>753</v>
      </c>
      <c r="E451" t="s">
        <v>543</v>
      </c>
      <c r="F451">
        <v>60</v>
      </c>
      <c r="G451" t="s">
        <v>760</v>
      </c>
      <c r="H451" t="s">
        <v>126</v>
      </c>
      <c r="I451" t="s">
        <v>126</v>
      </c>
      <c r="J451" t="s">
        <v>1102</v>
      </c>
      <c r="K451" t="s">
        <v>1103</v>
      </c>
      <c r="L451" t="s">
        <v>1056</v>
      </c>
      <c r="M451" t="s">
        <v>1104</v>
      </c>
      <c r="N451" t="b">
        <v>0</v>
      </c>
    </row>
    <row r="452" spans="1:14">
      <c r="A452">
        <v>20</v>
      </c>
      <c r="B452">
        <v>1</v>
      </c>
      <c r="C452" t="s">
        <v>246</v>
      </c>
      <c r="D452" t="s">
        <v>724</v>
      </c>
      <c r="E452" t="s">
        <v>114</v>
      </c>
      <c r="F452">
        <v>40</v>
      </c>
      <c r="G452" t="s">
        <v>126</v>
      </c>
      <c r="H452" t="s">
        <v>126</v>
      </c>
      <c r="I452" t="s">
        <v>114</v>
      </c>
      <c r="J452" t="s">
        <v>126</v>
      </c>
      <c r="K452" t="s">
        <v>126</v>
      </c>
      <c r="L452" t="s">
        <v>126</v>
      </c>
      <c r="M452" t="s">
        <v>1105</v>
      </c>
      <c r="N452" t="b">
        <v>0</v>
      </c>
    </row>
    <row r="453" spans="1:14">
      <c r="A453">
        <v>20</v>
      </c>
      <c r="B453">
        <v>2</v>
      </c>
      <c r="C453" t="s">
        <v>254</v>
      </c>
      <c r="D453" t="s">
        <v>724</v>
      </c>
      <c r="E453" t="s">
        <v>115</v>
      </c>
      <c r="F453">
        <v>40</v>
      </c>
      <c r="G453" t="s">
        <v>126</v>
      </c>
      <c r="H453" t="s">
        <v>126</v>
      </c>
      <c r="I453" t="s">
        <v>115</v>
      </c>
      <c r="J453" t="s">
        <v>126</v>
      </c>
      <c r="K453" t="s">
        <v>126</v>
      </c>
      <c r="L453" t="s">
        <v>126</v>
      </c>
      <c r="M453" t="s">
        <v>1106</v>
      </c>
      <c r="N453" t="b">
        <v>0</v>
      </c>
    </row>
    <row r="454" spans="1:14">
      <c r="A454">
        <v>20</v>
      </c>
      <c r="B454">
        <v>3</v>
      </c>
      <c r="C454" t="s">
        <v>193</v>
      </c>
      <c r="D454" t="s">
        <v>724</v>
      </c>
      <c r="E454" t="s">
        <v>78</v>
      </c>
      <c r="F454">
        <v>50</v>
      </c>
      <c r="G454" t="s">
        <v>126</v>
      </c>
      <c r="H454" t="s">
        <v>126</v>
      </c>
      <c r="I454" t="s">
        <v>78</v>
      </c>
      <c r="J454" t="s">
        <v>126</v>
      </c>
      <c r="K454" t="s">
        <v>126</v>
      </c>
      <c r="L454" t="s">
        <v>126</v>
      </c>
      <c r="M454" t="s">
        <v>1107</v>
      </c>
      <c r="N454" t="b">
        <v>0</v>
      </c>
    </row>
    <row r="455" spans="1:14">
      <c r="A455">
        <v>20</v>
      </c>
      <c r="B455">
        <v>4</v>
      </c>
      <c r="C455" t="s">
        <v>126</v>
      </c>
      <c r="D455" t="s">
        <v>724</v>
      </c>
      <c r="E455" t="s">
        <v>126</v>
      </c>
      <c r="F455">
        <v>0</v>
      </c>
      <c r="G455" t="s">
        <v>126</v>
      </c>
      <c r="H455" t="s">
        <v>126</v>
      </c>
      <c r="I455" t="s">
        <v>126</v>
      </c>
      <c r="J455" t="s">
        <v>126</v>
      </c>
      <c r="K455" t="s">
        <v>126</v>
      </c>
      <c r="L455" t="s">
        <v>126</v>
      </c>
      <c r="M455" t="s">
        <v>1108</v>
      </c>
      <c r="N455" t="b">
        <v>0</v>
      </c>
    </row>
    <row r="456" spans="1:14">
      <c r="A456">
        <v>20</v>
      </c>
      <c r="B456">
        <v>5</v>
      </c>
      <c r="C456" t="s">
        <v>126</v>
      </c>
      <c r="D456" t="s">
        <v>724</v>
      </c>
      <c r="E456" t="s">
        <v>126</v>
      </c>
      <c r="F456">
        <v>0</v>
      </c>
      <c r="G456" t="s">
        <v>126</v>
      </c>
      <c r="H456" t="s">
        <v>126</v>
      </c>
      <c r="I456" t="s">
        <v>126</v>
      </c>
      <c r="J456" t="s">
        <v>126</v>
      </c>
      <c r="K456" t="s">
        <v>126</v>
      </c>
      <c r="L456" t="s">
        <v>126</v>
      </c>
      <c r="M456" t="s">
        <v>1109</v>
      </c>
      <c r="N456" t="b">
        <v>0</v>
      </c>
    </row>
    <row r="457" spans="1:14">
      <c r="A457">
        <v>20</v>
      </c>
      <c r="B457">
        <v>6</v>
      </c>
      <c r="C457" t="s">
        <v>126</v>
      </c>
      <c r="D457" t="s">
        <v>724</v>
      </c>
      <c r="E457" t="s">
        <v>126</v>
      </c>
      <c r="F457">
        <v>0</v>
      </c>
      <c r="G457" t="s">
        <v>126</v>
      </c>
      <c r="H457" t="s">
        <v>126</v>
      </c>
      <c r="I457" t="s">
        <v>126</v>
      </c>
      <c r="J457" t="s">
        <v>126</v>
      </c>
      <c r="K457" t="s">
        <v>126</v>
      </c>
      <c r="L457" t="s">
        <v>126</v>
      </c>
      <c r="M457" t="s">
        <v>1110</v>
      </c>
      <c r="N457" t="b">
        <v>0</v>
      </c>
    </row>
    <row r="458" spans="1:14">
      <c r="A458">
        <v>20</v>
      </c>
      <c r="B458">
        <v>7</v>
      </c>
      <c r="C458" t="s">
        <v>126</v>
      </c>
      <c r="D458" t="s">
        <v>724</v>
      </c>
      <c r="E458" t="s">
        <v>126</v>
      </c>
      <c r="F458">
        <v>0</v>
      </c>
      <c r="G458" t="s">
        <v>126</v>
      </c>
      <c r="H458" t="s">
        <v>126</v>
      </c>
      <c r="I458" t="s">
        <v>126</v>
      </c>
      <c r="J458" t="s">
        <v>126</v>
      </c>
      <c r="K458" t="s">
        <v>126</v>
      </c>
      <c r="L458" t="s">
        <v>126</v>
      </c>
      <c r="M458" t="s">
        <v>1111</v>
      </c>
      <c r="N458" t="b">
        <v>0</v>
      </c>
    </row>
    <row r="459" spans="1:14">
      <c r="A459">
        <v>20</v>
      </c>
      <c r="B459">
        <v>8</v>
      </c>
      <c r="C459" t="s">
        <v>126</v>
      </c>
      <c r="D459" t="s">
        <v>724</v>
      </c>
      <c r="E459" t="s">
        <v>126</v>
      </c>
      <c r="F459">
        <v>0</v>
      </c>
      <c r="G459" t="s">
        <v>126</v>
      </c>
      <c r="H459" t="s">
        <v>126</v>
      </c>
      <c r="I459" t="s">
        <v>126</v>
      </c>
      <c r="J459" t="s">
        <v>126</v>
      </c>
      <c r="K459" t="s">
        <v>126</v>
      </c>
      <c r="L459" t="s">
        <v>126</v>
      </c>
      <c r="M459" t="s">
        <v>1112</v>
      </c>
      <c r="N459" t="b">
        <v>0</v>
      </c>
    </row>
    <row r="460" spans="1:14">
      <c r="A460">
        <v>20</v>
      </c>
      <c r="B460">
        <v>9</v>
      </c>
      <c r="C460" t="s">
        <v>126</v>
      </c>
      <c r="D460" t="s">
        <v>724</v>
      </c>
      <c r="E460" t="s">
        <v>126</v>
      </c>
      <c r="F460">
        <v>0</v>
      </c>
      <c r="G460" t="s">
        <v>126</v>
      </c>
      <c r="H460" t="s">
        <v>126</v>
      </c>
      <c r="I460" t="s">
        <v>126</v>
      </c>
      <c r="J460" t="s">
        <v>126</v>
      </c>
      <c r="K460" t="s">
        <v>126</v>
      </c>
      <c r="L460" t="s">
        <v>126</v>
      </c>
      <c r="M460" t="s">
        <v>1113</v>
      </c>
      <c r="N460" t="b">
        <v>0</v>
      </c>
    </row>
    <row r="461" spans="1:14">
      <c r="A461">
        <v>20</v>
      </c>
      <c r="B461">
        <v>10</v>
      </c>
      <c r="C461" t="s">
        <v>126</v>
      </c>
      <c r="D461" t="s">
        <v>724</v>
      </c>
      <c r="E461" t="s">
        <v>126</v>
      </c>
      <c r="F461">
        <v>0</v>
      </c>
      <c r="G461" t="s">
        <v>126</v>
      </c>
      <c r="H461" t="s">
        <v>126</v>
      </c>
      <c r="I461" t="s">
        <v>126</v>
      </c>
      <c r="J461" t="s">
        <v>126</v>
      </c>
      <c r="K461" t="s">
        <v>126</v>
      </c>
      <c r="L461" t="s">
        <v>126</v>
      </c>
      <c r="M461" t="s">
        <v>1114</v>
      </c>
      <c r="N461" t="b">
        <v>0</v>
      </c>
    </row>
    <row r="462" spans="1:14">
      <c r="A462">
        <v>20</v>
      </c>
      <c r="B462">
        <v>11</v>
      </c>
      <c r="C462" t="s">
        <v>126</v>
      </c>
      <c r="D462" t="s">
        <v>724</v>
      </c>
      <c r="E462" t="s">
        <v>126</v>
      </c>
      <c r="F462">
        <v>0</v>
      </c>
      <c r="G462" t="s">
        <v>126</v>
      </c>
      <c r="H462" t="s">
        <v>126</v>
      </c>
      <c r="I462" t="s">
        <v>126</v>
      </c>
      <c r="J462" t="s">
        <v>126</v>
      </c>
      <c r="K462" t="s">
        <v>126</v>
      </c>
      <c r="L462" t="s">
        <v>126</v>
      </c>
      <c r="M462" t="s">
        <v>1115</v>
      </c>
      <c r="N462" t="b">
        <v>0</v>
      </c>
    </row>
    <row r="463" spans="1:14">
      <c r="A463">
        <v>20</v>
      </c>
      <c r="B463">
        <v>12</v>
      </c>
      <c r="C463" t="s">
        <v>126</v>
      </c>
      <c r="D463" t="s">
        <v>724</v>
      </c>
      <c r="E463" t="s">
        <v>126</v>
      </c>
      <c r="F463">
        <v>0</v>
      </c>
      <c r="G463" t="s">
        <v>126</v>
      </c>
      <c r="H463" t="s">
        <v>126</v>
      </c>
      <c r="I463" t="s">
        <v>126</v>
      </c>
      <c r="J463" t="s">
        <v>126</v>
      </c>
      <c r="K463" t="s">
        <v>126</v>
      </c>
      <c r="L463" t="s">
        <v>126</v>
      </c>
      <c r="M463" t="s">
        <v>1116</v>
      </c>
      <c r="N463" t="b">
        <v>0</v>
      </c>
    </row>
    <row r="464" spans="1:14">
      <c r="A464">
        <v>20</v>
      </c>
      <c r="B464">
        <v>13</v>
      </c>
      <c r="C464" t="s">
        <v>126</v>
      </c>
      <c r="D464" t="s">
        <v>724</v>
      </c>
      <c r="E464" t="s">
        <v>126</v>
      </c>
      <c r="F464">
        <v>0</v>
      </c>
      <c r="G464" t="s">
        <v>126</v>
      </c>
      <c r="H464" t="s">
        <v>126</v>
      </c>
      <c r="I464" t="s">
        <v>126</v>
      </c>
      <c r="J464" t="s">
        <v>126</v>
      </c>
      <c r="K464" t="s">
        <v>126</v>
      </c>
      <c r="L464" t="s">
        <v>126</v>
      </c>
      <c r="M464" t="s">
        <v>1117</v>
      </c>
      <c r="N464" t="b">
        <v>0</v>
      </c>
    </row>
    <row r="465" spans="1:14">
      <c r="A465">
        <v>20</v>
      </c>
      <c r="B465">
        <v>14</v>
      </c>
      <c r="C465" t="s">
        <v>126</v>
      </c>
      <c r="D465" t="s">
        <v>724</v>
      </c>
      <c r="E465" t="s">
        <v>126</v>
      </c>
      <c r="F465">
        <v>0</v>
      </c>
      <c r="G465" t="s">
        <v>126</v>
      </c>
      <c r="H465" t="s">
        <v>126</v>
      </c>
      <c r="I465" t="s">
        <v>126</v>
      </c>
      <c r="J465" t="s">
        <v>126</v>
      </c>
      <c r="K465" t="s">
        <v>126</v>
      </c>
      <c r="L465" t="s">
        <v>126</v>
      </c>
      <c r="M465" t="s">
        <v>1118</v>
      </c>
      <c r="N465" t="b">
        <v>0</v>
      </c>
    </row>
    <row r="466" spans="1:14">
      <c r="A466">
        <v>20</v>
      </c>
      <c r="B466">
        <v>15</v>
      </c>
      <c r="C466" t="s">
        <v>126</v>
      </c>
      <c r="D466" t="s">
        <v>724</v>
      </c>
      <c r="E466" t="s">
        <v>126</v>
      </c>
      <c r="F466">
        <v>0</v>
      </c>
      <c r="G466" t="s">
        <v>126</v>
      </c>
      <c r="H466" t="s">
        <v>126</v>
      </c>
      <c r="I466" t="s">
        <v>126</v>
      </c>
      <c r="J466" t="s">
        <v>126</v>
      </c>
      <c r="K466" t="s">
        <v>126</v>
      </c>
      <c r="L466" t="s">
        <v>126</v>
      </c>
      <c r="M466" t="s">
        <v>1119</v>
      </c>
      <c r="N466" t="b">
        <v>0</v>
      </c>
    </row>
    <row r="467" spans="1:14">
      <c r="A467">
        <v>20</v>
      </c>
      <c r="B467">
        <v>16</v>
      </c>
      <c r="C467" t="s">
        <v>164</v>
      </c>
      <c r="D467" t="s">
        <v>741</v>
      </c>
      <c r="E467" t="s">
        <v>67</v>
      </c>
      <c r="F467">
        <v>40</v>
      </c>
      <c r="G467" t="s">
        <v>126</v>
      </c>
      <c r="H467" t="s">
        <v>126</v>
      </c>
      <c r="I467" t="s">
        <v>67</v>
      </c>
      <c r="J467" t="s">
        <v>126</v>
      </c>
      <c r="K467" t="s">
        <v>126</v>
      </c>
      <c r="L467" t="s">
        <v>126</v>
      </c>
      <c r="M467" t="s">
        <v>1120</v>
      </c>
      <c r="N467" t="b">
        <v>0</v>
      </c>
    </row>
    <row r="468" spans="1:14">
      <c r="A468">
        <v>20</v>
      </c>
      <c r="B468">
        <v>17</v>
      </c>
      <c r="C468" t="s">
        <v>165</v>
      </c>
      <c r="D468" t="s">
        <v>741</v>
      </c>
      <c r="E468" t="s">
        <v>70</v>
      </c>
      <c r="F468">
        <v>40</v>
      </c>
      <c r="G468" t="s">
        <v>126</v>
      </c>
      <c r="H468" t="s">
        <v>126</v>
      </c>
      <c r="I468" t="s">
        <v>70</v>
      </c>
      <c r="J468" t="s">
        <v>126</v>
      </c>
      <c r="K468" t="s">
        <v>126</v>
      </c>
      <c r="L468" t="s">
        <v>126</v>
      </c>
      <c r="M468" t="s">
        <v>681</v>
      </c>
      <c r="N468" t="b">
        <v>0</v>
      </c>
    </row>
    <row r="469" spans="1:14">
      <c r="A469">
        <v>20</v>
      </c>
      <c r="B469">
        <v>18</v>
      </c>
      <c r="C469" t="s">
        <v>258</v>
      </c>
      <c r="D469" t="s">
        <v>741</v>
      </c>
      <c r="E469" t="s">
        <v>543</v>
      </c>
      <c r="F469">
        <v>40</v>
      </c>
      <c r="G469" t="s">
        <v>760</v>
      </c>
      <c r="H469" t="s">
        <v>126</v>
      </c>
      <c r="I469" t="s">
        <v>126</v>
      </c>
      <c r="J469" t="s">
        <v>1102</v>
      </c>
      <c r="K469" t="s">
        <v>1121</v>
      </c>
      <c r="L469" t="s">
        <v>1082</v>
      </c>
      <c r="M469" t="s">
        <v>1122</v>
      </c>
      <c r="N469" t="b">
        <v>0</v>
      </c>
    </row>
    <row r="470" spans="1:14">
      <c r="A470">
        <v>20</v>
      </c>
      <c r="B470">
        <v>19</v>
      </c>
      <c r="C470" t="s">
        <v>179</v>
      </c>
      <c r="D470" t="s">
        <v>741</v>
      </c>
      <c r="E470" t="s">
        <v>83</v>
      </c>
      <c r="F470">
        <v>50</v>
      </c>
      <c r="G470" t="s">
        <v>126</v>
      </c>
      <c r="H470" t="s">
        <v>126</v>
      </c>
      <c r="I470" t="s">
        <v>83</v>
      </c>
      <c r="J470" t="s">
        <v>126</v>
      </c>
      <c r="K470" t="s">
        <v>126</v>
      </c>
      <c r="L470" t="s">
        <v>126</v>
      </c>
      <c r="M470" t="s">
        <v>1123</v>
      </c>
      <c r="N470" t="b">
        <v>0</v>
      </c>
    </row>
    <row r="471" spans="1:14">
      <c r="A471">
        <v>20</v>
      </c>
      <c r="B471">
        <v>20</v>
      </c>
      <c r="C471" t="s">
        <v>210</v>
      </c>
      <c r="D471" t="s">
        <v>741</v>
      </c>
      <c r="E471" t="s">
        <v>87</v>
      </c>
      <c r="F471">
        <v>40</v>
      </c>
      <c r="G471" t="s">
        <v>126</v>
      </c>
      <c r="H471" t="s">
        <v>126</v>
      </c>
      <c r="I471" t="s">
        <v>87</v>
      </c>
      <c r="J471" t="s">
        <v>126</v>
      </c>
      <c r="K471" t="s">
        <v>126</v>
      </c>
      <c r="L471" t="s">
        <v>126</v>
      </c>
      <c r="M471" t="s">
        <v>1124</v>
      </c>
      <c r="N471" t="b">
        <v>0</v>
      </c>
    </row>
    <row r="472" spans="1:14">
      <c r="A472">
        <v>20</v>
      </c>
      <c r="B472">
        <v>21</v>
      </c>
      <c r="C472" t="s">
        <v>187</v>
      </c>
      <c r="D472" t="s">
        <v>741</v>
      </c>
      <c r="E472" t="s">
        <v>93</v>
      </c>
      <c r="F472">
        <v>50</v>
      </c>
      <c r="G472" t="s">
        <v>126</v>
      </c>
      <c r="H472" t="s">
        <v>126</v>
      </c>
      <c r="I472" t="s">
        <v>93</v>
      </c>
      <c r="J472" t="s">
        <v>126</v>
      </c>
      <c r="K472" t="s">
        <v>126</v>
      </c>
      <c r="L472" t="s">
        <v>126</v>
      </c>
      <c r="M472" t="s">
        <v>1125</v>
      </c>
      <c r="N472" t="b">
        <v>0</v>
      </c>
    </row>
    <row r="473" spans="1:14">
      <c r="A473">
        <v>20</v>
      </c>
      <c r="B473">
        <v>22</v>
      </c>
      <c r="C473" t="s">
        <v>160</v>
      </c>
      <c r="D473" t="s">
        <v>741</v>
      </c>
      <c r="E473" t="s">
        <v>297</v>
      </c>
      <c r="F473">
        <v>40</v>
      </c>
      <c r="G473" t="s">
        <v>760</v>
      </c>
      <c r="H473" t="s">
        <v>126</v>
      </c>
      <c r="I473" t="s">
        <v>126</v>
      </c>
      <c r="J473" t="s">
        <v>761</v>
      </c>
      <c r="K473" t="s">
        <v>762</v>
      </c>
      <c r="L473" t="s">
        <v>763</v>
      </c>
      <c r="M473" t="s">
        <v>1126</v>
      </c>
      <c r="N473" t="b">
        <v>0</v>
      </c>
    </row>
    <row r="474" spans="1:14">
      <c r="A474">
        <v>20</v>
      </c>
      <c r="B474">
        <v>23</v>
      </c>
      <c r="C474" t="s">
        <v>182</v>
      </c>
      <c r="D474" t="s">
        <v>741</v>
      </c>
      <c r="E474" t="s">
        <v>61</v>
      </c>
      <c r="F474">
        <v>40</v>
      </c>
      <c r="G474" t="s">
        <v>126</v>
      </c>
      <c r="H474" t="s">
        <v>126</v>
      </c>
      <c r="I474" t="s">
        <v>61</v>
      </c>
      <c r="J474" t="s">
        <v>126</v>
      </c>
      <c r="K474" t="s">
        <v>126</v>
      </c>
      <c r="L474" t="s">
        <v>126</v>
      </c>
      <c r="M474" t="s">
        <v>1127</v>
      </c>
      <c r="N474" t="b">
        <v>0</v>
      </c>
    </row>
    <row r="475" spans="1:14">
      <c r="A475">
        <v>20</v>
      </c>
      <c r="B475">
        <v>24</v>
      </c>
      <c r="C475" t="s">
        <v>259</v>
      </c>
      <c r="D475" t="s">
        <v>741</v>
      </c>
      <c r="E475" t="s">
        <v>331</v>
      </c>
      <c r="F475">
        <v>40</v>
      </c>
      <c r="G475" t="s">
        <v>760</v>
      </c>
      <c r="H475" t="s">
        <v>126</v>
      </c>
      <c r="I475" t="s">
        <v>126</v>
      </c>
      <c r="J475" t="s">
        <v>1128</v>
      </c>
      <c r="K475" t="s">
        <v>921</v>
      </c>
      <c r="L475" t="s">
        <v>922</v>
      </c>
      <c r="M475" t="s">
        <v>1129</v>
      </c>
      <c r="N475" t="b">
        <v>0</v>
      </c>
    </row>
    <row r="476" spans="1:14">
      <c r="A476">
        <v>20</v>
      </c>
      <c r="B476">
        <v>25</v>
      </c>
      <c r="C476" t="s">
        <v>235</v>
      </c>
      <c r="D476" t="s">
        <v>741</v>
      </c>
      <c r="E476" t="s">
        <v>76</v>
      </c>
      <c r="F476">
        <v>50</v>
      </c>
      <c r="G476" t="s">
        <v>126</v>
      </c>
      <c r="H476" t="s">
        <v>126</v>
      </c>
      <c r="I476" t="s">
        <v>76</v>
      </c>
      <c r="J476" t="s">
        <v>126</v>
      </c>
      <c r="K476" t="s">
        <v>126</v>
      </c>
      <c r="L476" t="s">
        <v>126</v>
      </c>
      <c r="M476" t="s">
        <v>1130</v>
      </c>
      <c r="N476" t="b">
        <v>0</v>
      </c>
    </row>
    <row r="477" spans="1:14">
      <c r="A477">
        <v>20</v>
      </c>
      <c r="B477">
        <v>26</v>
      </c>
      <c r="C477" t="s">
        <v>183</v>
      </c>
      <c r="D477" t="s">
        <v>741</v>
      </c>
      <c r="E477" t="s">
        <v>545</v>
      </c>
      <c r="F477">
        <v>40</v>
      </c>
      <c r="G477" t="s">
        <v>760</v>
      </c>
      <c r="H477" t="s">
        <v>126</v>
      </c>
      <c r="I477" t="s">
        <v>126</v>
      </c>
      <c r="J477" t="s">
        <v>824</v>
      </c>
      <c r="K477" t="s">
        <v>801</v>
      </c>
      <c r="L477" t="s">
        <v>802</v>
      </c>
      <c r="M477" t="s">
        <v>1131</v>
      </c>
      <c r="N477" t="b">
        <v>0</v>
      </c>
    </row>
    <row r="478" spans="1:14">
      <c r="A478">
        <v>21</v>
      </c>
      <c r="B478">
        <v>0</v>
      </c>
      <c r="C478" t="s">
        <v>261</v>
      </c>
      <c r="D478" t="s">
        <v>724</v>
      </c>
      <c r="E478" t="s">
        <v>65</v>
      </c>
      <c r="F478">
        <v>40</v>
      </c>
      <c r="G478" t="s">
        <v>126</v>
      </c>
      <c r="H478" t="s">
        <v>126</v>
      </c>
      <c r="I478" t="s">
        <v>65</v>
      </c>
      <c r="J478" t="s">
        <v>126</v>
      </c>
      <c r="K478" t="s">
        <v>126</v>
      </c>
      <c r="L478" t="s">
        <v>126</v>
      </c>
      <c r="M478" t="s">
        <v>1132</v>
      </c>
      <c r="N478" t="b">
        <v>0</v>
      </c>
    </row>
    <row r="479" spans="1:14">
      <c r="A479">
        <v>21</v>
      </c>
      <c r="B479">
        <v>1</v>
      </c>
      <c r="C479" t="s">
        <v>158</v>
      </c>
      <c r="D479" t="s">
        <v>724</v>
      </c>
      <c r="E479" t="s">
        <v>83</v>
      </c>
      <c r="F479">
        <v>40</v>
      </c>
      <c r="G479" t="s">
        <v>126</v>
      </c>
      <c r="H479" t="s">
        <v>126</v>
      </c>
      <c r="I479" t="s">
        <v>83</v>
      </c>
      <c r="J479" t="s">
        <v>126</v>
      </c>
      <c r="K479" t="s">
        <v>126</v>
      </c>
      <c r="L479" t="s">
        <v>126</v>
      </c>
      <c r="M479" t="s">
        <v>1133</v>
      </c>
      <c r="N479" t="b">
        <v>0</v>
      </c>
    </row>
    <row r="480" spans="1:14">
      <c r="A480">
        <v>21</v>
      </c>
      <c r="B480">
        <v>2</v>
      </c>
      <c r="C480" t="s">
        <v>202</v>
      </c>
      <c r="D480" t="s">
        <v>724</v>
      </c>
      <c r="E480" t="s">
        <v>103</v>
      </c>
      <c r="F480">
        <v>60</v>
      </c>
      <c r="G480" t="s">
        <v>126</v>
      </c>
      <c r="H480" t="s">
        <v>126</v>
      </c>
      <c r="I480" t="s">
        <v>103</v>
      </c>
      <c r="J480" t="s">
        <v>126</v>
      </c>
      <c r="K480" t="s">
        <v>126</v>
      </c>
      <c r="L480" t="s">
        <v>126</v>
      </c>
      <c r="M480" t="s">
        <v>1134</v>
      </c>
      <c r="N480" t="b">
        <v>0</v>
      </c>
    </row>
    <row r="481" spans="1:14">
      <c r="A481">
        <v>21</v>
      </c>
      <c r="B481">
        <v>3</v>
      </c>
      <c r="C481" t="s">
        <v>254</v>
      </c>
      <c r="D481" t="s">
        <v>724</v>
      </c>
      <c r="E481" t="s">
        <v>115</v>
      </c>
      <c r="F481">
        <v>40</v>
      </c>
      <c r="G481" t="s">
        <v>126</v>
      </c>
      <c r="H481" t="s">
        <v>126</v>
      </c>
      <c r="I481" t="s">
        <v>115</v>
      </c>
      <c r="J481" t="s">
        <v>126</v>
      </c>
      <c r="K481" t="s">
        <v>126</v>
      </c>
      <c r="L481" t="s">
        <v>126</v>
      </c>
      <c r="M481" t="s">
        <v>1135</v>
      </c>
      <c r="N481" t="b">
        <v>0</v>
      </c>
    </row>
    <row r="482" spans="1:14">
      <c r="A482">
        <v>21</v>
      </c>
      <c r="B482">
        <v>4</v>
      </c>
      <c r="C482" t="s">
        <v>262</v>
      </c>
      <c r="D482" t="s">
        <v>724</v>
      </c>
      <c r="E482" t="s">
        <v>66</v>
      </c>
      <c r="F482">
        <v>40</v>
      </c>
      <c r="G482" t="s">
        <v>126</v>
      </c>
      <c r="H482" t="s">
        <v>126</v>
      </c>
      <c r="I482" t="s">
        <v>66</v>
      </c>
      <c r="J482" t="s">
        <v>126</v>
      </c>
      <c r="K482" t="s">
        <v>126</v>
      </c>
      <c r="L482" t="s">
        <v>126</v>
      </c>
      <c r="M482" t="s">
        <v>1136</v>
      </c>
      <c r="N482" t="b">
        <v>0</v>
      </c>
    </row>
    <row r="483" spans="1:14">
      <c r="A483">
        <v>21</v>
      </c>
      <c r="B483">
        <v>5</v>
      </c>
      <c r="C483" t="s">
        <v>163</v>
      </c>
      <c r="D483" t="s">
        <v>724</v>
      </c>
      <c r="E483" t="s">
        <v>78</v>
      </c>
      <c r="F483">
        <v>40</v>
      </c>
      <c r="G483" t="s">
        <v>126</v>
      </c>
      <c r="H483" t="s">
        <v>126</v>
      </c>
      <c r="I483" t="s">
        <v>78</v>
      </c>
      <c r="J483" t="s">
        <v>126</v>
      </c>
      <c r="K483" t="s">
        <v>126</v>
      </c>
      <c r="L483" t="s">
        <v>126</v>
      </c>
      <c r="M483" t="s">
        <v>1137</v>
      </c>
      <c r="N483" t="b">
        <v>0</v>
      </c>
    </row>
    <row r="484" spans="1:14">
      <c r="A484">
        <v>21</v>
      </c>
      <c r="B484">
        <v>6</v>
      </c>
      <c r="C484" t="s">
        <v>213</v>
      </c>
      <c r="D484" t="s">
        <v>724</v>
      </c>
      <c r="E484" t="s">
        <v>84</v>
      </c>
      <c r="F484">
        <v>40</v>
      </c>
      <c r="G484" t="s">
        <v>126</v>
      </c>
      <c r="H484" t="s">
        <v>126</v>
      </c>
      <c r="I484" t="s">
        <v>84</v>
      </c>
      <c r="J484" t="s">
        <v>126</v>
      </c>
      <c r="K484" t="s">
        <v>126</v>
      </c>
      <c r="L484" t="s">
        <v>126</v>
      </c>
      <c r="M484" t="s">
        <v>1138</v>
      </c>
      <c r="N484" t="b">
        <v>0</v>
      </c>
    </row>
    <row r="485" spans="1:14">
      <c r="A485">
        <v>21</v>
      </c>
      <c r="B485">
        <v>7</v>
      </c>
      <c r="C485" t="s">
        <v>263</v>
      </c>
      <c r="D485" t="s">
        <v>724</v>
      </c>
      <c r="E485" t="s">
        <v>545</v>
      </c>
      <c r="F485">
        <v>40</v>
      </c>
      <c r="G485" t="s">
        <v>126</v>
      </c>
      <c r="H485" t="s">
        <v>555</v>
      </c>
      <c r="I485" t="s">
        <v>332</v>
      </c>
      <c r="J485" t="s">
        <v>126</v>
      </c>
      <c r="K485" t="s">
        <v>801</v>
      </c>
      <c r="L485" t="s">
        <v>802</v>
      </c>
      <c r="M485" t="s">
        <v>1139</v>
      </c>
      <c r="N485" t="b">
        <v>0</v>
      </c>
    </row>
    <row r="486" spans="1:14">
      <c r="A486">
        <v>21</v>
      </c>
      <c r="B486">
        <v>8</v>
      </c>
      <c r="C486" t="s">
        <v>126</v>
      </c>
      <c r="D486" t="s">
        <v>724</v>
      </c>
      <c r="E486" t="s">
        <v>126</v>
      </c>
      <c r="F486">
        <v>0</v>
      </c>
      <c r="G486" t="s">
        <v>126</v>
      </c>
      <c r="H486" t="s">
        <v>126</v>
      </c>
      <c r="I486" t="s">
        <v>126</v>
      </c>
      <c r="J486" t="s">
        <v>126</v>
      </c>
      <c r="K486" t="s">
        <v>126</v>
      </c>
      <c r="L486" t="s">
        <v>126</v>
      </c>
      <c r="M486" t="s">
        <v>1140</v>
      </c>
      <c r="N486" t="b">
        <v>0</v>
      </c>
    </row>
    <row r="487" spans="1:14">
      <c r="A487">
        <v>21</v>
      </c>
      <c r="B487">
        <v>9</v>
      </c>
      <c r="C487" t="s">
        <v>126</v>
      </c>
      <c r="D487" t="s">
        <v>724</v>
      </c>
      <c r="E487" t="s">
        <v>126</v>
      </c>
      <c r="F487">
        <v>0</v>
      </c>
      <c r="G487" t="s">
        <v>126</v>
      </c>
      <c r="H487" t="s">
        <v>126</v>
      </c>
      <c r="I487" t="s">
        <v>126</v>
      </c>
      <c r="J487" t="s">
        <v>126</v>
      </c>
      <c r="K487" t="s">
        <v>126</v>
      </c>
      <c r="L487" t="s">
        <v>126</v>
      </c>
      <c r="M487" t="s">
        <v>1141</v>
      </c>
      <c r="N487" t="b">
        <v>0</v>
      </c>
    </row>
    <row r="488" spans="1:14">
      <c r="A488">
        <v>21</v>
      </c>
      <c r="B488">
        <v>10</v>
      </c>
      <c r="C488" t="s">
        <v>126</v>
      </c>
      <c r="D488" t="s">
        <v>724</v>
      </c>
      <c r="E488" t="s">
        <v>126</v>
      </c>
      <c r="F488">
        <v>0</v>
      </c>
      <c r="G488" t="s">
        <v>126</v>
      </c>
      <c r="H488" t="s">
        <v>126</v>
      </c>
      <c r="I488" t="s">
        <v>126</v>
      </c>
      <c r="J488" t="s">
        <v>126</v>
      </c>
      <c r="K488" t="s">
        <v>126</v>
      </c>
      <c r="L488" t="s">
        <v>126</v>
      </c>
      <c r="M488" t="s">
        <v>1142</v>
      </c>
      <c r="N488" t="b">
        <v>0</v>
      </c>
    </row>
    <row r="489" spans="1:14">
      <c r="A489">
        <v>21</v>
      </c>
      <c r="B489">
        <v>11</v>
      </c>
      <c r="C489" t="s">
        <v>126</v>
      </c>
      <c r="D489" t="s">
        <v>724</v>
      </c>
      <c r="E489" t="s">
        <v>126</v>
      </c>
      <c r="F489">
        <v>0</v>
      </c>
      <c r="G489" t="s">
        <v>126</v>
      </c>
      <c r="H489" t="s">
        <v>126</v>
      </c>
      <c r="I489" t="s">
        <v>126</v>
      </c>
      <c r="J489" t="s">
        <v>126</v>
      </c>
      <c r="K489" t="s">
        <v>126</v>
      </c>
      <c r="L489" t="s">
        <v>126</v>
      </c>
      <c r="M489" t="s">
        <v>1143</v>
      </c>
      <c r="N489" t="b">
        <v>0</v>
      </c>
    </row>
    <row r="490" spans="1:14">
      <c r="A490">
        <v>21</v>
      </c>
      <c r="B490">
        <v>12</v>
      </c>
      <c r="C490" t="s">
        <v>126</v>
      </c>
      <c r="D490" t="s">
        <v>724</v>
      </c>
      <c r="E490" t="s">
        <v>126</v>
      </c>
      <c r="F490">
        <v>0</v>
      </c>
      <c r="G490" t="s">
        <v>126</v>
      </c>
      <c r="H490" t="s">
        <v>126</v>
      </c>
      <c r="I490" t="s">
        <v>126</v>
      </c>
      <c r="J490" t="s">
        <v>126</v>
      </c>
      <c r="K490" t="s">
        <v>126</v>
      </c>
      <c r="L490" t="s">
        <v>126</v>
      </c>
      <c r="M490" t="s">
        <v>1144</v>
      </c>
      <c r="N490" t="b">
        <v>0</v>
      </c>
    </row>
    <row r="491" spans="1:14">
      <c r="A491">
        <v>21</v>
      </c>
      <c r="B491">
        <v>13</v>
      </c>
      <c r="C491" t="s">
        <v>126</v>
      </c>
      <c r="D491" t="s">
        <v>724</v>
      </c>
      <c r="E491" t="s">
        <v>126</v>
      </c>
      <c r="F491">
        <v>0</v>
      </c>
      <c r="G491" t="s">
        <v>126</v>
      </c>
      <c r="H491" t="s">
        <v>126</v>
      </c>
      <c r="I491" t="s">
        <v>126</v>
      </c>
      <c r="J491" t="s">
        <v>126</v>
      </c>
      <c r="K491" t="s">
        <v>126</v>
      </c>
      <c r="L491" t="s">
        <v>126</v>
      </c>
      <c r="M491" t="s">
        <v>1145</v>
      </c>
      <c r="N491" t="b">
        <v>0</v>
      </c>
    </row>
    <row r="492" spans="1:14">
      <c r="A492">
        <v>21</v>
      </c>
      <c r="B492">
        <v>14</v>
      </c>
      <c r="C492" t="s">
        <v>126</v>
      </c>
      <c r="D492" t="s">
        <v>724</v>
      </c>
      <c r="E492" t="s">
        <v>126</v>
      </c>
      <c r="F492">
        <v>0</v>
      </c>
      <c r="G492" t="s">
        <v>126</v>
      </c>
      <c r="H492" t="s">
        <v>126</v>
      </c>
      <c r="I492" t="s">
        <v>126</v>
      </c>
      <c r="J492" t="s">
        <v>126</v>
      </c>
      <c r="K492" t="s">
        <v>126</v>
      </c>
      <c r="L492" t="s">
        <v>126</v>
      </c>
      <c r="M492" t="s">
        <v>1146</v>
      </c>
      <c r="N492" t="b">
        <v>0</v>
      </c>
    </row>
    <row r="493" spans="1:14">
      <c r="A493">
        <v>21</v>
      </c>
      <c r="B493">
        <v>15</v>
      </c>
      <c r="C493" t="s">
        <v>126</v>
      </c>
      <c r="D493" t="s">
        <v>724</v>
      </c>
      <c r="E493" t="s">
        <v>126</v>
      </c>
      <c r="F493">
        <v>0</v>
      </c>
      <c r="G493" t="s">
        <v>126</v>
      </c>
      <c r="H493" t="s">
        <v>126</v>
      </c>
      <c r="I493" t="s">
        <v>126</v>
      </c>
      <c r="J493" t="s">
        <v>126</v>
      </c>
      <c r="K493" t="s">
        <v>126</v>
      </c>
      <c r="L493" t="s">
        <v>126</v>
      </c>
      <c r="M493" t="s">
        <v>1147</v>
      </c>
      <c r="N493" t="b">
        <v>0</v>
      </c>
    </row>
    <row r="494" spans="1:14">
      <c r="A494">
        <v>21</v>
      </c>
      <c r="B494">
        <v>16</v>
      </c>
      <c r="C494" t="s">
        <v>264</v>
      </c>
      <c r="D494" t="s">
        <v>741</v>
      </c>
      <c r="E494" t="s">
        <v>99</v>
      </c>
      <c r="F494">
        <v>60</v>
      </c>
      <c r="G494" t="s">
        <v>126</v>
      </c>
      <c r="H494" t="s">
        <v>126</v>
      </c>
      <c r="I494" t="s">
        <v>99</v>
      </c>
      <c r="J494" t="s">
        <v>126</v>
      </c>
      <c r="K494" t="s">
        <v>126</v>
      </c>
      <c r="L494" t="s">
        <v>126</v>
      </c>
      <c r="M494" t="s">
        <v>1148</v>
      </c>
      <c r="N494" t="b">
        <v>0</v>
      </c>
    </row>
    <row r="495" spans="1:14">
      <c r="A495">
        <v>21</v>
      </c>
      <c r="B495">
        <v>17</v>
      </c>
      <c r="C495" t="s">
        <v>212</v>
      </c>
      <c r="D495" t="s">
        <v>741</v>
      </c>
      <c r="E495" t="s">
        <v>109</v>
      </c>
      <c r="F495">
        <v>40</v>
      </c>
      <c r="G495" t="s">
        <v>126</v>
      </c>
      <c r="H495" t="s">
        <v>126</v>
      </c>
      <c r="I495" t="s">
        <v>109</v>
      </c>
      <c r="J495" t="s">
        <v>126</v>
      </c>
      <c r="K495" t="s">
        <v>126</v>
      </c>
      <c r="L495" t="s">
        <v>126</v>
      </c>
      <c r="M495" t="s">
        <v>683</v>
      </c>
      <c r="N495" t="b">
        <v>0</v>
      </c>
    </row>
    <row r="496" spans="1:14">
      <c r="A496">
        <v>21</v>
      </c>
      <c r="B496">
        <v>18</v>
      </c>
      <c r="C496" t="s">
        <v>167</v>
      </c>
      <c r="D496" t="s">
        <v>741</v>
      </c>
      <c r="E496" t="s">
        <v>74</v>
      </c>
      <c r="F496">
        <v>50</v>
      </c>
      <c r="G496" t="s">
        <v>126</v>
      </c>
      <c r="H496" t="s">
        <v>126</v>
      </c>
      <c r="I496" t="s">
        <v>74</v>
      </c>
      <c r="J496" t="s">
        <v>126</v>
      </c>
      <c r="K496" t="s">
        <v>126</v>
      </c>
      <c r="L496" t="s">
        <v>126</v>
      </c>
      <c r="M496" t="s">
        <v>1149</v>
      </c>
      <c r="N496" t="b">
        <v>0</v>
      </c>
    </row>
    <row r="497" spans="1:14">
      <c r="A497">
        <v>21</v>
      </c>
      <c r="B497">
        <v>19</v>
      </c>
      <c r="C497" t="s">
        <v>265</v>
      </c>
      <c r="D497" t="s">
        <v>741</v>
      </c>
      <c r="E497" t="s">
        <v>91</v>
      </c>
      <c r="F497">
        <v>50</v>
      </c>
      <c r="G497" t="s">
        <v>126</v>
      </c>
      <c r="H497" t="s">
        <v>126</v>
      </c>
      <c r="I497" t="s">
        <v>91</v>
      </c>
      <c r="J497" t="s">
        <v>126</v>
      </c>
      <c r="K497" t="s">
        <v>126</v>
      </c>
      <c r="L497" t="s">
        <v>126</v>
      </c>
      <c r="M497" t="s">
        <v>1150</v>
      </c>
      <c r="N497" t="b">
        <v>0</v>
      </c>
    </row>
    <row r="498" spans="1:14">
      <c r="A498">
        <v>21</v>
      </c>
      <c r="B498">
        <v>20</v>
      </c>
      <c r="C498" t="s">
        <v>169</v>
      </c>
      <c r="D498" t="s">
        <v>741</v>
      </c>
      <c r="E498" t="s">
        <v>98</v>
      </c>
      <c r="F498">
        <v>60</v>
      </c>
      <c r="G498" t="s">
        <v>126</v>
      </c>
      <c r="H498" t="s">
        <v>126</v>
      </c>
      <c r="I498" t="s">
        <v>98</v>
      </c>
      <c r="J498" t="s">
        <v>126</v>
      </c>
      <c r="K498" t="s">
        <v>126</v>
      </c>
      <c r="L498" t="s">
        <v>126</v>
      </c>
      <c r="M498" t="s">
        <v>1151</v>
      </c>
      <c r="N498" t="b">
        <v>0</v>
      </c>
    </row>
    <row r="499" spans="1:14">
      <c r="A499">
        <v>21</v>
      </c>
      <c r="B499">
        <v>21</v>
      </c>
      <c r="C499" t="s">
        <v>126</v>
      </c>
      <c r="D499" t="s">
        <v>741</v>
      </c>
      <c r="E499" t="s">
        <v>126</v>
      </c>
      <c r="F499">
        <v>0</v>
      </c>
      <c r="G499" t="s">
        <v>126</v>
      </c>
      <c r="H499" t="s">
        <v>126</v>
      </c>
      <c r="I499" t="s">
        <v>126</v>
      </c>
      <c r="J499" t="s">
        <v>126</v>
      </c>
      <c r="K499" t="s">
        <v>126</v>
      </c>
      <c r="L499" t="s">
        <v>126</v>
      </c>
      <c r="M499" t="s">
        <v>1152</v>
      </c>
      <c r="N499" t="b">
        <v>0</v>
      </c>
    </row>
    <row r="500" spans="1:14">
      <c r="A500">
        <v>21</v>
      </c>
      <c r="B500">
        <v>22</v>
      </c>
      <c r="C500" t="s">
        <v>126</v>
      </c>
      <c r="D500" t="s">
        <v>741</v>
      </c>
      <c r="E500" t="s">
        <v>126</v>
      </c>
      <c r="F500">
        <v>0</v>
      </c>
      <c r="G500" t="s">
        <v>126</v>
      </c>
      <c r="H500" t="s">
        <v>126</v>
      </c>
      <c r="I500" t="s">
        <v>126</v>
      </c>
      <c r="J500" t="s">
        <v>126</v>
      </c>
      <c r="K500" t="s">
        <v>126</v>
      </c>
      <c r="L500" t="s">
        <v>126</v>
      </c>
      <c r="M500" t="s">
        <v>1153</v>
      </c>
      <c r="N500" t="b">
        <v>0</v>
      </c>
    </row>
    <row r="501" spans="1:14">
      <c r="A501">
        <v>21</v>
      </c>
      <c r="B501">
        <v>23</v>
      </c>
      <c r="C501" t="s">
        <v>126</v>
      </c>
      <c r="D501" t="s">
        <v>741</v>
      </c>
      <c r="E501" t="s">
        <v>126</v>
      </c>
      <c r="F501">
        <v>0</v>
      </c>
      <c r="G501" t="s">
        <v>126</v>
      </c>
      <c r="H501" t="s">
        <v>126</v>
      </c>
      <c r="I501" t="s">
        <v>126</v>
      </c>
      <c r="J501" t="s">
        <v>126</v>
      </c>
      <c r="K501" t="s">
        <v>126</v>
      </c>
      <c r="L501" t="s">
        <v>126</v>
      </c>
      <c r="M501" t="s">
        <v>1154</v>
      </c>
      <c r="N501" t="b">
        <v>0</v>
      </c>
    </row>
    <row r="502" spans="1:14">
      <c r="A502">
        <v>21</v>
      </c>
      <c r="B502">
        <v>24</v>
      </c>
      <c r="C502" t="s">
        <v>126</v>
      </c>
      <c r="D502" t="s">
        <v>741</v>
      </c>
      <c r="E502" t="s">
        <v>126</v>
      </c>
      <c r="F502">
        <v>0</v>
      </c>
      <c r="G502" t="s">
        <v>126</v>
      </c>
      <c r="H502" t="s">
        <v>126</v>
      </c>
      <c r="I502" t="s">
        <v>126</v>
      </c>
      <c r="J502" t="s">
        <v>126</v>
      </c>
      <c r="K502" t="s">
        <v>126</v>
      </c>
      <c r="L502" t="s">
        <v>126</v>
      </c>
      <c r="M502" t="s">
        <v>1155</v>
      </c>
      <c r="N502" t="b">
        <v>0</v>
      </c>
    </row>
    <row r="503" spans="1:14">
      <c r="A503">
        <v>21</v>
      </c>
      <c r="B503">
        <v>25</v>
      </c>
      <c r="C503" t="s">
        <v>126</v>
      </c>
      <c r="D503" t="s">
        <v>741</v>
      </c>
      <c r="E503" t="s">
        <v>126</v>
      </c>
      <c r="F503">
        <v>0</v>
      </c>
      <c r="G503" t="s">
        <v>126</v>
      </c>
      <c r="H503" t="s">
        <v>126</v>
      </c>
      <c r="I503" t="s">
        <v>126</v>
      </c>
      <c r="J503" t="s">
        <v>126</v>
      </c>
      <c r="K503" t="s">
        <v>126</v>
      </c>
      <c r="L503" t="s">
        <v>126</v>
      </c>
      <c r="M503" t="s">
        <v>1156</v>
      </c>
      <c r="N503" t="b">
        <v>0</v>
      </c>
    </row>
    <row r="504" spans="1:14">
      <c r="A504">
        <v>21</v>
      </c>
      <c r="B504">
        <v>26</v>
      </c>
      <c r="C504" t="s">
        <v>126</v>
      </c>
      <c r="D504" t="s">
        <v>741</v>
      </c>
      <c r="E504" t="s">
        <v>126</v>
      </c>
      <c r="F504">
        <v>0</v>
      </c>
      <c r="G504" t="s">
        <v>126</v>
      </c>
      <c r="H504" t="s">
        <v>126</v>
      </c>
      <c r="I504" t="s">
        <v>126</v>
      </c>
      <c r="J504" t="s">
        <v>126</v>
      </c>
      <c r="K504" t="s">
        <v>126</v>
      </c>
      <c r="L504" t="s">
        <v>126</v>
      </c>
      <c r="M504" t="s">
        <v>1157</v>
      </c>
      <c r="N504" t="b">
        <v>0</v>
      </c>
    </row>
    <row r="505" spans="1:14">
      <c r="A505">
        <v>22</v>
      </c>
      <c r="B505">
        <v>0</v>
      </c>
      <c r="C505" t="s">
        <v>216</v>
      </c>
      <c r="D505" t="s">
        <v>724</v>
      </c>
      <c r="E505" t="s">
        <v>65</v>
      </c>
      <c r="F505">
        <v>60</v>
      </c>
      <c r="G505" t="s">
        <v>126</v>
      </c>
      <c r="H505" t="s">
        <v>126</v>
      </c>
      <c r="I505" t="s">
        <v>65</v>
      </c>
      <c r="J505" t="s">
        <v>126</v>
      </c>
      <c r="K505" t="s">
        <v>126</v>
      </c>
      <c r="L505" t="s">
        <v>126</v>
      </c>
      <c r="M505" t="s">
        <v>1158</v>
      </c>
      <c r="N505" t="b">
        <v>0</v>
      </c>
    </row>
    <row r="506" spans="1:14">
      <c r="A506">
        <v>22</v>
      </c>
      <c r="B506">
        <v>1</v>
      </c>
      <c r="C506" t="s">
        <v>268</v>
      </c>
      <c r="D506" t="s">
        <v>724</v>
      </c>
      <c r="E506" t="s">
        <v>83</v>
      </c>
      <c r="F506">
        <v>30</v>
      </c>
      <c r="G506" t="s">
        <v>126</v>
      </c>
      <c r="H506" t="s">
        <v>126</v>
      </c>
      <c r="I506" t="s">
        <v>83</v>
      </c>
      <c r="J506" t="s">
        <v>126</v>
      </c>
      <c r="K506" t="s">
        <v>126</v>
      </c>
      <c r="L506" t="s">
        <v>126</v>
      </c>
      <c r="M506" t="s">
        <v>1159</v>
      </c>
      <c r="N506" t="b">
        <v>0</v>
      </c>
    </row>
    <row r="507" spans="1:14">
      <c r="A507">
        <v>22</v>
      </c>
      <c r="B507">
        <v>2</v>
      </c>
      <c r="C507" t="s">
        <v>238</v>
      </c>
      <c r="D507" t="s">
        <v>724</v>
      </c>
      <c r="E507" t="s">
        <v>544</v>
      </c>
      <c r="F507">
        <v>40</v>
      </c>
      <c r="G507" t="s">
        <v>126</v>
      </c>
      <c r="H507" t="s">
        <v>547</v>
      </c>
      <c r="I507" t="s">
        <v>508</v>
      </c>
      <c r="J507" t="s">
        <v>126</v>
      </c>
      <c r="K507" t="s">
        <v>792</v>
      </c>
      <c r="L507" t="s">
        <v>793</v>
      </c>
      <c r="M507" t="s">
        <v>1160</v>
      </c>
      <c r="N507" t="b">
        <v>0</v>
      </c>
    </row>
    <row r="508" spans="1:14">
      <c r="A508">
        <v>22</v>
      </c>
      <c r="B508">
        <v>3</v>
      </c>
      <c r="C508" t="s">
        <v>239</v>
      </c>
      <c r="D508" t="s">
        <v>724</v>
      </c>
      <c r="E508" t="s">
        <v>544</v>
      </c>
      <c r="F508">
        <v>40</v>
      </c>
      <c r="G508" t="s">
        <v>126</v>
      </c>
      <c r="H508" t="s">
        <v>557</v>
      </c>
      <c r="I508" t="s">
        <v>486</v>
      </c>
      <c r="J508" t="s">
        <v>126</v>
      </c>
      <c r="K508" t="s">
        <v>795</v>
      </c>
      <c r="L508" t="s">
        <v>796</v>
      </c>
      <c r="M508" t="s">
        <v>1161</v>
      </c>
      <c r="N508" t="b">
        <v>0</v>
      </c>
    </row>
    <row r="509" spans="1:14">
      <c r="A509">
        <v>22</v>
      </c>
      <c r="B509">
        <v>4</v>
      </c>
      <c r="C509" t="s">
        <v>167</v>
      </c>
      <c r="D509" t="s">
        <v>724</v>
      </c>
      <c r="E509" t="s">
        <v>74</v>
      </c>
      <c r="F509">
        <v>50</v>
      </c>
      <c r="G509" t="s">
        <v>126</v>
      </c>
      <c r="H509" t="s">
        <v>126</v>
      </c>
      <c r="I509" t="s">
        <v>74</v>
      </c>
      <c r="J509" t="s">
        <v>126</v>
      </c>
      <c r="K509" t="s">
        <v>126</v>
      </c>
      <c r="L509" t="s">
        <v>126</v>
      </c>
      <c r="M509" t="s">
        <v>1162</v>
      </c>
      <c r="N509" t="b">
        <v>0</v>
      </c>
    </row>
    <row r="510" spans="1:14">
      <c r="A510">
        <v>22</v>
      </c>
      <c r="B510">
        <v>5</v>
      </c>
      <c r="C510" t="s">
        <v>269</v>
      </c>
      <c r="D510" t="s">
        <v>753</v>
      </c>
      <c r="E510" t="s">
        <v>358</v>
      </c>
      <c r="F510">
        <v>60</v>
      </c>
      <c r="G510" t="s">
        <v>760</v>
      </c>
      <c r="H510" t="s">
        <v>126</v>
      </c>
      <c r="I510" t="s">
        <v>126</v>
      </c>
      <c r="J510" t="s">
        <v>1163</v>
      </c>
      <c r="K510" t="s">
        <v>1164</v>
      </c>
      <c r="L510" t="s">
        <v>1165</v>
      </c>
      <c r="M510" t="s">
        <v>1166</v>
      </c>
      <c r="N510" t="b">
        <v>0</v>
      </c>
    </row>
    <row r="511" spans="1:14">
      <c r="A511">
        <v>22</v>
      </c>
      <c r="B511">
        <v>6</v>
      </c>
      <c r="C511" t="s">
        <v>270</v>
      </c>
      <c r="D511" t="s">
        <v>724</v>
      </c>
      <c r="E511" t="s">
        <v>545</v>
      </c>
      <c r="F511">
        <v>40</v>
      </c>
      <c r="G511" t="s">
        <v>126</v>
      </c>
      <c r="H511" t="s">
        <v>583</v>
      </c>
      <c r="I511" t="s">
        <v>496</v>
      </c>
      <c r="J511" t="s">
        <v>126</v>
      </c>
      <c r="K511" t="s">
        <v>801</v>
      </c>
      <c r="L511" t="s">
        <v>802</v>
      </c>
      <c r="M511" t="s">
        <v>1167</v>
      </c>
      <c r="N511" t="b">
        <v>0</v>
      </c>
    </row>
    <row r="512" spans="1:14">
      <c r="A512">
        <v>22</v>
      </c>
      <c r="B512">
        <v>7</v>
      </c>
      <c r="C512" t="s">
        <v>271</v>
      </c>
      <c r="D512" t="s">
        <v>724</v>
      </c>
      <c r="E512" t="s">
        <v>107</v>
      </c>
      <c r="F512">
        <v>40</v>
      </c>
      <c r="G512" t="s">
        <v>126</v>
      </c>
      <c r="H512" t="s">
        <v>126</v>
      </c>
      <c r="I512" t="s">
        <v>107</v>
      </c>
      <c r="J512" t="s">
        <v>126</v>
      </c>
      <c r="K512" t="s">
        <v>126</v>
      </c>
      <c r="L512" t="s">
        <v>126</v>
      </c>
      <c r="M512" t="s">
        <v>1168</v>
      </c>
      <c r="N512" t="b">
        <v>0</v>
      </c>
    </row>
    <row r="513" spans="1:14">
      <c r="A513">
        <v>22</v>
      </c>
      <c r="B513">
        <v>8</v>
      </c>
      <c r="C513" t="s">
        <v>126</v>
      </c>
      <c r="D513" t="s">
        <v>724</v>
      </c>
      <c r="E513" t="s">
        <v>126</v>
      </c>
      <c r="F513">
        <v>0</v>
      </c>
      <c r="G513" t="s">
        <v>126</v>
      </c>
      <c r="H513" t="s">
        <v>126</v>
      </c>
      <c r="I513" t="s">
        <v>126</v>
      </c>
      <c r="J513" t="s">
        <v>126</v>
      </c>
      <c r="K513" t="s">
        <v>126</v>
      </c>
      <c r="L513" t="s">
        <v>126</v>
      </c>
      <c r="M513" t="s">
        <v>1169</v>
      </c>
      <c r="N513" t="b">
        <v>0</v>
      </c>
    </row>
    <row r="514" spans="1:14">
      <c r="A514">
        <v>22</v>
      </c>
      <c r="B514">
        <v>9</v>
      </c>
      <c r="C514" t="s">
        <v>126</v>
      </c>
      <c r="D514" t="s">
        <v>724</v>
      </c>
      <c r="E514" t="s">
        <v>126</v>
      </c>
      <c r="F514">
        <v>0</v>
      </c>
      <c r="G514" t="s">
        <v>126</v>
      </c>
      <c r="H514" t="s">
        <v>126</v>
      </c>
      <c r="I514" t="s">
        <v>126</v>
      </c>
      <c r="J514" t="s">
        <v>126</v>
      </c>
      <c r="K514" t="s">
        <v>126</v>
      </c>
      <c r="L514" t="s">
        <v>126</v>
      </c>
      <c r="M514" t="s">
        <v>1170</v>
      </c>
      <c r="N514" t="b">
        <v>0</v>
      </c>
    </row>
    <row r="515" spans="1:14">
      <c r="A515">
        <v>22</v>
      </c>
      <c r="B515">
        <v>10</v>
      </c>
      <c r="C515" t="s">
        <v>126</v>
      </c>
      <c r="D515" t="s">
        <v>724</v>
      </c>
      <c r="E515" t="s">
        <v>126</v>
      </c>
      <c r="F515">
        <v>0</v>
      </c>
      <c r="G515" t="s">
        <v>126</v>
      </c>
      <c r="H515" t="s">
        <v>126</v>
      </c>
      <c r="I515" t="s">
        <v>126</v>
      </c>
      <c r="J515" t="s">
        <v>126</v>
      </c>
      <c r="K515" t="s">
        <v>126</v>
      </c>
      <c r="L515" t="s">
        <v>126</v>
      </c>
      <c r="M515" t="s">
        <v>1171</v>
      </c>
      <c r="N515" t="b">
        <v>0</v>
      </c>
    </row>
    <row r="516" spans="1:14">
      <c r="A516">
        <v>22</v>
      </c>
      <c r="B516">
        <v>11</v>
      </c>
      <c r="C516" t="s">
        <v>126</v>
      </c>
      <c r="D516" t="s">
        <v>724</v>
      </c>
      <c r="E516" t="s">
        <v>126</v>
      </c>
      <c r="F516">
        <v>0</v>
      </c>
      <c r="G516" t="s">
        <v>126</v>
      </c>
      <c r="H516" t="s">
        <v>126</v>
      </c>
      <c r="I516" t="s">
        <v>126</v>
      </c>
      <c r="J516" t="s">
        <v>126</v>
      </c>
      <c r="K516" t="s">
        <v>126</v>
      </c>
      <c r="L516" t="s">
        <v>126</v>
      </c>
      <c r="M516" t="s">
        <v>1172</v>
      </c>
      <c r="N516" t="b">
        <v>0</v>
      </c>
    </row>
    <row r="517" spans="1:14">
      <c r="A517">
        <v>22</v>
      </c>
      <c r="B517">
        <v>12</v>
      </c>
      <c r="C517" t="s">
        <v>126</v>
      </c>
      <c r="D517" t="s">
        <v>724</v>
      </c>
      <c r="E517" t="s">
        <v>126</v>
      </c>
      <c r="F517">
        <v>0</v>
      </c>
      <c r="G517" t="s">
        <v>126</v>
      </c>
      <c r="H517" t="s">
        <v>126</v>
      </c>
      <c r="I517" t="s">
        <v>126</v>
      </c>
      <c r="J517" t="s">
        <v>126</v>
      </c>
      <c r="K517" t="s">
        <v>126</v>
      </c>
      <c r="L517" t="s">
        <v>126</v>
      </c>
      <c r="M517" t="s">
        <v>1173</v>
      </c>
      <c r="N517" t="b">
        <v>0</v>
      </c>
    </row>
    <row r="518" spans="1:14">
      <c r="A518">
        <v>22</v>
      </c>
      <c r="B518">
        <v>13</v>
      </c>
      <c r="C518" t="s">
        <v>126</v>
      </c>
      <c r="D518" t="s">
        <v>724</v>
      </c>
      <c r="E518" t="s">
        <v>126</v>
      </c>
      <c r="F518">
        <v>0</v>
      </c>
      <c r="G518" t="s">
        <v>126</v>
      </c>
      <c r="H518" t="s">
        <v>126</v>
      </c>
      <c r="I518" t="s">
        <v>126</v>
      </c>
      <c r="J518" t="s">
        <v>126</v>
      </c>
      <c r="K518" t="s">
        <v>126</v>
      </c>
      <c r="L518" t="s">
        <v>126</v>
      </c>
      <c r="M518" t="s">
        <v>1174</v>
      </c>
      <c r="N518" t="b">
        <v>0</v>
      </c>
    </row>
    <row r="519" spans="1:14">
      <c r="A519">
        <v>22</v>
      </c>
      <c r="B519">
        <v>14</v>
      </c>
      <c r="C519" t="s">
        <v>126</v>
      </c>
      <c r="D519" t="s">
        <v>724</v>
      </c>
      <c r="E519" t="s">
        <v>126</v>
      </c>
      <c r="F519">
        <v>0</v>
      </c>
      <c r="G519" t="s">
        <v>126</v>
      </c>
      <c r="H519" t="s">
        <v>126</v>
      </c>
      <c r="I519" t="s">
        <v>126</v>
      </c>
      <c r="J519" t="s">
        <v>126</v>
      </c>
      <c r="K519" t="s">
        <v>126</v>
      </c>
      <c r="L519" t="s">
        <v>126</v>
      </c>
      <c r="M519" t="s">
        <v>1175</v>
      </c>
      <c r="N519" t="b">
        <v>0</v>
      </c>
    </row>
    <row r="520" spans="1:14">
      <c r="A520">
        <v>22</v>
      </c>
      <c r="B520">
        <v>15</v>
      </c>
      <c r="C520" t="s">
        <v>126</v>
      </c>
      <c r="D520" t="s">
        <v>724</v>
      </c>
      <c r="E520" t="s">
        <v>126</v>
      </c>
      <c r="F520">
        <v>0</v>
      </c>
      <c r="G520" t="s">
        <v>126</v>
      </c>
      <c r="H520" t="s">
        <v>126</v>
      </c>
      <c r="I520" t="s">
        <v>126</v>
      </c>
      <c r="J520" t="s">
        <v>126</v>
      </c>
      <c r="K520" t="s">
        <v>126</v>
      </c>
      <c r="L520" t="s">
        <v>126</v>
      </c>
      <c r="M520" t="s">
        <v>1176</v>
      </c>
      <c r="N520" t="b">
        <v>0</v>
      </c>
    </row>
    <row r="521" spans="1:14">
      <c r="A521">
        <v>22</v>
      </c>
      <c r="B521">
        <v>16</v>
      </c>
      <c r="C521" t="s">
        <v>159</v>
      </c>
      <c r="D521" t="s">
        <v>741</v>
      </c>
      <c r="E521" t="s">
        <v>297</v>
      </c>
      <c r="F521">
        <v>50</v>
      </c>
      <c r="G521" t="s">
        <v>760</v>
      </c>
      <c r="H521" t="s">
        <v>126</v>
      </c>
      <c r="I521" t="s">
        <v>126</v>
      </c>
      <c r="J521" t="s">
        <v>761</v>
      </c>
      <c r="K521" t="s">
        <v>762</v>
      </c>
      <c r="L521" t="s">
        <v>763</v>
      </c>
      <c r="M521" t="s">
        <v>1177</v>
      </c>
      <c r="N521" t="b">
        <v>0</v>
      </c>
    </row>
    <row r="522" spans="1:14">
      <c r="A522">
        <v>22</v>
      </c>
      <c r="B522">
        <v>17</v>
      </c>
      <c r="C522" t="s">
        <v>272</v>
      </c>
      <c r="D522" t="s">
        <v>741</v>
      </c>
      <c r="E522" t="s">
        <v>358</v>
      </c>
      <c r="F522">
        <v>50</v>
      </c>
      <c r="G522" t="s">
        <v>760</v>
      </c>
      <c r="H522" t="s">
        <v>126</v>
      </c>
      <c r="I522" t="s">
        <v>126</v>
      </c>
      <c r="J522" t="s">
        <v>1163</v>
      </c>
      <c r="K522" t="s">
        <v>1178</v>
      </c>
      <c r="L522" t="s">
        <v>1179</v>
      </c>
      <c r="M522" t="s">
        <v>685</v>
      </c>
      <c r="N522" t="b">
        <v>0</v>
      </c>
    </row>
    <row r="523" spans="1:14">
      <c r="A523">
        <v>22</v>
      </c>
      <c r="B523">
        <v>18</v>
      </c>
      <c r="C523" t="s">
        <v>198</v>
      </c>
      <c r="D523" t="s">
        <v>741</v>
      </c>
      <c r="E523" t="s">
        <v>113</v>
      </c>
      <c r="F523">
        <v>50</v>
      </c>
      <c r="G523" t="s">
        <v>126</v>
      </c>
      <c r="H523" t="s">
        <v>126</v>
      </c>
      <c r="I523" t="s">
        <v>113</v>
      </c>
      <c r="J523" t="s">
        <v>126</v>
      </c>
      <c r="K523" t="s">
        <v>126</v>
      </c>
      <c r="L523" t="s">
        <v>126</v>
      </c>
      <c r="M523" t="s">
        <v>1180</v>
      </c>
      <c r="N523" t="b">
        <v>0</v>
      </c>
    </row>
    <row r="524" spans="1:14">
      <c r="A524">
        <v>22</v>
      </c>
      <c r="B524">
        <v>19</v>
      </c>
      <c r="C524" t="s">
        <v>273</v>
      </c>
      <c r="D524" t="s">
        <v>741</v>
      </c>
      <c r="E524" t="s">
        <v>331</v>
      </c>
      <c r="F524">
        <v>50</v>
      </c>
      <c r="G524" t="s">
        <v>760</v>
      </c>
      <c r="H524" t="s">
        <v>126</v>
      </c>
      <c r="I524" t="s">
        <v>126</v>
      </c>
      <c r="J524" t="s">
        <v>1128</v>
      </c>
      <c r="K524" t="s">
        <v>921</v>
      </c>
      <c r="L524" t="s">
        <v>922</v>
      </c>
      <c r="M524" t="s">
        <v>1181</v>
      </c>
      <c r="N524" t="b">
        <v>0</v>
      </c>
    </row>
    <row r="525" spans="1:14">
      <c r="A525">
        <v>22</v>
      </c>
      <c r="B525">
        <v>20</v>
      </c>
      <c r="C525" t="s">
        <v>126</v>
      </c>
      <c r="D525" t="s">
        <v>741</v>
      </c>
      <c r="E525" t="s">
        <v>126</v>
      </c>
      <c r="F525">
        <v>0</v>
      </c>
      <c r="G525" t="s">
        <v>126</v>
      </c>
      <c r="H525" t="s">
        <v>126</v>
      </c>
      <c r="I525" t="s">
        <v>126</v>
      </c>
      <c r="J525" t="s">
        <v>126</v>
      </c>
      <c r="K525" t="s">
        <v>126</v>
      </c>
      <c r="L525" t="s">
        <v>126</v>
      </c>
      <c r="M525" t="s">
        <v>1182</v>
      </c>
      <c r="N525" t="b">
        <v>0</v>
      </c>
    </row>
    <row r="526" spans="1:14">
      <c r="A526">
        <v>22</v>
      </c>
      <c r="B526">
        <v>21</v>
      </c>
      <c r="C526" t="s">
        <v>126</v>
      </c>
      <c r="D526" t="s">
        <v>741</v>
      </c>
      <c r="E526" t="s">
        <v>126</v>
      </c>
      <c r="F526">
        <v>0</v>
      </c>
      <c r="G526" t="s">
        <v>126</v>
      </c>
      <c r="H526" t="s">
        <v>126</v>
      </c>
      <c r="I526" t="s">
        <v>126</v>
      </c>
      <c r="J526" t="s">
        <v>126</v>
      </c>
      <c r="K526" t="s">
        <v>126</v>
      </c>
      <c r="L526" t="s">
        <v>126</v>
      </c>
      <c r="M526" t="s">
        <v>1183</v>
      </c>
      <c r="N526" t="b">
        <v>0</v>
      </c>
    </row>
    <row r="527" spans="1:14">
      <c r="A527">
        <v>22</v>
      </c>
      <c r="B527">
        <v>22</v>
      </c>
      <c r="C527" t="s">
        <v>126</v>
      </c>
      <c r="D527" t="s">
        <v>741</v>
      </c>
      <c r="E527" t="s">
        <v>126</v>
      </c>
      <c r="F527">
        <v>0</v>
      </c>
      <c r="G527" t="s">
        <v>126</v>
      </c>
      <c r="H527" t="s">
        <v>126</v>
      </c>
      <c r="I527" t="s">
        <v>126</v>
      </c>
      <c r="J527" t="s">
        <v>126</v>
      </c>
      <c r="K527" t="s">
        <v>126</v>
      </c>
      <c r="L527" t="s">
        <v>126</v>
      </c>
      <c r="M527" t="s">
        <v>1184</v>
      </c>
      <c r="N527" t="b">
        <v>0</v>
      </c>
    </row>
    <row r="528" spans="1:14">
      <c r="A528">
        <v>22</v>
      </c>
      <c r="B528">
        <v>23</v>
      </c>
      <c r="C528" t="s">
        <v>126</v>
      </c>
      <c r="D528" t="s">
        <v>741</v>
      </c>
      <c r="E528" t="s">
        <v>126</v>
      </c>
      <c r="F528">
        <v>0</v>
      </c>
      <c r="G528" t="s">
        <v>126</v>
      </c>
      <c r="H528" t="s">
        <v>126</v>
      </c>
      <c r="I528" t="s">
        <v>126</v>
      </c>
      <c r="J528" t="s">
        <v>126</v>
      </c>
      <c r="K528" t="s">
        <v>126</v>
      </c>
      <c r="L528" t="s">
        <v>126</v>
      </c>
      <c r="M528" t="s">
        <v>1185</v>
      </c>
      <c r="N528" t="b">
        <v>0</v>
      </c>
    </row>
    <row r="529" spans="1:14">
      <c r="A529">
        <v>22</v>
      </c>
      <c r="B529">
        <v>24</v>
      </c>
      <c r="C529" t="s">
        <v>126</v>
      </c>
      <c r="D529" t="s">
        <v>741</v>
      </c>
      <c r="E529" t="s">
        <v>126</v>
      </c>
      <c r="F529">
        <v>0</v>
      </c>
      <c r="G529" t="s">
        <v>126</v>
      </c>
      <c r="H529" t="s">
        <v>126</v>
      </c>
      <c r="I529" t="s">
        <v>126</v>
      </c>
      <c r="J529" t="s">
        <v>126</v>
      </c>
      <c r="K529" t="s">
        <v>126</v>
      </c>
      <c r="L529" t="s">
        <v>126</v>
      </c>
      <c r="M529" t="s">
        <v>1186</v>
      </c>
      <c r="N529" t="b">
        <v>0</v>
      </c>
    </row>
    <row r="530" spans="1:14">
      <c r="A530">
        <v>22</v>
      </c>
      <c r="B530">
        <v>25</v>
      </c>
      <c r="C530" t="s">
        <v>126</v>
      </c>
      <c r="D530" t="s">
        <v>741</v>
      </c>
      <c r="E530" t="s">
        <v>126</v>
      </c>
      <c r="F530">
        <v>0</v>
      </c>
      <c r="G530" t="s">
        <v>126</v>
      </c>
      <c r="H530" t="s">
        <v>126</v>
      </c>
      <c r="I530" t="s">
        <v>126</v>
      </c>
      <c r="J530" t="s">
        <v>126</v>
      </c>
      <c r="K530" t="s">
        <v>126</v>
      </c>
      <c r="L530" t="s">
        <v>126</v>
      </c>
      <c r="M530" t="s">
        <v>1187</v>
      </c>
      <c r="N530" t="b">
        <v>0</v>
      </c>
    </row>
    <row r="531" spans="1:14">
      <c r="A531">
        <v>22</v>
      </c>
      <c r="B531">
        <v>26</v>
      </c>
      <c r="C531" t="s">
        <v>126</v>
      </c>
      <c r="D531" t="s">
        <v>741</v>
      </c>
      <c r="E531" t="s">
        <v>126</v>
      </c>
      <c r="F531">
        <v>0</v>
      </c>
      <c r="G531" t="s">
        <v>126</v>
      </c>
      <c r="H531" t="s">
        <v>126</v>
      </c>
      <c r="I531" t="s">
        <v>126</v>
      </c>
      <c r="J531" t="s">
        <v>126</v>
      </c>
      <c r="K531" t="s">
        <v>126</v>
      </c>
      <c r="L531" t="s">
        <v>126</v>
      </c>
      <c r="M531" t="s">
        <v>1188</v>
      </c>
      <c r="N531" t="b">
        <v>0</v>
      </c>
    </row>
    <row r="532" spans="1:14">
      <c r="A532">
        <v>23</v>
      </c>
      <c r="B532">
        <v>0</v>
      </c>
      <c r="C532" t="s">
        <v>216</v>
      </c>
      <c r="D532" t="s">
        <v>724</v>
      </c>
      <c r="E532" t="s">
        <v>65</v>
      </c>
      <c r="F532">
        <v>60</v>
      </c>
      <c r="G532" t="s">
        <v>126</v>
      </c>
      <c r="H532" t="s">
        <v>126</v>
      </c>
      <c r="I532" t="s">
        <v>65</v>
      </c>
      <c r="J532" t="s">
        <v>126</v>
      </c>
      <c r="K532" t="s">
        <v>126</v>
      </c>
      <c r="L532" t="s">
        <v>126</v>
      </c>
      <c r="M532" t="s">
        <v>1189</v>
      </c>
      <c r="N532" t="b">
        <v>0</v>
      </c>
    </row>
    <row r="533" spans="1:14">
      <c r="A533">
        <v>23</v>
      </c>
      <c r="B533">
        <v>1</v>
      </c>
      <c r="C533" t="s">
        <v>158</v>
      </c>
      <c r="D533" t="s">
        <v>724</v>
      </c>
      <c r="E533" t="s">
        <v>83</v>
      </c>
      <c r="F533">
        <v>40</v>
      </c>
      <c r="G533" t="s">
        <v>126</v>
      </c>
      <c r="H533" t="s">
        <v>126</v>
      </c>
      <c r="I533" t="s">
        <v>83</v>
      </c>
      <c r="J533" t="s">
        <v>126</v>
      </c>
      <c r="K533" t="s">
        <v>126</v>
      </c>
      <c r="L533" t="s">
        <v>126</v>
      </c>
      <c r="M533" t="s">
        <v>1190</v>
      </c>
      <c r="N533" t="b">
        <v>0</v>
      </c>
    </row>
    <row r="534" spans="1:14">
      <c r="A534">
        <v>23</v>
      </c>
      <c r="B534">
        <v>2</v>
      </c>
      <c r="C534" t="s">
        <v>248</v>
      </c>
      <c r="D534" t="s">
        <v>724</v>
      </c>
      <c r="E534" t="s">
        <v>93</v>
      </c>
      <c r="F534">
        <v>40</v>
      </c>
      <c r="G534" t="s">
        <v>126</v>
      </c>
      <c r="H534" t="s">
        <v>126</v>
      </c>
      <c r="I534" t="s">
        <v>93</v>
      </c>
      <c r="J534" t="s">
        <v>126</v>
      </c>
      <c r="K534" t="s">
        <v>126</v>
      </c>
      <c r="L534" t="s">
        <v>126</v>
      </c>
      <c r="M534" t="s">
        <v>1191</v>
      </c>
      <c r="N534" t="b">
        <v>0</v>
      </c>
    </row>
    <row r="535" spans="1:14">
      <c r="A535">
        <v>23</v>
      </c>
      <c r="B535">
        <v>3</v>
      </c>
      <c r="C535" t="s">
        <v>188</v>
      </c>
      <c r="D535" t="s">
        <v>724</v>
      </c>
      <c r="E535" t="s">
        <v>99</v>
      </c>
      <c r="F535">
        <v>50</v>
      </c>
      <c r="G535" t="s">
        <v>126</v>
      </c>
      <c r="H535" t="s">
        <v>126</v>
      </c>
      <c r="I535" t="s">
        <v>99</v>
      </c>
      <c r="J535" t="s">
        <v>126</v>
      </c>
      <c r="K535" t="s">
        <v>126</v>
      </c>
      <c r="L535" t="s">
        <v>126</v>
      </c>
      <c r="M535" t="s">
        <v>1192</v>
      </c>
      <c r="N535" t="b">
        <v>0</v>
      </c>
    </row>
    <row r="536" spans="1:14">
      <c r="A536">
        <v>23</v>
      </c>
      <c r="B536">
        <v>4</v>
      </c>
      <c r="C536" t="s">
        <v>229</v>
      </c>
      <c r="D536" t="s">
        <v>724</v>
      </c>
      <c r="E536" t="s">
        <v>101</v>
      </c>
      <c r="F536">
        <v>40</v>
      </c>
      <c r="G536" t="s">
        <v>126</v>
      </c>
      <c r="H536" t="s">
        <v>126</v>
      </c>
      <c r="I536" t="s">
        <v>101</v>
      </c>
      <c r="J536" t="s">
        <v>126</v>
      </c>
      <c r="K536" t="s">
        <v>126</v>
      </c>
      <c r="L536" t="s">
        <v>126</v>
      </c>
      <c r="M536" t="s">
        <v>1193</v>
      </c>
      <c r="N536" t="b">
        <v>0</v>
      </c>
    </row>
    <row r="537" spans="1:14">
      <c r="A537">
        <v>23</v>
      </c>
      <c r="B537">
        <v>5</v>
      </c>
      <c r="C537" t="s">
        <v>275</v>
      </c>
      <c r="D537" t="s">
        <v>724</v>
      </c>
      <c r="E537" t="s">
        <v>103</v>
      </c>
      <c r="F537">
        <v>30</v>
      </c>
      <c r="G537" t="s">
        <v>126</v>
      </c>
      <c r="H537" t="s">
        <v>126</v>
      </c>
      <c r="I537" t="s">
        <v>103</v>
      </c>
      <c r="J537" t="s">
        <v>126</v>
      </c>
      <c r="K537" t="s">
        <v>126</v>
      </c>
      <c r="L537" t="s">
        <v>126</v>
      </c>
      <c r="M537" t="s">
        <v>1194</v>
      </c>
      <c r="N537" t="b">
        <v>0</v>
      </c>
    </row>
    <row r="538" spans="1:14">
      <c r="A538">
        <v>23</v>
      </c>
      <c r="B538">
        <v>6</v>
      </c>
      <c r="C538" t="s">
        <v>166</v>
      </c>
      <c r="D538" t="s">
        <v>724</v>
      </c>
      <c r="E538" t="s">
        <v>115</v>
      </c>
      <c r="F538">
        <v>50</v>
      </c>
      <c r="G538" t="s">
        <v>126</v>
      </c>
      <c r="H538" t="s">
        <v>126</v>
      </c>
      <c r="I538" t="s">
        <v>115</v>
      </c>
      <c r="J538" t="s">
        <v>126</v>
      </c>
      <c r="K538" t="s">
        <v>126</v>
      </c>
      <c r="L538" t="s">
        <v>126</v>
      </c>
      <c r="M538" t="s">
        <v>1195</v>
      </c>
      <c r="N538" t="b">
        <v>0</v>
      </c>
    </row>
    <row r="539" spans="1:14">
      <c r="A539">
        <v>23</v>
      </c>
      <c r="B539">
        <v>7</v>
      </c>
      <c r="C539" t="s">
        <v>192</v>
      </c>
      <c r="D539" t="s">
        <v>724</v>
      </c>
      <c r="E539" t="s">
        <v>61</v>
      </c>
      <c r="F539">
        <v>30</v>
      </c>
      <c r="G539" t="s">
        <v>126</v>
      </c>
      <c r="H539" t="s">
        <v>126</v>
      </c>
      <c r="I539" t="s">
        <v>61</v>
      </c>
      <c r="J539" t="s">
        <v>126</v>
      </c>
      <c r="K539" t="s">
        <v>126</v>
      </c>
      <c r="L539" t="s">
        <v>126</v>
      </c>
      <c r="M539" t="s">
        <v>1196</v>
      </c>
      <c r="N539" t="b">
        <v>0</v>
      </c>
    </row>
    <row r="540" spans="1:14">
      <c r="A540">
        <v>23</v>
      </c>
      <c r="B540">
        <v>8</v>
      </c>
      <c r="C540" t="s">
        <v>220</v>
      </c>
      <c r="D540" t="s">
        <v>724</v>
      </c>
      <c r="E540" t="s">
        <v>68</v>
      </c>
      <c r="F540">
        <v>50</v>
      </c>
      <c r="G540" t="s">
        <v>126</v>
      </c>
      <c r="H540" t="s">
        <v>126</v>
      </c>
      <c r="I540" t="s">
        <v>68</v>
      </c>
      <c r="J540" t="s">
        <v>126</v>
      </c>
      <c r="K540" t="s">
        <v>126</v>
      </c>
      <c r="L540" t="s">
        <v>126</v>
      </c>
      <c r="M540" t="s">
        <v>1197</v>
      </c>
      <c r="N540" t="b">
        <v>0</v>
      </c>
    </row>
    <row r="541" spans="1:14">
      <c r="A541">
        <v>23</v>
      </c>
      <c r="B541">
        <v>9</v>
      </c>
      <c r="C541" t="s">
        <v>276</v>
      </c>
      <c r="D541" t="s">
        <v>724</v>
      </c>
      <c r="E541" t="s">
        <v>74</v>
      </c>
      <c r="F541">
        <v>40</v>
      </c>
      <c r="G541" t="s">
        <v>126</v>
      </c>
      <c r="H541" t="s">
        <v>126</v>
      </c>
      <c r="I541" t="s">
        <v>74</v>
      </c>
      <c r="J541" t="s">
        <v>126</v>
      </c>
      <c r="K541" t="s">
        <v>126</v>
      </c>
      <c r="L541" t="s">
        <v>126</v>
      </c>
      <c r="M541" t="s">
        <v>1198</v>
      </c>
      <c r="N541" t="b">
        <v>0</v>
      </c>
    </row>
    <row r="542" spans="1:14">
      <c r="A542">
        <v>23</v>
      </c>
      <c r="B542">
        <v>10</v>
      </c>
      <c r="C542" t="s">
        <v>163</v>
      </c>
      <c r="D542" t="s">
        <v>724</v>
      </c>
      <c r="E542" t="s">
        <v>78</v>
      </c>
      <c r="F542">
        <v>40</v>
      </c>
      <c r="G542" t="s">
        <v>126</v>
      </c>
      <c r="H542" t="s">
        <v>126</v>
      </c>
      <c r="I542" t="s">
        <v>78</v>
      </c>
      <c r="J542" t="s">
        <v>126</v>
      </c>
      <c r="K542" t="s">
        <v>126</v>
      </c>
      <c r="L542" t="s">
        <v>126</v>
      </c>
      <c r="M542" t="s">
        <v>1199</v>
      </c>
      <c r="N542" t="b">
        <v>0</v>
      </c>
    </row>
    <row r="543" spans="1:14">
      <c r="A543">
        <v>23</v>
      </c>
      <c r="B543">
        <v>11</v>
      </c>
      <c r="C543" t="s">
        <v>205</v>
      </c>
      <c r="D543" t="s">
        <v>724</v>
      </c>
      <c r="E543" t="s">
        <v>98</v>
      </c>
      <c r="F543">
        <v>40</v>
      </c>
      <c r="G543" t="s">
        <v>126</v>
      </c>
      <c r="H543" t="s">
        <v>126</v>
      </c>
      <c r="I543" t="s">
        <v>98</v>
      </c>
      <c r="J543" t="s">
        <v>126</v>
      </c>
      <c r="K543" t="s">
        <v>126</v>
      </c>
      <c r="L543" t="s">
        <v>126</v>
      </c>
      <c r="M543" t="s">
        <v>1200</v>
      </c>
      <c r="N543" t="b">
        <v>0</v>
      </c>
    </row>
    <row r="544" spans="1:14">
      <c r="A544">
        <v>23</v>
      </c>
      <c r="B544">
        <v>12</v>
      </c>
      <c r="C544" t="s">
        <v>195</v>
      </c>
      <c r="D544" t="s">
        <v>724</v>
      </c>
      <c r="E544" t="s">
        <v>108</v>
      </c>
      <c r="F544">
        <v>60</v>
      </c>
      <c r="G544" t="s">
        <v>126</v>
      </c>
      <c r="H544" t="s">
        <v>126</v>
      </c>
      <c r="I544" t="s">
        <v>108</v>
      </c>
      <c r="J544" t="s">
        <v>126</v>
      </c>
      <c r="K544" t="s">
        <v>126</v>
      </c>
      <c r="L544" t="s">
        <v>126</v>
      </c>
      <c r="M544" t="s">
        <v>1201</v>
      </c>
      <c r="N544" t="b">
        <v>0</v>
      </c>
    </row>
    <row r="545" spans="1:14">
      <c r="A545">
        <v>23</v>
      </c>
      <c r="B545">
        <v>13</v>
      </c>
      <c r="C545" t="s">
        <v>126</v>
      </c>
      <c r="D545" t="s">
        <v>724</v>
      </c>
      <c r="E545" t="s">
        <v>126</v>
      </c>
      <c r="F545">
        <v>0</v>
      </c>
      <c r="G545" t="s">
        <v>126</v>
      </c>
      <c r="H545" t="s">
        <v>126</v>
      </c>
      <c r="I545" t="s">
        <v>126</v>
      </c>
      <c r="J545" t="s">
        <v>126</v>
      </c>
      <c r="K545" t="s">
        <v>126</v>
      </c>
      <c r="L545" t="s">
        <v>126</v>
      </c>
      <c r="M545" t="s">
        <v>1202</v>
      </c>
      <c r="N545" t="b">
        <v>0</v>
      </c>
    </row>
    <row r="546" spans="1:14">
      <c r="A546">
        <v>23</v>
      </c>
      <c r="B546">
        <v>14</v>
      </c>
      <c r="C546" t="s">
        <v>126</v>
      </c>
      <c r="D546" t="s">
        <v>724</v>
      </c>
      <c r="E546" t="s">
        <v>126</v>
      </c>
      <c r="F546">
        <v>0</v>
      </c>
      <c r="G546" t="s">
        <v>126</v>
      </c>
      <c r="H546" t="s">
        <v>126</v>
      </c>
      <c r="I546" t="s">
        <v>126</v>
      </c>
      <c r="J546" t="s">
        <v>126</v>
      </c>
      <c r="K546" t="s">
        <v>126</v>
      </c>
      <c r="L546" t="s">
        <v>126</v>
      </c>
      <c r="M546" t="s">
        <v>1203</v>
      </c>
      <c r="N546" t="b">
        <v>0</v>
      </c>
    </row>
    <row r="547" spans="1:14">
      <c r="A547">
        <v>23</v>
      </c>
      <c r="B547">
        <v>15</v>
      </c>
      <c r="C547" t="s">
        <v>126</v>
      </c>
      <c r="D547" t="s">
        <v>724</v>
      </c>
      <c r="E547" t="s">
        <v>126</v>
      </c>
      <c r="F547">
        <v>0</v>
      </c>
      <c r="G547" t="s">
        <v>126</v>
      </c>
      <c r="H547" t="s">
        <v>126</v>
      </c>
      <c r="I547" t="s">
        <v>126</v>
      </c>
      <c r="J547" t="s">
        <v>126</v>
      </c>
      <c r="K547" t="s">
        <v>126</v>
      </c>
      <c r="L547" t="s">
        <v>126</v>
      </c>
      <c r="M547" t="s">
        <v>1204</v>
      </c>
      <c r="N547" t="b">
        <v>0</v>
      </c>
    </row>
    <row r="548" spans="1:14">
      <c r="A548">
        <v>23</v>
      </c>
      <c r="B548">
        <v>16</v>
      </c>
      <c r="C548" t="s">
        <v>206</v>
      </c>
      <c r="D548" t="s">
        <v>741</v>
      </c>
      <c r="E548" t="s">
        <v>109</v>
      </c>
      <c r="F548">
        <v>50</v>
      </c>
      <c r="G548" t="s">
        <v>126</v>
      </c>
      <c r="H548" t="s">
        <v>126</v>
      </c>
      <c r="I548" t="s">
        <v>109</v>
      </c>
      <c r="J548" t="s">
        <v>126</v>
      </c>
      <c r="K548" t="s">
        <v>126</v>
      </c>
      <c r="L548" t="s">
        <v>126</v>
      </c>
      <c r="M548" t="s">
        <v>1205</v>
      </c>
      <c r="N548" t="b">
        <v>0</v>
      </c>
    </row>
    <row r="549" spans="1:14">
      <c r="A549">
        <v>23</v>
      </c>
      <c r="B549">
        <v>17</v>
      </c>
      <c r="C549" t="s">
        <v>277</v>
      </c>
      <c r="D549" t="s">
        <v>741</v>
      </c>
      <c r="E549" t="s">
        <v>112</v>
      </c>
      <c r="F549">
        <v>60</v>
      </c>
      <c r="G549" t="s">
        <v>126</v>
      </c>
      <c r="H549" t="s">
        <v>126</v>
      </c>
      <c r="I549" t="s">
        <v>112</v>
      </c>
      <c r="J549" t="s">
        <v>126</v>
      </c>
      <c r="K549" t="s">
        <v>126</v>
      </c>
      <c r="L549" t="s">
        <v>126</v>
      </c>
      <c r="M549" t="s">
        <v>687</v>
      </c>
      <c r="N549" t="b">
        <v>0</v>
      </c>
    </row>
    <row r="550" spans="1:14">
      <c r="A550">
        <v>23</v>
      </c>
      <c r="B550">
        <v>18</v>
      </c>
      <c r="C550" t="s">
        <v>198</v>
      </c>
      <c r="D550" t="s">
        <v>741</v>
      </c>
      <c r="E550" t="s">
        <v>113</v>
      </c>
      <c r="F550">
        <v>50</v>
      </c>
      <c r="G550" t="s">
        <v>126</v>
      </c>
      <c r="H550" t="s">
        <v>126</v>
      </c>
      <c r="I550" t="s">
        <v>113</v>
      </c>
      <c r="J550" t="s">
        <v>126</v>
      </c>
      <c r="K550" t="s">
        <v>126</v>
      </c>
      <c r="L550" t="s">
        <v>126</v>
      </c>
      <c r="M550" t="s">
        <v>1206</v>
      </c>
      <c r="N550" t="b">
        <v>0</v>
      </c>
    </row>
    <row r="551" spans="1:14">
      <c r="A551">
        <v>23</v>
      </c>
      <c r="B551">
        <v>19</v>
      </c>
      <c r="C551" t="s">
        <v>278</v>
      </c>
      <c r="D551" t="s">
        <v>741</v>
      </c>
      <c r="E551" t="s">
        <v>92</v>
      </c>
      <c r="F551">
        <v>60</v>
      </c>
      <c r="G551" t="s">
        <v>126</v>
      </c>
      <c r="H551" t="s">
        <v>126</v>
      </c>
      <c r="I551" t="s">
        <v>92</v>
      </c>
      <c r="J551" t="s">
        <v>126</v>
      </c>
      <c r="K551" t="s">
        <v>126</v>
      </c>
      <c r="L551" t="s">
        <v>126</v>
      </c>
      <c r="M551" t="s">
        <v>1207</v>
      </c>
      <c r="N551" t="b">
        <v>0</v>
      </c>
    </row>
    <row r="552" spans="1:14">
      <c r="A552">
        <v>23</v>
      </c>
      <c r="B552">
        <v>20</v>
      </c>
      <c r="C552" t="s">
        <v>126</v>
      </c>
      <c r="D552" t="s">
        <v>741</v>
      </c>
      <c r="E552" t="s">
        <v>126</v>
      </c>
      <c r="F552">
        <v>0</v>
      </c>
      <c r="G552" t="s">
        <v>126</v>
      </c>
      <c r="H552" t="s">
        <v>126</v>
      </c>
      <c r="I552" t="s">
        <v>126</v>
      </c>
      <c r="J552" t="s">
        <v>126</v>
      </c>
      <c r="K552" t="s">
        <v>126</v>
      </c>
      <c r="L552" t="s">
        <v>126</v>
      </c>
      <c r="M552" t="s">
        <v>1208</v>
      </c>
      <c r="N552" t="b">
        <v>0</v>
      </c>
    </row>
    <row r="553" spans="1:14">
      <c r="A553">
        <v>23</v>
      </c>
      <c r="B553">
        <v>21</v>
      </c>
      <c r="C553" t="s">
        <v>126</v>
      </c>
      <c r="D553" t="s">
        <v>741</v>
      </c>
      <c r="E553" t="s">
        <v>126</v>
      </c>
      <c r="F553">
        <v>0</v>
      </c>
      <c r="G553" t="s">
        <v>126</v>
      </c>
      <c r="H553" t="s">
        <v>126</v>
      </c>
      <c r="I553" t="s">
        <v>126</v>
      </c>
      <c r="J553" t="s">
        <v>126</v>
      </c>
      <c r="K553" t="s">
        <v>126</v>
      </c>
      <c r="L553" t="s">
        <v>126</v>
      </c>
      <c r="M553" t="s">
        <v>1209</v>
      </c>
      <c r="N553" t="b">
        <v>0</v>
      </c>
    </row>
    <row r="554" spans="1:14">
      <c r="A554">
        <v>23</v>
      </c>
      <c r="B554">
        <v>22</v>
      </c>
      <c r="C554" t="s">
        <v>126</v>
      </c>
      <c r="D554" t="s">
        <v>741</v>
      </c>
      <c r="E554" t="s">
        <v>126</v>
      </c>
      <c r="F554">
        <v>0</v>
      </c>
      <c r="G554" t="s">
        <v>126</v>
      </c>
      <c r="H554" t="s">
        <v>126</v>
      </c>
      <c r="I554" t="s">
        <v>126</v>
      </c>
      <c r="J554" t="s">
        <v>126</v>
      </c>
      <c r="K554" t="s">
        <v>126</v>
      </c>
      <c r="L554" t="s">
        <v>126</v>
      </c>
      <c r="M554" t="s">
        <v>1210</v>
      </c>
      <c r="N554" t="b">
        <v>0</v>
      </c>
    </row>
    <row r="555" spans="1:14">
      <c r="A555">
        <v>23</v>
      </c>
      <c r="B555">
        <v>23</v>
      </c>
      <c r="C555" t="s">
        <v>126</v>
      </c>
      <c r="D555" t="s">
        <v>741</v>
      </c>
      <c r="E555" t="s">
        <v>126</v>
      </c>
      <c r="F555">
        <v>0</v>
      </c>
      <c r="G555" t="s">
        <v>126</v>
      </c>
      <c r="H555" t="s">
        <v>126</v>
      </c>
      <c r="I555" t="s">
        <v>126</v>
      </c>
      <c r="J555" t="s">
        <v>126</v>
      </c>
      <c r="K555" t="s">
        <v>126</v>
      </c>
      <c r="L555" t="s">
        <v>126</v>
      </c>
      <c r="M555" t="s">
        <v>1211</v>
      </c>
      <c r="N555" t="b">
        <v>0</v>
      </c>
    </row>
    <row r="556" spans="1:14">
      <c r="A556">
        <v>23</v>
      </c>
      <c r="B556">
        <v>24</v>
      </c>
      <c r="C556" t="s">
        <v>126</v>
      </c>
      <c r="D556" t="s">
        <v>741</v>
      </c>
      <c r="E556" t="s">
        <v>126</v>
      </c>
      <c r="F556">
        <v>0</v>
      </c>
      <c r="G556" t="s">
        <v>126</v>
      </c>
      <c r="H556" t="s">
        <v>126</v>
      </c>
      <c r="I556" t="s">
        <v>126</v>
      </c>
      <c r="J556" t="s">
        <v>126</v>
      </c>
      <c r="K556" t="s">
        <v>126</v>
      </c>
      <c r="L556" t="s">
        <v>126</v>
      </c>
      <c r="M556" t="s">
        <v>1212</v>
      </c>
      <c r="N556" t="b">
        <v>0</v>
      </c>
    </row>
    <row r="557" spans="1:14">
      <c r="A557">
        <v>23</v>
      </c>
      <c r="B557">
        <v>25</v>
      </c>
      <c r="C557" t="s">
        <v>126</v>
      </c>
      <c r="D557" t="s">
        <v>741</v>
      </c>
      <c r="E557" t="s">
        <v>126</v>
      </c>
      <c r="F557">
        <v>0</v>
      </c>
      <c r="G557" t="s">
        <v>126</v>
      </c>
      <c r="H557" t="s">
        <v>126</v>
      </c>
      <c r="I557" t="s">
        <v>126</v>
      </c>
      <c r="J557" t="s">
        <v>126</v>
      </c>
      <c r="K557" t="s">
        <v>126</v>
      </c>
      <c r="L557" t="s">
        <v>126</v>
      </c>
      <c r="M557" t="s">
        <v>1213</v>
      </c>
      <c r="N557" t="b">
        <v>0</v>
      </c>
    </row>
    <row r="558" spans="1:14">
      <c r="A558">
        <v>23</v>
      </c>
      <c r="B558">
        <v>26</v>
      </c>
      <c r="C558" t="s">
        <v>126</v>
      </c>
      <c r="D558" t="s">
        <v>741</v>
      </c>
      <c r="E558" t="s">
        <v>126</v>
      </c>
      <c r="F558">
        <v>0</v>
      </c>
      <c r="G558" t="s">
        <v>126</v>
      </c>
      <c r="H558" t="s">
        <v>126</v>
      </c>
      <c r="I558" t="s">
        <v>126</v>
      </c>
      <c r="J558" t="s">
        <v>126</v>
      </c>
      <c r="K558" t="s">
        <v>126</v>
      </c>
      <c r="L558" t="s">
        <v>126</v>
      </c>
      <c r="M558" t="s">
        <v>1214</v>
      </c>
      <c r="N558" t="b">
        <v>0</v>
      </c>
    </row>
    <row r="559" spans="1:14">
      <c r="A559">
        <v>24</v>
      </c>
      <c r="B559">
        <v>0</v>
      </c>
      <c r="C559" t="s">
        <v>196</v>
      </c>
      <c r="D559" t="s">
        <v>724</v>
      </c>
      <c r="E559" t="s">
        <v>60</v>
      </c>
      <c r="F559">
        <v>60</v>
      </c>
      <c r="G559" t="s">
        <v>126</v>
      </c>
      <c r="H559" t="s">
        <v>126</v>
      </c>
      <c r="I559" t="s">
        <v>60</v>
      </c>
      <c r="J559" t="s">
        <v>126</v>
      </c>
      <c r="K559" t="s">
        <v>126</v>
      </c>
      <c r="L559" t="s">
        <v>126</v>
      </c>
      <c r="M559" t="s">
        <v>1215</v>
      </c>
      <c r="N559" t="b">
        <v>0</v>
      </c>
    </row>
    <row r="560" spans="1:14">
      <c r="A560">
        <v>24</v>
      </c>
      <c r="B560">
        <v>1</v>
      </c>
      <c r="C560" t="s">
        <v>245</v>
      </c>
      <c r="D560" t="s">
        <v>724</v>
      </c>
      <c r="E560" t="s">
        <v>83</v>
      </c>
      <c r="F560">
        <v>60</v>
      </c>
      <c r="G560" t="s">
        <v>126</v>
      </c>
      <c r="H560" t="s">
        <v>126</v>
      </c>
      <c r="I560" t="s">
        <v>83</v>
      </c>
      <c r="J560" t="s">
        <v>126</v>
      </c>
      <c r="K560" t="s">
        <v>126</v>
      </c>
      <c r="L560" t="s">
        <v>126</v>
      </c>
      <c r="M560" t="s">
        <v>1216</v>
      </c>
      <c r="N560" t="b">
        <v>0</v>
      </c>
    </row>
    <row r="561" spans="1:14">
      <c r="A561">
        <v>24</v>
      </c>
      <c r="B561">
        <v>2</v>
      </c>
      <c r="C561" t="s">
        <v>197</v>
      </c>
      <c r="D561" t="s">
        <v>724</v>
      </c>
      <c r="E561" t="s">
        <v>87</v>
      </c>
      <c r="F561">
        <v>50</v>
      </c>
      <c r="G561" t="s">
        <v>126</v>
      </c>
      <c r="H561" t="s">
        <v>126</v>
      </c>
      <c r="I561" t="s">
        <v>87</v>
      </c>
      <c r="J561" t="s">
        <v>126</v>
      </c>
      <c r="K561" t="s">
        <v>126</v>
      </c>
      <c r="L561" t="s">
        <v>126</v>
      </c>
      <c r="M561" t="s">
        <v>1217</v>
      </c>
      <c r="N561" t="b">
        <v>0</v>
      </c>
    </row>
    <row r="562" spans="1:14">
      <c r="A562">
        <v>24</v>
      </c>
      <c r="B562">
        <v>3</v>
      </c>
      <c r="C562" t="s">
        <v>280</v>
      </c>
      <c r="D562" t="s">
        <v>724</v>
      </c>
      <c r="E562" t="s">
        <v>93</v>
      </c>
      <c r="F562">
        <v>30</v>
      </c>
      <c r="G562" t="s">
        <v>126</v>
      </c>
      <c r="H562" t="s">
        <v>126</v>
      </c>
      <c r="I562" t="s">
        <v>93</v>
      </c>
      <c r="J562" t="s">
        <v>126</v>
      </c>
      <c r="K562" t="s">
        <v>126</v>
      </c>
      <c r="L562" t="s">
        <v>126</v>
      </c>
      <c r="M562" t="s">
        <v>1218</v>
      </c>
      <c r="N562" t="b">
        <v>0</v>
      </c>
    </row>
    <row r="563" spans="1:14">
      <c r="A563">
        <v>24</v>
      </c>
      <c r="B563">
        <v>4</v>
      </c>
      <c r="C563" t="s">
        <v>159</v>
      </c>
      <c r="D563" t="s">
        <v>753</v>
      </c>
      <c r="E563" t="s">
        <v>297</v>
      </c>
      <c r="F563">
        <v>50</v>
      </c>
      <c r="G563" t="s">
        <v>760</v>
      </c>
      <c r="H563" t="s">
        <v>126</v>
      </c>
      <c r="I563" t="s">
        <v>126</v>
      </c>
      <c r="J563" t="s">
        <v>761</v>
      </c>
      <c r="K563" t="s">
        <v>762</v>
      </c>
      <c r="L563" t="s">
        <v>763</v>
      </c>
      <c r="M563" t="s">
        <v>1219</v>
      </c>
      <c r="N563" t="b">
        <v>0</v>
      </c>
    </row>
    <row r="564" spans="1:14">
      <c r="A564">
        <v>24</v>
      </c>
      <c r="B564">
        <v>5</v>
      </c>
      <c r="C564" t="s">
        <v>246</v>
      </c>
      <c r="D564" t="s">
        <v>724</v>
      </c>
      <c r="E564" t="s">
        <v>114</v>
      </c>
      <c r="F564">
        <v>40</v>
      </c>
      <c r="G564" t="s">
        <v>126</v>
      </c>
      <c r="H564" t="s">
        <v>126</v>
      </c>
      <c r="I564" t="s">
        <v>114</v>
      </c>
      <c r="J564" t="s">
        <v>126</v>
      </c>
      <c r="K564" t="s">
        <v>126</v>
      </c>
      <c r="L564" t="s">
        <v>126</v>
      </c>
      <c r="M564" t="s">
        <v>1220</v>
      </c>
      <c r="N564" t="b">
        <v>0</v>
      </c>
    </row>
    <row r="565" spans="1:14">
      <c r="A565">
        <v>24</v>
      </c>
      <c r="B565">
        <v>6</v>
      </c>
      <c r="C565" t="s">
        <v>182</v>
      </c>
      <c r="D565" t="s">
        <v>724</v>
      </c>
      <c r="E565" t="s">
        <v>61</v>
      </c>
      <c r="F565">
        <v>40</v>
      </c>
      <c r="G565" t="s">
        <v>126</v>
      </c>
      <c r="H565" t="s">
        <v>126</v>
      </c>
      <c r="I565" t="s">
        <v>61</v>
      </c>
      <c r="J565" t="s">
        <v>126</v>
      </c>
      <c r="K565" t="s">
        <v>126</v>
      </c>
      <c r="L565" t="s">
        <v>126</v>
      </c>
      <c r="M565" t="s">
        <v>1221</v>
      </c>
      <c r="N565" t="b">
        <v>0</v>
      </c>
    </row>
    <row r="566" spans="1:14">
      <c r="A566">
        <v>24</v>
      </c>
      <c r="B566">
        <v>7</v>
      </c>
      <c r="C566" t="s">
        <v>193</v>
      </c>
      <c r="D566" t="s">
        <v>724</v>
      </c>
      <c r="E566" t="s">
        <v>78</v>
      </c>
      <c r="F566">
        <v>50</v>
      </c>
      <c r="G566" t="s">
        <v>126</v>
      </c>
      <c r="H566" t="s">
        <v>126</v>
      </c>
      <c r="I566" t="s">
        <v>78</v>
      </c>
      <c r="J566" t="s">
        <v>126</v>
      </c>
      <c r="K566" t="s">
        <v>126</v>
      </c>
      <c r="L566" t="s">
        <v>126</v>
      </c>
      <c r="M566" t="s">
        <v>1222</v>
      </c>
      <c r="N566" t="b">
        <v>0</v>
      </c>
    </row>
    <row r="567" spans="1:14">
      <c r="A567">
        <v>24</v>
      </c>
      <c r="B567">
        <v>8</v>
      </c>
      <c r="C567" t="s">
        <v>126</v>
      </c>
      <c r="D567" t="s">
        <v>724</v>
      </c>
      <c r="E567" t="s">
        <v>126</v>
      </c>
      <c r="F567">
        <v>0</v>
      </c>
      <c r="G567" t="s">
        <v>126</v>
      </c>
      <c r="H567" t="s">
        <v>126</v>
      </c>
      <c r="I567" t="s">
        <v>126</v>
      </c>
      <c r="J567" t="s">
        <v>126</v>
      </c>
      <c r="K567" t="s">
        <v>126</v>
      </c>
      <c r="L567" t="s">
        <v>126</v>
      </c>
      <c r="M567" t="s">
        <v>1223</v>
      </c>
      <c r="N567" t="b">
        <v>0</v>
      </c>
    </row>
    <row r="568" spans="1:14">
      <c r="A568">
        <v>24</v>
      </c>
      <c r="B568">
        <v>9</v>
      </c>
      <c r="C568" t="s">
        <v>126</v>
      </c>
      <c r="D568" t="s">
        <v>724</v>
      </c>
      <c r="E568" t="s">
        <v>126</v>
      </c>
      <c r="F568">
        <v>0</v>
      </c>
      <c r="G568" t="s">
        <v>126</v>
      </c>
      <c r="H568" t="s">
        <v>126</v>
      </c>
      <c r="I568" t="s">
        <v>126</v>
      </c>
      <c r="J568" t="s">
        <v>126</v>
      </c>
      <c r="K568" t="s">
        <v>126</v>
      </c>
      <c r="L568" t="s">
        <v>126</v>
      </c>
      <c r="M568" t="s">
        <v>1224</v>
      </c>
      <c r="N568" t="b">
        <v>0</v>
      </c>
    </row>
    <row r="569" spans="1:14">
      <c r="A569">
        <v>24</v>
      </c>
      <c r="B569">
        <v>10</v>
      </c>
      <c r="C569" t="s">
        <v>126</v>
      </c>
      <c r="D569" t="s">
        <v>724</v>
      </c>
      <c r="E569" t="s">
        <v>126</v>
      </c>
      <c r="F569">
        <v>0</v>
      </c>
      <c r="G569" t="s">
        <v>126</v>
      </c>
      <c r="H569" t="s">
        <v>126</v>
      </c>
      <c r="I569" t="s">
        <v>126</v>
      </c>
      <c r="J569" t="s">
        <v>126</v>
      </c>
      <c r="K569" t="s">
        <v>126</v>
      </c>
      <c r="L569" t="s">
        <v>126</v>
      </c>
      <c r="M569" t="s">
        <v>1225</v>
      </c>
      <c r="N569" t="b">
        <v>0</v>
      </c>
    </row>
    <row r="570" spans="1:14">
      <c r="A570">
        <v>24</v>
      </c>
      <c r="B570">
        <v>11</v>
      </c>
      <c r="C570" t="s">
        <v>126</v>
      </c>
      <c r="D570" t="s">
        <v>724</v>
      </c>
      <c r="E570" t="s">
        <v>126</v>
      </c>
      <c r="F570">
        <v>0</v>
      </c>
      <c r="G570" t="s">
        <v>126</v>
      </c>
      <c r="H570" t="s">
        <v>126</v>
      </c>
      <c r="I570" t="s">
        <v>126</v>
      </c>
      <c r="J570" t="s">
        <v>126</v>
      </c>
      <c r="K570" t="s">
        <v>126</v>
      </c>
      <c r="L570" t="s">
        <v>126</v>
      </c>
      <c r="M570" t="s">
        <v>1226</v>
      </c>
      <c r="N570" t="b">
        <v>0</v>
      </c>
    </row>
    <row r="571" spans="1:14">
      <c r="A571">
        <v>24</v>
      </c>
      <c r="B571">
        <v>12</v>
      </c>
      <c r="C571" t="s">
        <v>126</v>
      </c>
      <c r="D571" t="s">
        <v>724</v>
      </c>
      <c r="E571" t="s">
        <v>126</v>
      </c>
      <c r="F571">
        <v>0</v>
      </c>
      <c r="G571" t="s">
        <v>126</v>
      </c>
      <c r="H571" t="s">
        <v>126</v>
      </c>
      <c r="I571" t="s">
        <v>126</v>
      </c>
      <c r="J571" t="s">
        <v>126</v>
      </c>
      <c r="K571" t="s">
        <v>126</v>
      </c>
      <c r="L571" t="s">
        <v>126</v>
      </c>
      <c r="M571" t="s">
        <v>1227</v>
      </c>
      <c r="N571" t="b">
        <v>0</v>
      </c>
    </row>
    <row r="572" spans="1:14">
      <c r="A572">
        <v>24</v>
      </c>
      <c r="B572">
        <v>13</v>
      </c>
      <c r="C572" t="s">
        <v>126</v>
      </c>
      <c r="D572" t="s">
        <v>724</v>
      </c>
      <c r="E572" t="s">
        <v>126</v>
      </c>
      <c r="F572">
        <v>0</v>
      </c>
      <c r="G572" t="s">
        <v>126</v>
      </c>
      <c r="H572" t="s">
        <v>126</v>
      </c>
      <c r="I572" t="s">
        <v>126</v>
      </c>
      <c r="J572" t="s">
        <v>126</v>
      </c>
      <c r="K572" t="s">
        <v>126</v>
      </c>
      <c r="L572" t="s">
        <v>126</v>
      </c>
      <c r="M572" t="s">
        <v>1228</v>
      </c>
      <c r="N572" t="b">
        <v>0</v>
      </c>
    </row>
    <row r="573" spans="1:14">
      <c r="A573">
        <v>24</v>
      </c>
      <c r="B573">
        <v>14</v>
      </c>
      <c r="C573" t="s">
        <v>126</v>
      </c>
      <c r="D573" t="s">
        <v>724</v>
      </c>
      <c r="E573" t="s">
        <v>126</v>
      </c>
      <c r="F573">
        <v>0</v>
      </c>
      <c r="G573" t="s">
        <v>126</v>
      </c>
      <c r="H573" t="s">
        <v>126</v>
      </c>
      <c r="I573" t="s">
        <v>126</v>
      </c>
      <c r="J573" t="s">
        <v>126</v>
      </c>
      <c r="K573" t="s">
        <v>126</v>
      </c>
      <c r="L573" t="s">
        <v>126</v>
      </c>
      <c r="M573" t="s">
        <v>1229</v>
      </c>
      <c r="N573" t="b">
        <v>0</v>
      </c>
    </row>
    <row r="574" spans="1:14">
      <c r="A574">
        <v>24</v>
      </c>
      <c r="B574">
        <v>15</v>
      </c>
      <c r="C574" t="s">
        <v>126</v>
      </c>
      <c r="D574" t="s">
        <v>724</v>
      </c>
      <c r="E574" t="s">
        <v>126</v>
      </c>
      <c r="F574">
        <v>0</v>
      </c>
      <c r="G574" t="s">
        <v>126</v>
      </c>
      <c r="H574" t="s">
        <v>126</v>
      </c>
      <c r="I574" t="s">
        <v>126</v>
      </c>
      <c r="J574" t="s">
        <v>126</v>
      </c>
      <c r="K574" t="s">
        <v>126</v>
      </c>
      <c r="L574" t="s">
        <v>126</v>
      </c>
      <c r="M574" t="s">
        <v>1230</v>
      </c>
      <c r="N574" t="b">
        <v>0</v>
      </c>
    </row>
    <row r="575" spans="1:14">
      <c r="A575">
        <v>24</v>
      </c>
      <c r="B575">
        <v>16</v>
      </c>
      <c r="C575" t="s">
        <v>281</v>
      </c>
      <c r="D575" t="s">
        <v>741</v>
      </c>
      <c r="E575" t="s">
        <v>67</v>
      </c>
      <c r="F575">
        <v>30</v>
      </c>
      <c r="G575" t="s">
        <v>126</v>
      </c>
      <c r="H575" t="s">
        <v>126</v>
      </c>
      <c r="I575" t="s">
        <v>67</v>
      </c>
      <c r="J575" t="s">
        <v>126</v>
      </c>
      <c r="K575" t="s">
        <v>126</v>
      </c>
      <c r="L575" t="s">
        <v>126</v>
      </c>
      <c r="M575" t="s">
        <v>1231</v>
      </c>
      <c r="N575" t="b">
        <v>0</v>
      </c>
    </row>
    <row r="576" spans="1:14">
      <c r="A576">
        <v>24</v>
      </c>
      <c r="B576">
        <v>17</v>
      </c>
      <c r="C576" t="s">
        <v>282</v>
      </c>
      <c r="D576" t="s">
        <v>741</v>
      </c>
      <c r="E576" t="s">
        <v>543</v>
      </c>
      <c r="F576">
        <v>30</v>
      </c>
      <c r="G576" t="s">
        <v>760</v>
      </c>
      <c r="H576" t="s">
        <v>126</v>
      </c>
      <c r="I576" t="s">
        <v>126</v>
      </c>
      <c r="J576" t="s">
        <v>1102</v>
      </c>
      <c r="K576" t="s">
        <v>1103</v>
      </c>
      <c r="L576" t="s">
        <v>1056</v>
      </c>
      <c r="M576" t="s">
        <v>689</v>
      </c>
      <c r="N576" t="b">
        <v>0</v>
      </c>
    </row>
    <row r="577" spans="1:14">
      <c r="A577">
        <v>24</v>
      </c>
      <c r="B577">
        <v>18</v>
      </c>
      <c r="C577" t="s">
        <v>283</v>
      </c>
      <c r="D577" t="s">
        <v>741</v>
      </c>
      <c r="E577" t="s">
        <v>544</v>
      </c>
      <c r="F577">
        <v>30</v>
      </c>
      <c r="G577" t="s">
        <v>760</v>
      </c>
      <c r="H577" t="s">
        <v>126</v>
      </c>
      <c r="I577" t="s">
        <v>126</v>
      </c>
      <c r="J577" t="s">
        <v>817</v>
      </c>
      <c r="K577" t="s">
        <v>792</v>
      </c>
      <c r="L577" t="s">
        <v>793</v>
      </c>
      <c r="M577" t="s">
        <v>1232</v>
      </c>
      <c r="N577" t="b">
        <v>0</v>
      </c>
    </row>
    <row r="578" spans="1:14">
      <c r="A578">
        <v>24</v>
      </c>
      <c r="B578">
        <v>19</v>
      </c>
      <c r="C578" t="s">
        <v>284</v>
      </c>
      <c r="D578" t="s">
        <v>741</v>
      </c>
      <c r="E578" t="s">
        <v>545</v>
      </c>
      <c r="F578">
        <v>30</v>
      </c>
      <c r="G578" t="s">
        <v>760</v>
      </c>
      <c r="H578" t="s">
        <v>126</v>
      </c>
      <c r="I578" t="s">
        <v>126</v>
      </c>
      <c r="J578" t="s">
        <v>824</v>
      </c>
      <c r="K578" t="s">
        <v>801</v>
      </c>
      <c r="L578" t="s">
        <v>802</v>
      </c>
      <c r="M578" t="s">
        <v>1233</v>
      </c>
      <c r="N578" t="b">
        <v>0</v>
      </c>
    </row>
    <row r="579" spans="1:14">
      <c r="A579">
        <v>24</v>
      </c>
      <c r="B579">
        <v>20</v>
      </c>
      <c r="C579" t="s">
        <v>126</v>
      </c>
      <c r="D579" t="s">
        <v>741</v>
      </c>
      <c r="E579" t="s">
        <v>126</v>
      </c>
      <c r="F579">
        <v>0</v>
      </c>
      <c r="G579" t="s">
        <v>126</v>
      </c>
      <c r="H579" t="s">
        <v>126</v>
      </c>
      <c r="I579" t="s">
        <v>126</v>
      </c>
      <c r="J579" t="s">
        <v>126</v>
      </c>
      <c r="K579" t="s">
        <v>126</v>
      </c>
      <c r="L579" t="s">
        <v>126</v>
      </c>
      <c r="M579" t="s">
        <v>1234</v>
      </c>
      <c r="N579" t="b">
        <v>0</v>
      </c>
    </row>
    <row r="580" spans="1:14">
      <c r="A580">
        <v>24</v>
      </c>
      <c r="B580">
        <v>21</v>
      </c>
      <c r="C580" t="s">
        <v>126</v>
      </c>
      <c r="D580" t="s">
        <v>741</v>
      </c>
      <c r="E580" t="s">
        <v>126</v>
      </c>
      <c r="F580">
        <v>0</v>
      </c>
      <c r="G580" t="s">
        <v>126</v>
      </c>
      <c r="H580" t="s">
        <v>126</v>
      </c>
      <c r="I580" t="s">
        <v>126</v>
      </c>
      <c r="J580" t="s">
        <v>126</v>
      </c>
      <c r="K580" t="s">
        <v>126</v>
      </c>
      <c r="L580" t="s">
        <v>126</v>
      </c>
      <c r="M580" t="s">
        <v>1235</v>
      </c>
      <c r="N580" t="b">
        <v>0</v>
      </c>
    </row>
    <row r="581" spans="1:14">
      <c r="A581">
        <v>24</v>
      </c>
      <c r="B581">
        <v>22</v>
      </c>
      <c r="C581" t="s">
        <v>126</v>
      </c>
      <c r="D581" t="s">
        <v>741</v>
      </c>
      <c r="E581" t="s">
        <v>126</v>
      </c>
      <c r="F581">
        <v>0</v>
      </c>
      <c r="G581" t="s">
        <v>126</v>
      </c>
      <c r="H581" t="s">
        <v>126</v>
      </c>
      <c r="I581" t="s">
        <v>126</v>
      </c>
      <c r="J581" t="s">
        <v>126</v>
      </c>
      <c r="K581" t="s">
        <v>126</v>
      </c>
      <c r="L581" t="s">
        <v>126</v>
      </c>
      <c r="M581" t="s">
        <v>1236</v>
      </c>
      <c r="N581" t="b">
        <v>0</v>
      </c>
    </row>
    <row r="582" spans="1:14">
      <c r="A582">
        <v>24</v>
      </c>
      <c r="B582">
        <v>23</v>
      </c>
      <c r="C582" t="s">
        <v>126</v>
      </c>
      <c r="D582" t="s">
        <v>741</v>
      </c>
      <c r="E582" t="s">
        <v>126</v>
      </c>
      <c r="F582">
        <v>0</v>
      </c>
      <c r="G582" t="s">
        <v>126</v>
      </c>
      <c r="H582" t="s">
        <v>126</v>
      </c>
      <c r="I582" t="s">
        <v>126</v>
      </c>
      <c r="J582" t="s">
        <v>126</v>
      </c>
      <c r="K582" t="s">
        <v>126</v>
      </c>
      <c r="L582" t="s">
        <v>126</v>
      </c>
      <c r="M582" t="s">
        <v>1237</v>
      </c>
      <c r="N582" t="b">
        <v>0</v>
      </c>
    </row>
    <row r="583" spans="1:14">
      <c r="A583">
        <v>24</v>
      </c>
      <c r="B583">
        <v>24</v>
      </c>
      <c r="C583" t="s">
        <v>126</v>
      </c>
      <c r="D583" t="s">
        <v>741</v>
      </c>
      <c r="E583" t="s">
        <v>126</v>
      </c>
      <c r="F583">
        <v>0</v>
      </c>
      <c r="G583" t="s">
        <v>126</v>
      </c>
      <c r="H583" t="s">
        <v>126</v>
      </c>
      <c r="I583" t="s">
        <v>126</v>
      </c>
      <c r="J583" t="s">
        <v>126</v>
      </c>
      <c r="K583" t="s">
        <v>126</v>
      </c>
      <c r="L583" t="s">
        <v>126</v>
      </c>
      <c r="M583" t="s">
        <v>1238</v>
      </c>
      <c r="N583" t="b">
        <v>0</v>
      </c>
    </row>
    <row r="584" spans="1:14">
      <c r="A584">
        <v>24</v>
      </c>
      <c r="B584">
        <v>25</v>
      </c>
      <c r="C584" t="s">
        <v>126</v>
      </c>
      <c r="D584" t="s">
        <v>741</v>
      </c>
      <c r="E584" t="s">
        <v>126</v>
      </c>
      <c r="F584">
        <v>0</v>
      </c>
      <c r="G584" t="s">
        <v>126</v>
      </c>
      <c r="H584" t="s">
        <v>126</v>
      </c>
      <c r="I584" t="s">
        <v>126</v>
      </c>
      <c r="J584" t="s">
        <v>126</v>
      </c>
      <c r="K584" t="s">
        <v>126</v>
      </c>
      <c r="L584" t="s">
        <v>126</v>
      </c>
      <c r="M584" t="s">
        <v>1239</v>
      </c>
      <c r="N584" t="b">
        <v>0</v>
      </c>
    </row>
    <row r="585" spans="1:14">
      <c r="A585">
        <v>24</v>
      </c>
      <c r="B585">
        <v>26</v>
      </c>
      <c r="C585" t="s">
        <v>126</v>
      </c>
      <c r="D585" t="s">
        <v>741</v>
      </c>
      <c r="E585" t="s">
        <v>126</v>
      </c>
      <c r="F585">
        <v>0</v>
      </c>
      <c r="G585" t="s">
        <v>126</v>
      </c>
      <c r="H585" t="s">
        <v>126</v>
      </c>
      <c r="I585" t="s">
        <v>126</v>
      </c>
      <c r="J585" t="s">
        <v>126</v>
      </c>
      <c r="K585" t="s">
        <v>126</v>
      </c>
      <c r="L585" t="s">
        <v>126</v>
      </c>
      <c r="M585" t="s">
        <v>1240</v>
      </c>
      <c r="N585" t="b">
        <v>0</v>
      </c>
    </row>
    <row r="586" spans="1:14">
      <c r="A586">
        <v>25</v>
      </c>
      <c r="B586">
        <v>0</v>
      </c>
      <c r="C586" t="s">
        <v>186</v>
      </c>
      <c r="D586" t="s">
        <v>724</v>
      </c>
      <c r="E586" t="s">
        <v>65</v>
      </c>
      <c r="F586">
        <v>50</v>
      </c>
      <c r="G586" t="s">
        <v>126</v>
      </c>
      <c r="H586" t="s">
        <v>126</v>
      </c>
      <c r="I586" t="s">
        <v>65</v>
      </c>
      <c r="J586" t="s">
        <v>126</v>
      </c>
      <c r="K586" t="s">
        <v>126</v>
      </c>
      <c r="L586" t="s">
        <v>126</v>
      </c>
      <c r="M586" t="s">
        <v>1241</v>
      </c>
      <c r="N586" t="b">
        <v>0</v>
      </c>
    </row>
    <row r="587" spans="1:14">
      <c r="A587">
        <v>25</v>
      </c>
      <c r="B587">
        <v>1</v>
      </c>
      <c r="C587" t="s">
        <v>226</v>
      </c>
      <c r="D587" t="s">
        <v>724</v>
      </c>
      <c r="E587" t="s">
        <v>77</v>
      </c>
      <c r="F587">
        <v>50</v>
      </c>
      <c r="G587" t="s">
        <v>126</v>
      </c>
      <c r="H587" t="s">
        <v>126</v>
      </c>
      <c r="I587" t="s">
        <v>77</v>
      </c>
      <c r="J587" t="s">
        <v>126</v>
      </c>
      <c r="K587" t="s">
        <v>126</v>
      </c>
      <c r="L587" t="s">
        <v>126</v>
      </c>
      <c r="M587" t="s">
        <v>1242</v>
      </c>
      <c r="N587" t="b">
        <v>0</v>
      </c>
    </row>
    <row r="588" spans="1:14">
      <c r="A588">
        <v>25</v>
      </c>
      <c r="B588">
        <v>2</v>
      </c>
      <c r="C588" t="s">
        <v>268</v>
      </c>
      <c r="D588" t="s">
        <v>724</v>
      </c>
      <c r="E588" t="s">
        <v>83</v>
      </c>
      <c r="F588">
        <v>30</v>
      </c>
      <c r="G588" t="s">
        <v>126</v>
      </c>
      <c r="H588" t="s">
        <v>126</v>
      </c>
      <c r="I588" t="s">
        <v>83</v>
      </c>
      <c r="J588" t="s">
        <v>126</v>
      </c>
      <c r="K588" t="s">
        <v>126</v>
      </c>
      <c r="L588" t="s">
        <v>126</v>
      </c>
      <c r="M588" t="s">
        <v>1243</v>
      </c>
      <c r="N588" t="b">
        <v>0</v>
      </c>
    </row>
    <row r="589" spans="1:14">
      <c r="A589">
        <v>25</v>
      </c>
      <c r="B589">
        <v>3</v>
      </c>
      <c r="C589" t="s">
        <v>251</v>
      </c>
      <c r="D589" t="s">
        <v>724</v>
      </c>
      <c r="E589" t="s">
        <v>99</v>
      </c>
      <c r="F589">
        <v>40</v>
      </c>
      <c r="G589" t="s">
        <v>126</v>
      </c>
      <c r="H589" t="s">
        <v>126</v>
      </c>
      <c r="I589" t="s">
        <v>99</v>
      </c>
      <c r="J589" t="s">
        <v>126</v>
      </c>
      <c r="K589" t="s">
        <v>126</v>
      </c>
      <c r="L589" t="s">
        <v>126</v>
      </c>
      <c r="M589" t="s">
        <v>1244</v>
      </c>
      <c r="N589" t="b">
        <v>0</v>
      </c>
    </row>
    <row r="590" spans="1:14">
      <c r="A590">
        <v>25</v>
      </c>
      <c r="B590">
        <v>4</v>
      </c>
      <c r="C590" t="s">
        <v>229</v>
      </c>
      <c r="D590" t="s">
        <v>724</v>
      </c>
      <c r="E590" t="s">
        <v>101</v>
      </c>
      <c r="F590">
        <v>40</v>
      </c>
      <c r="G590" t="s">
        <v>126</v>
      </c>
      <c r="H590" t="s">
        <v>126</v>
      </c>
      <c r="I590" t="s">
        <v>101</v>
      </c>
      <c r="J590" t="s">
        <v>126</v>
      </c>
      <c r="K590" t="s">
        <v>126</v>
      </c>
      <c r="L590" t="s">
        <v>126</v>
      </c>
      <c r="M590" t="s">
        <v>1245</v>
      </c>
      <c r="N590" t="b">
        <v>0</v>
      </c>
    </row>
    <row r="591" spans="1:14">
      <c r="A591">
        <v>25</v>
      </c>
      <c r="B591">
        <v>5</v>
      </c>
      <c r="C591" t="s">
        <v>287</v>
      </c>
      <c r="D591" t="s">
        <v>724</v>
      </c>
      <c r="E591" t="s">
        <v>103</v>
      </c>
      <c r="F591">
        <v>40</v>
      </c>
      <c r="G591" t="s">
        <v>126</v>
      </c>
      <c r="H591" t="s">
        <v>126</v>
      </c>
      <c r="I591" t="s">
        <v>103</v>
      </c>
      <c r="J591" t="s">
        <v>126</v>
      </c>
      <c r="K591" t="s">
        <v>126</v>
      </c>
      <c r="L591" t="s">
        <v>126</v>
      </c>
      <c r="M591" t="s">
        <v>1246</v>
      </c>
      <c r="N591" t="b">
        <v>0</v>
      </c>
    </row>
    <row r="592" spans="1:14">
      <c r="A592">
        <v>25</v>
      </c>
      <c r="B592">
        <v>6</v>
      </c>
      <c r="C592" t="s">
        <v>288</v>
      </c>
      <c r="D592" t="s">
        <v>724</v>
      </c>
      <c r="E592" t="s">
        <v>331</v>
      </c>
      <c r="F592">
        <v>40</v>
      </c>
      <c r="G592" t="s">
        <v>126</v>
      </c>
      <c r="H592" t="s">
        <v>548</v>
      </c>
      <c r="I592" t="s">
        <v>445</v>
      </c>
      <c r="J592" t="s">
        <v>126</v>
      </c>
      <c r="K592" t="s">
        <v>921</v>
      </c>
      <c r="L592" t="s">
        <v>922</v>
      </c>
      <c r="M592" t="s">
        <v>793</v>
      </c>
      <c r="N592" t="b">
        <v>0</v>
      </c>
    </row>
    <row r="593" spans="1:14">
      <c r="A593">
        <v>25</v>
      </c>
      <c r="B593">
        <v>7</v>
      </c>
      <c r="C593" t="s">
        <v>276</v>
      </c>
      <c r="D593" t="s">
        <v>724</v>
      </c>
      <c r="E593" t="s">
        <v>74</v>
      </c>
      <c r="F593">
        <v>40</v>
      </c>
      <c r="G593" t="s">
        <v>126</v>
      </c>
      <c r="H593" t="s">
        <v>126</v>
      </c>
      <c r="I593" t="s">
        <v>74</v>
      </c>
      <c r="J593" t="s">
        <v>126</v>
      </c>
      <c r="K593" t="s">
        <v>126</v>
      </c>
      <c r="L593" t="s">
        <v>126</v>
      </c>
      <c r="M593" t="s">
        <v>1247</v>
      </c>
      <c r="N593" t="b">
        <v>0</v>
      </c>
    </row>
    <row r="594" spans="1:14">
      <c r="A594">
        <v>25</v>
      </c>
      <c r="B594">
        <v>8</v>
      </c>
      <c r="C594" t="s">
        <v>289</v>
      </c>
      <c r="D594" t="s">
        <v>724</v>
      </c>
      <c r="E594" t="s">
        <v>78</v>
      </c>
      <c r="F594">
        <v>30</v>
      </c>
      <c r="G594" t="s">
        <v>126</v>
      </c>
      <c r="H594" t="s">
        <v>126</v>
      </c>
      <c r="I594" t="s">
        <v>78</v>
      </c>
      <c r="J594" t="s">
        <v>126</v>
      </c>
      <c r="K594" t="s">
        <v>126</v>
      </c>
      <c r="L594" t="s">
        <v>126</v>
      </c>
      <c r="M594" t="s">
        <v>1248</v>
      </c>
      <c r="N594" t="b">
        <v>0</v>
      </c>
    </row>
    <row r="595" spans="1:14">
      <c r="A595">
        <v>25</v>
      </c>
      <c r="B595">
        <v>9</v>
      </c>
      <c r="C595" t="s">
        <v>232</v>
      </c>
      <c r="D595" t="s">
        <v>724</v>
      </c>
      <c r="E595" t="s">
        <v>108</v>
      </c>
      <c r="F595">
        <v>50</v>
      </c>
      <c r="G595" t="s">
        <v>126</v>
      </c>
      <c r="H595" t="s">
        <v>126</v>
      </c>
      <c r="I595" t="s">
        <v>108</v>
      </c>
      <c r="J595" t="s">
        <v>126</v>
      </c>
      <c r="K595" t="s">
        <v>126</v>
      </c>
      <c r="L595" t="s">
        <v>126</v>
      </c>
      <c r="M595" t="s">
        <v>1249</v>
      </c>
      <c r="N595" t="b">
        <v>0</v>
      </c>
    </row>
    <row r="596" spans="1:14">
      <c r="A596">
        <v>25</v>
      </c>
      <c r="B596">
        <v>10</v>
      </c>
      <c r="C596" t="s">
        <v>126</v>
      </c>
      <c r="D596" t="s">
        <v>724</v>
      </c>
      <c r="E596" t="s">
        <v>126</v>
      </c>
      <c r="F596">
        <v>0</v>
      </c>
      <c r="G596" t="s">
        <v>126</v>
      </c>
      <c r="H596" t="s">
        <v>126</v>
      </c>
      <c r="I596" t="s">
        <v>126</v>
      </c>
      <c r="J596" t="s">
        <v>126</v>
      </c>
      <c r="K596" t="s">
        <v>126</v>
      </c>
      <c r="L596" t="s">
        <v>126</v>
      </c>
      <c r="M596" t="s">
        <v>1250</v>
      </c>
      <c r="N596" t="b">
        <v>0</v>
      </c>
    </row>
    <row r="597" spans="1:14">
      <c r="A597">
        <v>25</v>
      </c>
      <c r="B597">
        <v>11</v>
      </c>
      <c r="C597" t="s">
        <v>126</v>
      </c>
      <c r="D597" t="s">
        <v>724</v>
      </c>
      <c r="E597" t="s">
        <v>126</v>
      </c>
      <c r="F597">
        <v>0</v>
      </c>
      <c r="G597" t="s">
        <v>126</v>
      </c>
      <c r="H597" t="s">
        <v>126</v>
      </c>
      <c r="I597" t="s">
        <v>126</v>
      </c>
      <c r="J597" t="s">
        <v>126</v>
      </c>
      <c r="K597" t="s">
        <v>126</v>
      </c>
      <c r="L597" t="s">
        <v>126</v>
      </c>
      <c r="M597" t="s">
        <v>1251</v>
      </c>
      <c r="N597" t="b">
        <v>0</v>
      </c>
    </row>
    <row r="598" spans="1:14">
      <c r="A598">
        <v>25</v>
      </c>
      <c r="B598">
        <v>12</v>
      </c>
      <c r="C598" t="s">
        <v>126</v>
      </c>
      <c r="D598" t="s">
        <v>724</v>
      </c>
      <c r="E598" t="s">
        <v>126</v>
      </c>
      <c r="F598">
        <v>0</v>
      </c>
      <c r="G598" t="s">
        <v>126</v>
      </c>
      <c r="H598" t="s">
        <v>126</v>
      </c>
      <c r="I598" t="s">
        <v>126</v>
      </c>
      <c r="J598" t="s">
        <v>126</v>
      </c>
      <c r="K598" t="s">
        <v>126</v>
      </c>
      <c r="L598" t="s">
        <v>126</v>
      </c>
      <c r="M598" t="s">
        <v>1252</v>
      </c>
      <c r="N598" t="b">
        <v>0</v>
      </c>
    </row>
    <row r="599" spans="1:14">
      <c r="A599">
        <v>25</v>
      </c>
      <c r="B599">
        <v>13</v>
      </c>
      <c r="C599" t="s">
        <v>126</v>
      </c>
      <c r="D599" t="s">
        <v>724</v>
      </c>
      <c r="E599" t="s">
        <v>126</v>
      </c>
      <c r="F599">
        <v>0</v>
      </c>
      <c r="G599" t="s">
        <v>126</v>
      </c>
      <c r="H599" t="s">
        <v>126</v>
      </c>
      <c r="I599" t="s">
        <v>126</v>
      </c>
      <c r="J599" t="s">
        <v>126</v>
      </c>
      <c r="K599" t="s">
        <v>126</v>
      </c>
      <c r="L599" t="s">
        <v>126</v>
      </c>
      <c r="M599" t="s">
        <v>1253</v>
      </c>
      <c r="N599" t="b">
        <v>0</v>
      </c>
    </row>
    <row r="600" spans="1:14">
      <c r="A600">
        <v>25</v>
      </c>
      <c r="B600">
        <v>14</v>
      </c>
      <c r="C600" t="s">
        <v>126</v>
      </c>
      <c r="D600" t="s">
        <v>724</v>
      </c>
      <c r="E600" t="s">
        <v>126</v>
      </c>
      <c r="F600">
        <v>0</v>
      </c>
      <c r="G600" t="s">
        <v>126</v>
      </c>
      <c r="H600" t="s">
        <v>126</v>
      </c>
      <c r="I600" t="s">
        <v>126</v>
      </c>
      <c r="J600" t="s">
        <v>126</v>
      </c>
      <c r="K600" t="s">
        <v>126</v>
      </c>
      <c r="L600" t="s">
        <v>126</v>
      </c>
      <c r="M600" t="s">
        <v>1254</v>
      </c>
      <c r="N600" t="b">
        <v>0</v>
      </c>
    </row>
    <row r="601" spans="1:14">
      <c r="A601">
        <v>25</v>
      </c>
      <c r="B601">
        <v>15</v>
      </c>
      <c r="C601" t="s">
        <v>126</v>
      </c>
      <c r="D601" t="s">
        <v>724</v>
      </c>
      <c r="E601" t="s">
        <v>126</v>
      </c>
      <c r="F601">
        <v>0</v>
      </c>
      <c r="G601" t="s">
        <v>126</v>
      </c>
      <c r="H601" t="s">
        <v>126</v>
      </c>
      <c r="I601" t="s">
        <v>126</v>
      </c>
      <c r="J601" t="s">
        <v>126</v>
      </c>
      <c r="K601" t="s">
        <v>126</v>
      </c>
      <c r="L601" t="s">
        <v>126</v>
      </c>
      <c r="M601" t="s">
        <v>1255</v>
      </c>
      <c r="N601" t="b">
        <v>0</v>
      </c>
    </row>
    <row r="602" spans="1:14">
      <c r="A602">
        <v>25</v>
      </c>
      <c r="B602">
        <v>16</v>
      </c>
      <c r="C602" t="s">
        <v>290</v>
      </c>
      <c r="D602" t="s">
        <v>741</v>
      </c>
      <c r="E602" t="s">
        <v>75</v>
      </c>
      <c r="F602">
        <v>40</v>
      </c>
      <c r="G602" t="s">
        <v>126</v>
      </c>
      <c r="H602" t="s">
        <v>126</v>
      </c>
      <c r="I602" t="s">
        <v>75</v>
      </c>
      <c r="J602" t="s">
        <v>126</v>
      </c>
      <c r="K602" t="s">
        <v>126</v>
      </c>
      <c r="L602" t="s">
        <v>126</v>
      </c>
      <c r="M602" t="s">
        <v>1256</v>
      </c>
      <c r="N602" t="b">
        <v>0</v>
      </c>
    </row>
    <row r="603" spans="1:14">
      <c r="A603">
        <v>25</v>
      </c>
      <c r="B603">
        <v>17</v>
      </c>
      <c r="C603" t="s">
        <v>210</v>
      </c>
      <c r="D603" t="s">
        <v>741</v>
      </c>
      <c r="E603" t="s">
        <v>87</v>
      </c>
      <c r="F603">
        <v>40</v>
      </c>
      <c r="G603" t="s">
        <v>126</v>
      </c>
      <c r="H603" t="s">
        <v>126</v>
      </c>
      <c r="I603" t="s">
        <v>87</v>
      </c>
      <c r="J603" t="s">
        <v>126</v>
      </c>
      <c r="K603" t="s">
        <v>126</v>
      </c>
      <c r="L603" t="s">
        <v>126</v>
      </c>
      <c r="M603" t="s">
        <v>691</v>
      </c>
      <c r="N603" t="b">
        <v>0</v>
      </c>
    </row>
    <row r="604" spans="1:14">
      <c r="A604">
        <v>25</v>
      </c>
      <c r="B604">
        <v>18</v>
      </c>
      <c r="C604" t="s">
        <v>180</v>
      </c>
      <c r="D604" t="s">
        <v>741</v>
      </c>
      <c r="E604" t="s">
        <v>544</v>
      </c>
      <c r="F604">
        <v>40</v>
      </c>
      <c r="G604" t="s">
        <v>760</v>
      </c>
      <c r="H604" t="s">
        <v>126</v>
      </c>
      <c r="I604" t="s">
        <v>126</v>
      </c>
      <c r="J604" t="s">
        <v>817</v>
      </c>
      <c r="K604" t="s">
        <v>792</v>
      </c>
      <c r="L604" t="s">
        <v>793</v>
      </c>
      <c r="M604" t="s">
        <v>1257</v>
      </c>
      <c r="N604" t="b">
        <v>0</v>
      </c>
    </row>
    <row r="605" spans="1:14">
      <c r="A605">
        <v>25</v>
      </c>
      <c r="B605">
        <v>19</v>
      </c>
      <c r="C605" t="s">
        <v>218</v>
      </c>
      <c r="D605" t="s">
        <v>741</v>
      </c>
      <c r="E605" t="s">
        <v>95</v>
      </c>
      <c r="F605">
        <v>40</v>
      </c>
      <c r="G605" t="s">
        <v>126</v>
      </c>
      <c r="H605" t="s">
        <v>126</v>
      </c>
      <c r="I605" t="s">
        <v>95</v>
      </c>
      <c r="J605" t="s">
        <v>126</v>
      </c>
      <c r="K605" t="s">
        <v>126</v>
      </c>
      <c r="L605" t="s">
        <v>126</v>
      </c>
      <c r="M605" t="s">
        <v>1258</v>
      </c>
      <c r="N605" t="b">
        <v>0</v>
      </c>
    </row>
    <row r="606" spans="1:14">
      <c r="A606">
        <v>25</v>
      </c>
      <c r="B606">
        <v>20</v>
      </c>
      <c r="C606" t="s">
        <v>160</v>
      </c>
      <c r="D606" t="s">
        <v>741</v>
      </c>
      <c r="E606" t="s">
        <v>297</v>
      </c>
      <c r="F606">
        <v>40</v>
      </c>
      <c r="G606" t="s">
        <v>760</v>
      </c>
      <c r="H606" t="s">
        <v>126</v>
      </c>
      <c r="I606" t="s">
        <v>126</v>
      </c>
      <c r="J606" t="s">
        <v>761</v>
      </c>
      <c r="K606" t="s">
        <v>762</v>
      </c>
      <c r="L606" t="s">
        <v>763</v>
      </c>
      <c r="M606" t="s">
        <v>1259</v>
      </c>
      <c r="N606" t="b">
        <v>0</v>
      </c>
    </row>
    <row r="607" spans="1:14">
      <c r="A607">
        <v>25</v>
      </c>
      <c r="B607">
        <v>21</v>
      </c>
      <c r="C607" t="s">
        <v>181</v>
      </c>
      <c r="D607" t="s">
        <v>741</v>
      </c>
      <c r="E607" t="s">
        <v>112</v>
      </c>
      <c r="F607">
        <v>50</v>
      </c>
      <c r="G607" t="s">
        <v>126</v>
      </c>
      <c r="H607" t="s">
        <v>126</v>
      </c>
      <c r="I607" t="s">
        <v>112</v>
      </c>
      <c r="J607" t="s">
        <v>126</v>
      </c>
      <c r="K607" t="s">
        <v>126</v>
      </c>
      <c r="L607" t="s">
        <v>126</v>
      </c>
      <c r="M607" t="s">
        <v>1260</v>
      </c>
      <c r="N607" t="b">
        <v>0</v>
      </c>
    </row>
    <row r="608" spans="1:14">
      <c r="A608">
        <v>25</v>
      </c>
      <c r="B608">
        <v>22</v>
      </c>
      <c r="C608" t="s">
        <v>291</v>
      </c>
      <c r="D608" t="s">
        <v>741</v>
      </c>
      <c r="E608" t="s">
        <v>113</v>
      </c>
      <c r="F608">
        <v>40</v>
      </c>
      <c r="G608" t="s">
        <v>126</v>
      </c>
      <c r="H608" t="s">
        <v>126</v>
      </c>
      <c r="I608" t="s">
        <v>113</v>
      </c>
      <c r="J608" t="s">
        <v>126</v>
      </c>
      <c r="K608" t="s">
        <v>126</v>
      </c>
      <c r="L608" t="s">
        <v>126</v>
      </c>
      <c r="M608" t="s">
        <v>1261</v>
      </c>
      <c r="N608" t="b">
        <v>0</v>
      </c>
    </row>
    <row r="609" spans="1:14">
      <c r="A609">
        <v>25</v>
      </c>
      <c r="B609">
        <v>23</v>
      </c>
      <c r="C609" t="s">
        <v>169</v>
      </c>
      <c r="D609" t="s">
        <v>741</v>
      </c>
      <c r="E609" t="s">
        <v>98</v>
      </c>
      <c r="F609">
        <v>60</v>
      </c>
      <c r="G609" t="s">
        <v>126</v>
      </c>
      <c r="H609" t="s">
        <v>126</v>
      </c>
      <c r="I609" t="s">
        <v>98</v>
      </c>
      <c r="J609" t="s">
        <v>126</v>
      </c>
      <c r="K609" t="s">
        <v>126</v>
      </c>
      <c r="L609" t="s">
        <v>126</v>
      </c>
      <c r="M609" t="s">
        <v>1262</v>
      </c>
      <c r="N609" t="b">
        <v>0</v>
      </c>
    </row>
    <row r="610" spans="1:14">
      <c r="A610">
        <v>25</v>
      </c>
      <c r="B610">
        <v>24</v>
      </c>
      <c r="C610" t="s">
        <v>177</v>
      </c>
      <c r="D610" t="s">
        <v>741</v>
      </c>
      <c r="E610" t="s">
        <v>100</v>
      </c>
      <c r="F610">
        <v>40</v>
      </c>
      <c r="G610" t="s">
        <v>126</v>
      </c>
      <c r="H610" t="s">
        <v>126</v>
      </c>
      <c r="I610" t="s">
        <v>100</v>
      </c>
      <c r="J610" t="s">
        <v>126</v>
      </c>
      <c r="K610" t="s">
        <v>126</v>
      </c>
      <c r="L610" t="s">
        <v>126</v>
      </c>
      <c r="M610" t="s">
        <v>1263</v>
      </c>
      <c r="N610" t="b">
        <v>0</v>
      </c>
    </row>
    <row r="611" spans="1:14">
      <c r="A611">
        <v>25</v>
      </c>
      <c r="B611">
        <v>25</v>
      </c>
      <c r="C611" t="s">
        <v>292</v>
      </c>
      <c r="D611" t="s">
        <v>741</v>
      </c>
      <c r="E611" t="s">
        <v>107</v>
      </c>
      <c r="F611">
        <v>60</v>
      </c>
      <c r="G611" t="s">
        <v>126</v>
      </c>
      <c r="H611" t="s">
        <v>126</v>
      </c>
      <c r="I611" t="s">
        <v>107</v>
      </c>
      <c r="J611" t="s">
        <v>126</v>
      </c>
      <c r="K611" t="s">
        <v>126</v>
      </c>
      <c r="L611" t="s">
        <v>126</v>
      </c>
      <c r="M611" t="s">
        <v>1264</v>
      </c>
      <c r="N611" t="b">
        <v>0</v>
      </c>
    </row>
    <row r="612" spans="1:14">
      <c r="A612">
        <v>25</v>
      </c>
      <c r="B612">
        <v>26</v>
      </c>
      <c r="C612" t="s">
        <v>126</v>
      </c>
      <c r="D612" t="s">
        <v>741</v>
      </c>
      <c r="E612" t="s">
        <v>126</v>
      </c>
      <c r="F612">
        <v>0</v>
      </c>
      <c r="G612" t="s">
        <v>126</v>
      </c>
      <c r="H612" t="s">
        <v>126</v>
      </c>
      <c r="I612" t="s">
        <v>126</v>
      </c>
      <c r="J612" t="s">
        <v>126</v>
      </c>
      <c r="K612" t="s">
        <v>126</v>
      </c>
      <c r="L612" t="s">
        <v>126</v>
      </c>
      <c r="M612" t="s">
        <v>1265</v>
      </c>
      <c r="N612" t="b">
        <v>0</v>
      </c>
    </row>
    <row r="613" spans="1:14">
      <c r="A613">
        <v>30</v>
      </c>
      <c r="B613">
        <v>0</v>
      </c>
      <c r="C613" t="s">
        <v>216</v>
      </c>
      <c r="D613" t="s">
        <v>724</v>
      </c>
      <c r="E613" t="s">
        <v>65</v>
      </c>
      <c r="F613">
        <v>60</v>
      </c>
      <c r="G613" t="s">
        <v>126</v>
      </c>
      <c r="H613" t="s">
        <v>126</v>
      </c>
      <c r="I613" t="s">
        <v>65</v>
      </c>
      <c r="J613" t="s">
        <v>126</v>
      </c>
      <c r="K613" t="s">
        <v>126</v>
      </c>
      <c r="L613" t="s">
        <v>126</v>
      </c>
      <c r="M613" t="s">
        <v>1266</v>
      </c>
      <c r="N613" t="b">
        <v>0</v>
      </c>
    </row>
    <row r="614" spans="1:14">
      <c r="A614">
        <v>30</v>
      </c>
      <c r="B614">
        <v>1</v>
      </c>
      <c r="C614" t="s">
        <v>217</v>
      </c>
      <c r="D614" t="s">
        <v>724</v>
      </c>
      <c r="E614" t="s">
        <v>77</v>
      </c>
      <c r="F614">
        <v>60</v>
      </c>
      <c r="G614" t="s">
        <v>126</v>
      </c>
      <c r="H614" t="s">
        <v>126</v>
      </c>
      <c r="I614" t="s">
        <v>77</v>
      </c>
      <c r="J614" t="s">
        <v>126</v>
      </c>
      <c r="K614" t="s">
        <v>126</v>
      </c>
      <c r="L614" t="s">
        <v>126</v>
      </c>
      <c r="M614" t="s">
        <v>1267</v>
      </c>
      <c r="N614" t="b">
        <v>0</v>
      </c>
    </row>
    <row r="615" spans="1:14">
      <c r="A615">
        <v>30</v>
      </c>
      <c r="B615">
        <v>2</v>
      </c>
      <c r="C615" t="s">
        <v>218</v>
      </c>
      <c r="D615" t="s">
        <v>724</v>
      </c>
      <c r="E615" t="s">
        <v>95</v>
      </c>
      <c r="F615">
        <v>40</v>
      </c>
      <c r="G615" t="s">
        <v>126</v>
      </c>
      <c r="H615" t="s">
        <v>126</v>
      </c>
      <c r="I615" t="s">
        <v>95</v>
      </c>
      <c r="J615" t="s">
        <v>126</v>
      </c>
      <c r="K615" t="s">
        <v>126</v>
      </c>
      <c r="L615" t="s">
        <v>126</v>
      </c>
      <c r="M615" t="s">
        <v>1268</v>
      </c>
      <c r="N615" t="b">
        <v>0</v>
      </c>
    </row>
    <row r="616" spans="1:14">
      <c r="A616">
        <v>30</v>
      </c>
      <c r="B616">
        <v>3</v>
      </c>
      <c r="C616" t="s">
        <v>305</v>
      </c>
      <c r="D616" t="s">
        <v>724</v>
      </c>
      <c r="E616" t="s">
        <v>97</v>
      </c>
      <c r="F616">
        <v>50</v>
      </c>
      <c r="G616" t="s">
        <v>126</v>
      </c>
      <c r="H616" t="s">
        <v>126</v>
      </c>
      <c r="I616" t="s">
        <v>97</v>
      </c>
      <c r="J616" t="s">
        <v>126</v>
      </c>
      <c r="K616" t="s">
        <v>126</v>
      </c>
      <c r="L616" t="s">
        <v>126</v>
      </c>
      <c r="M616" t="s">
        <v>1269</v>
      </c>
      <c r="N616" t="b">
        <v>0</v>
      </c>
    </row>
    <row r="617" spans="1:14">
      <c r="A617">
        <v>30</v>
      </c>
      <c r="B617">
        <v>4</v>
      </c>
      <c r="C617" t="s">
        <v>219</v>
      </c>
      <c r="D617" t="s">
        <v>724</v>
      </c>
      <c r="E617" t="s">
        <v>101</v>
      </c>
      <c r="F617">
        <v>60</v>
      </c>
      <c r="G617" t="s">
        <v>126</v>
      </c>
      <c r="H617" t="s">
        <v>126</v>
      </c>
      <c r="I617" t="s">
        <v>101</v>
      </c>
      <c r="J617" t="s">
        <v>126</v>
      </c>
      <c r="K617" t="s">
        <v>126</v>
      </c>
      <c r="L617" t="s">
        <v>126</v>
      </c>
      <c r="M617" t="s">
        <v>1270</v>
      </c>
      <c r="N617" t="b">
        <v>0</v>
      </c>
    </row>
    <row r="618" spans="1:14">
      <c r="A618">
        <v>30</v>
      </c>
      <c r="B618">
        <v>5</v>
      </c>
      <c r="C618" t="s">
        <v>190</v>
      </c>
      <c r="D618" t="s">
        <v>724</v>
      </c>
      <c r="E618" t="s">
        <v>109</v>
      </c>
      <c r="F618">
        <v>30</v>
      </c>
      <c r="G618" t="s">
        <v>126</v>
      </c>
      <c r="H618" t="s">
        <v>126</v>
      </c>
      <c r="I618" t="s">
        <v>109</v>
      </c>
      <c r="J618" t="s">
        <v>126</v>
      </c>
      <c r="K618" t="s">
        <v>126</v>
      </c>
      <c r="L618" t="s">
        <v>126</v>
      </c>
      <c r="M618" t="s">
        <v>1271</v>
      </c>
      <c r="N618" t="b">
        <v>0</v>
      </c>
    </row>
    <row r="619" spans="1:14">
      <c r="A619">
        <v>30</v>
      </c>
      <c r="B619">
        <v>6</v>
      </c>
      <c r="C619" t="s">
        <v>198</v>
      </c>
      <c r="D619" t="s">
        <v>724</v>
      </c>
      <c r="E619" t="s">
        <v>113</v>
      </c>
      <c r="F619">
        <v>50</v>
      </c>
      <c r="G619" t="s">
        <v>126</v>
      </c>
      <c r="H619" t="s">
        <v>126</v>
      </c>
      <c r="I619" t="s">
        <v>113</v>
      </c>
      <c r="J619" t="s">
        <v>126</v>
      </c>
      <c r="K619" t="s">
        <v>126</v>
      </c>
      <c r="L619" t="s">
        <v>126</v>
      </c>
      <c r="M619" t="s">
        <v>1272</v>
      </c>
      <c r="N619" t="b">
        <v>0</v>
      </c>
    </row>
    <row r="620" spans="1:14">
      <c r="A620">
        <v>30</v>
      </c>
      <c r="B620">
        <v>7</v>
      </c>
      <c r="C620" t="s">
        <v>220</v>
      </c>
      <c r="D620" t="s">
        <v>724</v>
      </c>
      <c r="E620" t="s">
        <v>68</v>
      </c>
      <c r="F620">
        <v>50</v>
      </c>
      <c r="G620" t="s">
        <v>126</v>
      </c>
      <c r="H620" t="s">
        <v>126</v>
      </c>
      <c r="I620" t="s">
        <v>68</v>
      </c>
      <c r="J620" t="s">
        <v>126</v>
      </c>
      <c r="K620" t="s">
        <v>126</v>
      </c>
      <c r="L620" t="s">
        <v>126</v>
      </c>
      <c r="M620" t="s">
        <v>1273</v>
      </c>
      <c r="N620" t="b">
        <v>0</v>
      </c>
    </row>
    <row r="621" spans="1:14">
      <c r="A621">
        <v>30</v>
      </c>
      <c r="B621">
        <v>8</v>
      </c>
      <c r="C621" t="s">
        <v>221</v>
      </c>
      <c r="D621" t="s">
        <v>724</v>
      </c>
      <c r="E621" t="s">
        <v>331</v>
      </c>
      <c r="F621">
        <v>60</v>
      </c>
      <c r="G621" t="s">
        <v>126</v>
      </c>
      <c r="H621" t="s">
        <v>548</v>
      </c>
      <c r="I621" t="s">
        <v>445</v>
      </c>
      <c r="J621" t="s">
        <v>126</v>
      </c>
      <c r="K621" t="s">
        <v>921</v>
      </c>
      <c r="L621" t="s">
        <v>922</v>
      </c>
      <c r="M621" t="s">
        <v>1274</v>
      </c>
      <c r="N621" t="b">
        <v>0</v>
      </c>
    </row>
    <row r="622" spans="1:14">
      <c r="A622">
        <v>30</v>
      </c>
      <c r="B622">
        <v>9</v>
      </c>
      <c r="C622" t="s">
        <v>167</v>
      </c>
      <c r="D622" t="s">
        <v>724</v>
      </c>
      <c r="E622" t="s">
        <v>74</v>
      </c>
      <c r="F622">
        <v>50</v>
      </c>
      <c r="G622" t="s">
        <v>126</v>
      </c>
      <c r="H622" t="s">
        <v>126</v>
      </c>
      <c r="I622" t="s">
        <v>74</v>
      </c>
      <c r="J622" t="s">
        <v>126</v>
      </c>
      <c r="K622" t="s">
        <v>126</v>
      </c>
      <c r="L622" t="s">
        <v>126</v>
      </c>
      <c r="M622" t="s">
        <v>1275</v>
      </c>
      <c r="N622" t="b">
        <v>0</v>
      </c>
    </row>
    <row r="623" spans="1:14">
      <c r="A623">
        <v>30</v>
      </c>
      <c r="B623">
        <v>10</v>
      </c>
      <c r="C623" t="s">
        <v>222</v>
      </c>
      <c r="D623" t="s">
        <v>724</v>
      </c>
      <c r="E623" t="s">
        <v>102</v>
      </c>
      <c r="F623">
        <v>50</v>
      </c>
      <c r="G623" t="s">
        <v>126</v>
      </c>
      <c r="H623" t="s">
        <v>126</v>
      </c>
      <c r="I623" t="s">
        <v>102</v>
      </c>
      <c r="J623" t="s">
        <v>126</v>
      </c>
      <c r="K623" t="s">
        <v>126</v>
      </c>
      <c r="L623" t="s">
        <v>126</v>
      </c>
      <c r="M623" t="s">
        <v>1276</v>
      </c>
      <c r="N623" t="b">
        <v>0</v>
      </c>
    </row>
    <row r="624" spans="1:14">
      <c r="A624">
        <v>30</v>
      </c>
      <c r="B624">
        <v>11</v>
      </c>
      <c r="C624" t="s">
        <v>170</v>
      </c>
      <c r="D624" t="s">
        <v>724</v>
      </c>
      <c r="E624" t="s">
        <v>106</v>
      </c>
      <c r="F624">
        <v>50</v>
      </c>
      <c r="G624" t="s">
        <v>126</v>
      </c>
      <c r="H624" t="s">
        <v>126</v>
      </c>
      <c r="I624" t="s">
        <v>106</v>
      </c>
      <c r="J624" t="s">
        <v>126</v>
      </c>
      <c r="K624" t="s">
        <v>126</v>
      </c>
      <c r="L624" t="s">
        <v>126</v>
      </c>
      <c r="M624" t="s">
        <v>1277</v>
      </c>
      <c r="N624" t="b">
        <v>0</v>
      </c>
    </row>
    <row r="625" spans="1:14">
      <c r="A625">
        <v>30</v>
      </c>
      <c r="B625">
        <v>12</v>
      </c>
      <c r="C625" t="s">
        <v>223</v>
      </c>
      <c r="D625" t="s">
        <v>724</v>
      </c>
      <c r="E625" t="s">
        <v>107</v>
      </c>
      <c r="F625">
        <v>50</v>
      </c>
      <c r="G625" t="s">
        <v>126</v>
      </c>
      <c r="H625" t="s">
        <v>126</v>
      </c>
      <c r="I625" t="s">
        <v>107</v>
      </c>
      <c r="J625" t="s">
        <v>126</v>
      </c>
      <c r="K625" t="s">
        <v>126</v>
      </c>
      <c r="L625" t="s">
        <v>126</v>
      </c>
      <c r="M625" t="s">
        <v>1278</v>
      </c>
      <c r="N625" t="b">
        <v>0</v>
      </c>
    </row>
    <row r="626" spans="1:14">
      <c r="A626">
        <v>30</v>
      </c>
      <c r="B626">
        <v>13</v>
      </c>
      <c r="C626" t="s">
        <v>195</v>
      </c>
      <c r="D626" t="s">
        <v>724</v>
      </c>
      <c r="E626" t="s">
        <v>108</v>
      </c>
      <c r="F626">
        <v>60</v>
      </c>
      <c r="G626" t="s">
        <v>126</v>
      </c>
      <c r="H626" t="s">
        <v>126</v>
      </c>
      <c r="I626" t="s">
        <v>108</v>
      </c>
      <c r="J626" t="s">
        <v>126</v>
      </c>
      <c r="K626" t="s">
        <v>126</v>
      </c>
      <c r="L626" t="s">
        <v>126</v>
      </c>
      <c r="M626" t="s">
        <v>1279</v>
      </c>
      <c r="N626" t="b">
        <v>0</v>
      </c>
    </row>
    <row r="627" spans="1:14">
      <c r="A627">
        <v>30</v>
      </c>
      <c r="B627">
        <v>14</v>
      </c>
      <c r="C627" t="s">
        <v>126</v>
      </c>
      <c r="D627" t="s">
        <v>724</v>
      </c>
      <c r="E627" t="s">
        <v>126</v>
      </c>
      <c r="F627">
        <v>0</v>
      </c>
      <c r="G627" t="s">
        <v>126</v>
      </c>
      <c r="H627" t="s">
        <v>126</v>
      </c>
      <c r="I627" t="s">
        <v>126</v>
      </c>
      <c r="J627" t="s">
        <v>126</v>
      </c>
      <c r="K627" t="s">
        <v>126</v>
      </c>
      <c r="L627" t="s">
        <v>126</v>
      </c>
      <c r="M627" t="s">
        <v>1280</v>
      </c>
      <c r="N627" t="b">
        <v>0</v>
      </c>
    </row>
    <row r="628" spans="1:14">
      <c r="A628">
        <v>30</v>
      </c>
      <c r="B628">
        <v>15</v>
      </c>
      <c r="C628" t="s">
        <v>126</v>
      </c>
      <c r="D628" t="s">
        <v>724</v>
      </c>
      <c r="E628" t="s">
        <v>126</v>
      </c>
      <c r="F628">
        <v>0</v>
      </c>
      <c r="G628" t="s">
        <v>126</v>
      </c>
      <c r="H628" t="s">
        <v>126</v>
      </c>
      <c r="I628" t="s">
        <v>126</v>
      </c>
      <c r="J628" t="s">
        <v>126</v>
      </c>
      <c r="K628" t="s">
        <v>126</v>
      </c>
      <c r="L628" t="s">
        <v>126</v>
      </c>
      <c r="M628" t="s">
        <v>1281</v>
      </c>
      <c r="N628" t="b">
        <v>0</v>
      </c>
    </row>
    <row r="629" spans="1:14">
      <c r="A629">
        <v>30</v>
      </c>
      <c r="B629">
        <v>16</v>
      </c>
      <c r="C629" t="s">
        <v>126</v>
      </c>
      <c r="D629" t="s">
        <v>741</v>
      </c>
      <c r="E629" t="s">
        <v>126</v>
      </c>
      <c r="F629">
        <v>0</v>
      </c>
      <c r="G629" t="s">
        <v>126</v>
      </c>
      <c r="H629" t="s">
        <v>126</v>
      </c>
      <c r="I629" t="s">
        <v>126</v>
      </c>
      <c r="J629" t="s">
        <v>126</v>
      </c>
      <c r="K629" t="s">
        <v>126</v>
      </c>
      <c r="L629" t="s">
        <v>126</v>
      </c>
      <c r="M629" t="s">
        <v>1282</v>
      </c>
      <c r="N629" t="b">
        <v>0</v>
      </c>
    </row>
    <row r="630" spans="1:14">
      <c r="A630">
        <v>30</v>
      </c>
      <c r="B630">
        <v>17</v>
      </c>
      <c r="C630" t="s">
        <v>126</v>
      </c>
      <c r="D630" t="s">
        <v>741</v>
      </c>
      <c r="E630" t="s">
        <v>126</v>
      </c>
      <c r="F630">
        <v>0</v>
      </c>
      <c r="G630" t="s">
        <v>126</v>
      </c>
      <c r="H630" t="s">
        <v>126</v>
      </c>
      <c r="I630" t="s">
        <v>126</v>
      </c>
      <c r="J630" t="s">
        <v>126</v>
      </c>
      <c r="K630" t="s">
        <v>126</v>
      </c>
      <c r="L630" t="s">
        <v>126</v>
      </c>
      <c r="M630" t="s">
        <v>701</v>
      </c>
      <c r="N630" t="b">
        <v>0</v>
      </c>
    </row>
    <row r="631" spans="1:14">
      <c r="A631">
        <v>30</v>
      </c>
      <c r="B631">
        <v>18</v>
      </c>
      <c r="C631" t="s">
        <v>126</v>
      </c>
      <c r="D631" t="s">
        <v>741</v>
      </c>
      <c r="E631" t="s">
        <v>126</v>
      </c>
      <c r="F631">
        <v>0</v>
      </c>
      <c r="G631" t="s">
        <v>126</v>
      </c>
      <c r="H631" t="s">
        <v>126</v>
      </c>
      <c r="I631" t="s">
        <v>126</v>
      </c>
      <c r="J631" t="s">
        <v>126</v>
      </c>
      <c r="K631" t="s">
        <v>126</v>
      </c>
      <c r="L631" t="s">
        <v>126</v>
      </c>
      <c r="M631" t="s">
        <v>1283</v>
      </c>
      <c r="N631" t="b">
        <v>0</v>
      </c>
    </row>
    <row r="632" spans="1:14">
      <c r="A632">
        <v>30</v>
      </c>
      <c r="B632">
        <v>19</v>
      </c>
      <c r="C632" t="s">
        <v>126</v>
      </c>
      <c r="D632" t="s">
        <v>741</v>
      </c>
      <c r="E632" t="s">
        <v>126</v>
      </c>
      <c r="F632">
        <v>0</v>
      </c>
      <c r="G632" t="s">
        <v>126</v>
      </c>
      <c r="H632" t="s">
        <v>126</v>
      </c>
      <c r="I632" t="s">
        <v>126</v>
      </c>
      <c r="J632" t="s">
        <v>126</v>
      </c>
      <c r="K632" t="s">
        <v>126</v>
      </c>
      <c r="L632" t="s">
        <v>126</v>
      </c>
      <c r="M632" t="s">
        <v>1284</v>
      </c>
      <c r="N632" t="b">
        <v>0</v>
      </c>
    </row>
    <row r="633" spans="1:14">
      <c r="A633">
        <v>30</v>
      </c>
      <c r="B633">
        <v>20</v>
      </c>
      <c r="C633" t="s">
        <v>126</v>
      </c>
      <c r="D633" t="s">
        <v>741</v>
      </c>
      <c r="E633" t="s">
        <v>126</v>
      </c>
      <c r="F633">
        <v>0</v>
      </c>
      <c r="G633" t="s">
        <v>126</v>
      </c>
      <c r="H633" t="s">
        <v>126</v>
      </c>
      <c r="I633" t="s">
        <v>126</v>
      </c>
      <c r="J633" t="s">
        <v>126</v>
      </c>
      <c r="K633" t="s">
        <v>126</v>
      </c>
      <c r="L633" t="s">
        <v>126</v>
      </c>
      <c r="M633" t="s">
        <v>1285</v>
      </c>
      <c r="N633" t="b">
        <v>0</v>
      </c>
    </row>
    <row r="634" spans="1:14">
      <c r="A634">
        <v>30</v>
      </c>
      <c r="B634">
        <v>21</v>
      </c>
      <c r="C634" t="s">
        <v>126</v>
      </c>
      <c r="D634" t="s">
        <v>741</v>
      </c>
      <c r="E634" t="s">
        <v>126</v>
      </c>
      <c r="F634">
        <v>0</v>
      </c>
      <c r="G634" t="s">
        <v>126</v>
      </c>
      <c r="H634" t="s">
        <v>126</v>
      </c>
      <c r="I634" t="s">
        <v>126</v>
      </c>
      <c r="J634" t="s">
        <v>126</v>
      </c>
      <c r="K634" t="s">
        <v>126</v>
      </c>
      <c r="L634" t="s">
        <v>126</v>
      </c>
      <c r="M634" t="s">
        <v>1286</v>
      </c>
      <c r="N634" t="b">
        <v>0</v>
      </c>
    </row>
    <row r="635" spans="1:14">
      <c r="A635">
        <v>30</v>
      </c>
      <c r="B635">
        <v>22</v>
      </c>
      <c r="C635" t="s">
        <v>126</v>
      </c>
      <c r="D635" t="s">
        <v>741</v>
      </c>
      <c r="E635" t="s">
        <v>126</v>
      </c>
      <c r="F635">
        <v>0</v>
      </c>
      <c r="G635" t="s">
        <v>126</v>
      </c>
      <c r="H635" t="s">
        <v>126</v>
      </c>
      <c r="I635" t="s">
        <v>126</v>
      </c>
      <c r="J635" t="s">
        <v>126</v>
      </c>
      <c r="K635" t="s">
        <v>126</v>
      </c>
      <c r="L635" t="s">
        <v>126</v>
      </c>
      <c r="M635" t="s">
        <v>1287</v>
      </c>
      <c r="N635" t="b">
        <v>0</v>
      </c>
    </row>
    <row r="636" spans="1:14">
      <c r="A636">
        <v>30</v>
      </c>
      <c r="B636">
        <v>23</v>
      </c>
      <c r="C636" t="s">
        <v>126</v>
      </c>
      <c r="D636" t="s">
        <v>741</v>
      </c>
      <c r="E636" t="s">
        <v>126</v>
      </c>
      <c r="F636">
        <v>0</v>
      </c>
      <c r="G636" t="s">
        <v>126</v>
      </c>
      <c r="H636" t="s">
        <v>126</v>
      </c>
      <c r="I636" t="s">
        <v>126</v>
      </c>
      <c r="J636" t="s">
        <v>126</v>
      </c>
      <c r="K636" t="s">
        <v>126</v>
      </c>
      <c r="L636" t="s">
        <v>126</v>
      </c>
      <c r="M636" t="s">
        <v>1288</v>
      </c>
      <c r="N636" t="b">
        <v>0</v>
      </c>
    </row>
    <row r="637" spans="1:14">
      <c r="A637">
        <v>30</v>
      </c>
      <c r="B637">
        <v>24</v>
      </c>
      <c r="C637" t="s">
        <v>126</v>
      </c>
      <c r="D637" t="s">
        <v>741</v>
      </c>
      <c r="E637" t="s">
        <v>126</v>
      </c>
      <c r="F637">
        <v>0</v>
      </c>
      <c r="G637" t="s">
        <v>126</v>
      </c>
      <c r="H637" t="s">
        <v>126</v>
      </c>
      <c r="I637" t="s">
        <v>126</v>
      </c>
      <c r="J637" t="s">
        <v>126</v>
      </c>
      <c r="K637" t="s">
        <v>126</v>
      </c>
      <c r="L637" t="s">
        <v>126</v>
      </c>
      <c r="M637" t="s">
        <v>1289</v>
      </c>
      <c r="N637" t="b">
        <v>0</v>
      </c>
    </row>
    <row r="638" spans="1:14">
      <c r="A638">
        <v>30</v>
      </c>
      <c r="B638">
        <v>25</v>
      </c>
      <c r="C638" t="s">
        <v>126</v>
      </c>
      <c r="D638" t="s">
        <v>741</v>
      </c>
      <c r="E638" t="s">
        <v>126</v>
      </c>
      <c r="F638">
        <v>0</v>
      </c>
      <c r="G638" t="s">
        <v>126</v>
      </c>
      <c r="H638" t="s">
        <v>126</v>
      </c>
      <c r="I638" t="s">
        <v>126</v>
      </c>
      <c r="J638" t="s">
        <v>126</v>
      </c>
      <c r="K638" t="s">
        <v>126</v>
      </c>
      <c r="L638" t="s">
        <v>126</v>
      </c>
      <c r="M638" t="s">
        <v>1290</v>
      </c>
      <c r="N638" t="b">
        <v>0</v>
      </c>
    </row>
    <row r="639" spans="1:14">
      <c r="A639">
        <v>30</v>
      </c>
      <c r="B639">
        <v>26</v>
      </c>
      <c r="C639" t="s">
        <v>126</v>
      </c>
      <c r="D639" t="s">
        <v>741</v>
      </c>
      <c r="E639" t="s">
        <v>126</v>
      </c>
      <c r="F639">
        <v>0</v>
      </c>
      <c r="G639" t="s">
        <v>126</v>
      </c>
      <c r="H639" t="s">
        <v>126</v>
      </c>
      <c r="I639" t="s">
        <v>126</v>
      </c>
      <c r="J639" t="s">
        <v>126</v>
      </c>
      <c r="K639" t="s">
        <v>126</v>
      </c>
      <c r="L639" t="s">
        <v>126</v>
      </c>
      <c r="M639" t="s">
        <v>1291</v>
      </c>
      <c r="N639" t="b">
        <v>0</v>
      </c>
    </row>
    <row r="640" spans="1:14">
      <c r="A640">
        <v>34</v>
      </c>
      <c r="B640">
        <v>0</v>
      </c>
      <c r="C640" t="s">
        <v>186</v>
      </c>
      <c r="D640" t="s">
        <v>724</v>
      </c>
      <c r="E640" t="s">
        <v>65</v>
      </c>
      <c r="F640">
        <v>50</v>
      </c>
      <c r="G640" t="s">
        <v>126</v>
      </c>
      <c r="H640" t="s">
        <v>126</v>
      </c>
      <c r="I640" t="s">
        <v>65</v>
      </c>
      <c r="J640" t="s">
        <v>126</v>
      </c>
      <c r="K640" t="s">
        <v>126</v>
      </c>
      <c r="L640" t="s">
        <v>126</v>
      </c>
      <c r="M640" t="s">
        <v>1292</v>
      </c>
      <c r="N640" t="b">
        <v>0</v>
      </c>
    </row>
    <row r="641" spans="1:14">
      <c r="A641">
        <v>34</v>
      </c>
      <c r="B641">
        <v>1</v>
      </c>
      <c r="C641" t="s">
        <v>158</v>
      </c>
      <c r="D641" t="s">
        <v>724</v>
      </c>
      <c r="E641" t="s">
        <v>83</v>
      </c>
      <c r="F641">
        <v>40</v>
      </c>
      <c r="G641" t="s">
        <v>126</v>
      </c>
      <c r="H641" t="s">
        <v>126</v>
      </c>
      <c r="I641" t="s">
        <v>83</v>
      </c>
      <c r="J641" t="s">
        <v>126</v>
      </c>
      <c r="K641" t="s">
        <v>126</v>
      </c>
      <c r="L641" t="s">
        <v>126</v>
      </c>
      <c r="M641" t="s">
        <v>1293</v>
      </c>
      <c r="N641" t="b">
        <v>0</v>
      </c>
    </row>
    <row r="642" spans="1:14">
      <c r="A642">
        <v>34</v>
      </c>
      <c r="B642">
        <v>2</v>
      </c>
      <c r="C642" t="s">
        <v>187</v>
      </c>
      <c r="D642" t="s">
        <v>724</v>
      </c>
      <c r="E642" t="s">
        <v>93</v>
      </c>
      <c r="F642">
        <v>50</v>
      </c>
      <c r="G642" t="s">
        <v>126</v>
      </c>
      <c r="H642" t="s">
        <v>126</v>
      </c>
      <c r="I642" t="s">
        <v>93</v>
      </c>
      <c r="J642" t="s">
        <v>126</v>
      </c>
      <c r="K642" t="s">
        <v>126</v>
      </c>
      <c r="L642" t="s">
        <v>126</v>
      </c>
      <c r="M642" t="s">
        <v>1294</v>
      </c>
      <c r="N642" t="b">
        <v>0</v>
      </c>
    </row>
    <row r="643" spans="1:14">
      <c r="A643">
        <v>34</v>
      </c>
      <c r="B643">
        <v>3</v>
      </c>
      <c r="C643" t="s">
        <v>251</v>
      </c>
      <c r="D643" t="s">
        <v>724</v>
      </c>
      <c r="E643" t="s">
        <v>99</v>
      </c>
      <c r="F643">
        <v>40</v>
      </c>
      <c r="G643" t="s">
        <v>126</v>
      </c>
      <c r="H643" t="s">
        <v>126</v>
      </c>
      <c r="I643" t="s">
        <v>99</v>
      </c>
      <c r="J643" t="s">
        <v>126</v>
      </c>
      <c r="K643" t="s">
        <v>126</v>
      </c>
      <c r="L643" t="s">
        <v>126</v>
      </c>
      <c r="M643" t="s">
        <v>1295</v>
      </c>
      <c r="N643" t="b">
        <v>0</v>
      </c>
    </row>
    <row r="644" spans="1:14">
      <c r="A644">
        <v>34</v>
      </c>
      <c r="B644">
        <v>4</v>
      </c>
      <c r="C644" t="s">
        <v>189</v>
      </c>
      <c r="D644" t="s">
        <v>724</v>
      </c>
      <c r="E644" t="s">
        <v>101</v>
      </c>
      <c r="F644">
        <v>50</v>
      </c>
      <c r="G644" t="s">
        <v>126</v>
      </c>
      <c r="H644" t="s">
        <v>126</v>
      </c>
      <c r="I644" t="s">
        <v>101</v>
      </c>
      <c r="J644" t="s">
        <v>126</v>
      </c>
      <c r="K644" t="s">
        <v>126</v>
      </c>
      <c r="L644" t="s">
        <v>126</v>
      </c>
      <c r="M644" t="s">
        <v>1296</v>
      </c>
      <c r="N644" t="b">
        <v>0</v>
      </c>
    </row>
    <row r="645" spans="1:14">
      <c r="A645">
        <v>34</v>
      </c>
      <c r="B645">
        <v>5</v>
      </c>
      <c r="C645" t="s">
        <v>315</v>
      </c>
      <c r="D645" t="s">
        <v>753</v>
      </c>
      <c r="E645" t="s">
        <v>297</v>
      </c>
      <c r="F645">
        <v>30</v>
      </c>
      <c r="G645" t="s">
        <v>760</v>
      </c>
      <c r="H645" t="s">
        <v>126</v>
      </c>
      <c r="I645" t="s">
        <v>126</v>
      </c>
      <c r="J645" t="s">
        <v>761</v>
      </c>
      <c r="K645" t="s">
        <v>762</v>
      </c>
      <c r="L645" t="s">
        <v>763</v>
      </c>
      <c r="M645" t="s">
        <v>1297</v>
      </c>
      <c r="N645" t="b">
        <v>0</v>
      </c>
    </row>
    <row r="646" spans="1:14">
      <c r="A646">
        <v>34</v>
      </c>
      <c r="B646">
        <v>6</v>
      </c>
      <c r="C646" t="s">
        <v>190</v>
      </c>
      <c r="D646" t="s">
        <v>724</v>
      </c>
      <c r="E646" t="s">
        <v>109</v>
      </c>
      <c r="F646">
        <v>30</v>
      </c>
      <c r="G646" t="s">
        <v>126</v>
      </c>
      <c r="H646" t="s">
        <v>126</v>
      </c>
      <c r="I646" t="s">
        <v>109</v>
      </c>
      <c r="J646" t="s">
        <v>126</v>
      </c>
      <c r="K646" t="s">
        <v>126</v>
      </c>
      <c r="L646" t="s">
        <v>126</v>
      </c>
      <c r="M646" t="s">
        <v>1298</v>
      </c>
      <c r="N646" t="b">
        <v>0</v>
      </c>
    </row>
    <row r="647" spans="1:14">
      <c r="A647">
        <v>34</v>
      </c>
      <c r="B647">
        <v>7</v>
      </c>
      <c r="C647" t="s">
        <v>316</v>
      </c>
      <c r="D647" t="s">
        <v>724</v>
      </c>
      <c r="E647" t="s">
        <v>113</v>
      </c>
      <c r="F647">
        <v>30</v>
      </c>
      <c r="G647" t="s">
        <v>126</v>
      </c>
      <c r="H647" t="s">
        <v>126</v>
      </c>
      <c r="I647" t="s">
        <v>113</v>
      </c>
      <c r="J647" t="s">
        <v>126</v>
      </c>
      <c r="K647" t="s">
        <v>126</v>
      </c>
      <c r="L647" t="s">
        <v>126</v>
      </c>
      <c r="M647" t="s">
        <v>1299</v>
      </c>
      <c r="N647" t="b">
        <v>0</v>
      </c>
    </row>
    <row r="648" spans="1:14">
      <c r="A648">
        <v>34</v>
      </c>
      <c r="B648">
        <v>8</v>
      </c>
      <c r="C648" t="s">
        <v>317</v>
      </c>
      <c r="D648" t="s">
        <v>724</v>
      </c>
      <c r="E648" t="s">
        <v>115</v>
      </c>
      <c r="F648">
        <v>30</v>
      </c>
      <c r="G648" t="s">
        <v>126</v>
      </c>
      <c r="H648" t="s">
        <v>126</v>
      </c>
      <c r="I648" t="s">
        <v>115</v>
      </c>
      <c r="J648" t="s">
        <v>126</v>
      </c>
      <c r="K648" t="s">
        <v>126</v>
      </c>
      <c r="L648" t="s">
        <v>126</v>
      </c>
      <c r="M648" t="s">
        <v>1300</v>
      </c>
      <c r="N648" t="b">
        <v>0</v>
      </c>
    </row>
    <row r="649" spans="1:14">
      <c r="A649">
        <v>34</v>
      </c>
      <c r="B649">
        <v>9</v>
      </c>
      <c r="C649" t="s">
        <v>192</v>
      </c>
      <c r="D649" t="s">
        <v>724</v>
      </c>
      <c r="E649" t="s">
        <v>61</v>
      </c>
      <c r="F649">
        <v>30</v>
      </c>
      <c r="G649" t="s">
        <v>126</v>
      </c>
      <c r="H649" t="s">
        <v>126</v>
      </c>
      <c r="I649" t="s">
        <v>61</v>
      </c>
      <c r="J649" t="s">
        <v>126</v>
      </c>
      <c r="K649" t="s">
        <v>126</v>
      </c>
      <c r="L649" t="s">
        <v>126</v>
      </c>
      <c r="M649" t="s">
        <v>1301</v>
      </c>
      <c r="N649" t="b">
        <v>0</v>
      </c>
    </row>
    <row r="650" spans="1:14">
      <c r="A650">
        <v>34</v>
      </c>
      <c r="B650">
        <v>10</v>
      </c>
      <c r="C650" t="s">
        <v>318</v>
      </c>
      <c r="D650" t="s">
        <v>724</v>
      </c>
      <c r="E650" t="s">
        <v>331</v>
      </c>
      <c r="F650">
        <v>30</v>
      </c>
      <c r="G650" t="s">
        <v>126</v>
      </c>
      <c r="H650" t="s">
        <v>548</v>
      </c>
      <c r="I650" t="s">
        <v>445</v>
      </c>
      <c r="J650" t="s">
        <v>126</v>
      </c>
      <c r="K650" t="s">
        <v>921</v>
      </c>
      <c r="L650" t="s">
        <v>922</v>
      </c>
      <c r="M650" t="s">
        <v>1302</v>
      </c>
      <c r="N650" t="b">
        <v>0</v>
      </c>
    </row>
    <row r="651" spans="1:14">
      <c r="A651">
        <v>34</v>
      </c>
      <c r="B651">
        <v>11</v>
      </c>
      <c r="C651" t="s">
        <v>163</v>
      </c>
      <c r="D651" t="s">
        <v>724</v>
      </c>
      <c r="E651" t="s">
        <v>78</v>
      </c>
      <c r="F651">
        <v>40</v>
      </c>
      <c r="G651" t="s">
        <v>126</v>
      </c>
      <c r="H651" t="s">
        <v>126</v>
      </c>
      <c r="I651" t="s">
        <v>78</v>
      </c>
      <c r="J651" t="s">
        <v>126</v>
      </c>
      <c r="K651" t="s">
        <v>126</v>
      </c>
      <c r="L651" t="s">
        <v>126</v>
      </c>
      <c r="M651" t="s">
        <v>1303</v>
      </c>
      <c r="N651" t="b">
        <v>0</v>
      </c>
    </row>
    <row r="652" spans="1:14">
      <c r="A652">
        <v>34</v>
      </c>
      <c r="B652">
        <v>12</v>
      </c>
      <c r="C652" t="s">
        <v>319</v>
      </c>
      <c r="D652" t="s">
        <v>724</v>
      </c>
      <c r="E652" t="s">
        <v>84</v>
      </c>
      <c r="F652">
        <v>30</v>
      </c>
      <c r="G652" t="s">
        <v>126</v>
      </c>
      <c r="H652" t="s">
        <v>126</v>
      </c>
      <c r="I652" t="s">
        <v>84</v>
      </c>
      <c r="J652" t="s">
        <v>126</v>
      </c>
      <c r="K652" t="s">
        <v>126</v>
      </c>
      <c r="L652" t="s">
        <v>126</v>
      </c>
      <c r="M652" t="s">
        <v>1304</v>
      </c>
      <c r="N652" t="b">
        <v>0</v>
      </c>
    </row>
    <row r="653" spans="1:14">
      <c r="A653">
        <v>34</v>
      </c>
      <c r="B653">
        <v>13</v>
      </c>
      <c r="C653" t="s">
        <v>194</v>
      </c>
      <c r="D653" t="s">
        <v>724</v>
      </c>
      <c r="E653" t="s">
        <v>98</v>
      </c>
      <c r="F653">
        <v>50</v>
      </c>
      <c r="G653" t="s">
        <v>126</v>
      </c>
      <c r="H653" t="s">
        <v>126</v>
      </c>
      <c r="I653" t="s">
        <v>98</v>
      </c>
      <c r="J653" t="s">
        <v>126</v>
      </c>
      <c r="K653" t="s">
        <v>126</v>
      </c>
      <c r="L653" t="s">
        <v>126</v>
      </c>
      <c r="M653" t="s">
        <v>1305</v>
      </c>
      <c r="N653" t="b">
        <v>0</v>
      </c>
    </row>
    <row r="654" spans="1:14">
      <c r="A654">
        <v>34</v>
      </c>
      <c r="B654">
        <v>14</v>
      </c>
      <c r="C654" t="s">
        <v>320</v>
      </c>
      <c r="D654" t="s">
        <v>724</v>
      </c>
      <c r="E654" t="s">
        <v>106</v>
      </c>
      <c r="F654">
        <v>30</v>
      </c>
      <c r="G654" t="s">
        <v>126</v>
      </c>
      <c r="H654" t="s">
        <v>126</v>
      </c>
      <c r="I654" t="s">
        <v>106</v>
      </c>
      <c r="J654" t="s">
        <v>126</v>
      </c>
      <c r="K654" t="s">
        <v>126</v>
      </c>
      <c r="L654" t="s">
        <v>126</v>
      </c>
      <c r="M654" t="s">
        <v>1306</v>
      </c>
      <c r="N654" t="b">
        <v>0</v>
      </c>
    </row>
    <row r="655" spans="1:14">
      <c r="A655">
        <v>34</v>
      </c>
      <c r="B655">
        <v>15</v>
      </c>
      <c r="C655" t="s">
        <v>195</v>
      </c>
      <c r="D655" t="s">
        <v>724</v>
      </c>
      <c r="E655" t="s">
        <v>108</v>
      </c>
      <c r="F655">
        <v>60</v>
      </c>
      <c r="G655" t="s">
        <v>126</v>
      </c>
      <c r="H655" t="s">
        <v>126</v>
      </c>
      <c r="I655" t="s">
        <v>108</v>
      </c>
      <c r="J655" t="s">
        <v>126</v>
      </c>
      <c r="K655" t="s">
        <v>126</v>
      </c>
      <c r="L655" t="s">
        <v>126</v>
      </c>
      <c r="M655" t="s">
        <v>1307</v>
      </c>
      <c r="N655" t="b">
        <v>0</v>
      </c>
    </row>
    <row r="656" spans="1:14">
      <c r="A656">
        <v>34</v>
      </c>
      <c r="B656">
        <v>16</v>
      </c>
      <c r="C656" t="s">
        <v>126</v>
      </c>
      <c r="D656" t="s">
        <v>741</v>
      </c>
      <c r="E656" t="s">
        <v>126</v>
      </c>
      <c r="F656">
        <v>0</v>
      </c>
      <c r="G656" t="s">
        <v>126</v>
      </c>
      <c r="H656" t="s">
        <v>126</v>
      </c>
      <c r="I656" t="s">
        <v>126</v>
      </c>
      <c r="J656" t="s">
        <v>126</v>
      </c>
      <c r="K656" t="s">
        <v>126</v>
      </c>
      <c r="L656" t="s">
        <v>126</v>
      </c>
      <c r="M656" t="s">
        <v>1308</v>
      </c>
      <c r="N656" t="b">
        <v>0</v>
      </c>
    </row>
    <row r="657" spans="1:14">
      <c r="A657">
        <v>34</v>
      </c>
      <c r="B657">
        <v>17</v>
      </c>
      <c r="C657" t="s">
        <v>126</v>
      </c>
      <c r="D657" t="s">
        <v>741</v>
      </c>
      <c r="E657" t="s">
        <v>126</v>
      </c>
      <c r="F657">
        <v>0</v>
      </c>
      <c r="G657" t="s">
        <v>126</v>
      </c>
      <c r="H657" t="s">
        <v>126</v>
      </c>
      <c r="I657" t="s">
        <v>126</v>
      </c>
      <c r="J657" t="s">
        <v>126</v>
      </c>
      <c r="K657" t="s">
        <v>126</v>
      </c>
      <c r="L657" t="s">
        <v>126</v>
      </c>
      <c r="M657" t="s">
        <v>709</v>
      </c>
      <c r="N657" t="b">
        <v>0</v>
      </c>
    </row>
    <row r="658" spans="1:14">
      <c r="A658">
        <v>34</v>
      </c>
      <c r="B658">
        <v>18</v>
      </c>
      <c r="C658" t="s">
        <v>126</v>
      </c>
      <c r="D658" t="s">
        <v>741</v>
      </c>
      <c r="E658" t="s">
        <v>126</v>
      </c>
      <c r="F658">
        <v>0</v>
      </c>
      <c r="G658" t="s">
        <v>126</v>
      </c>
      <c r="H658" t="s">
        <v>126</v>
      </c>
      <c r="I658" t="s">
        <v>126</v>
      </c>
      <c r="J658" t="s">
        <v>126</v>
      </c>
      <c r="K658" t="s">
        <v>126</v>
      </c>
      <c r="L658" t="s">
        <v>126</v>
      </c>
      <c r="M658" t="s">
        <v>1309</v>
      </c>
      <c r="N658" t="b">
        <v>0</v>
      </c>
    </row>
    <row r="659" spans="1:14">
      <c r="A659">
        <v>34</v>
      </c>
      <c r="B659">
        <v>19</v>
      </c>
      <c r="C659" t="s">
        <v>126</v>
      </c>
      <c r="D659" t="s">
        <v>741</v>
      </c>
      <c r="E659" t="s">
        <v>126</v>
      </c>
      <c r="F659">
        <v>0</v>
      </c>
      <c r="G659" t="s">
        <v>126</v>
      </c>
      <c r="H659" t="s">
        <v>126</v>
      </c>
      <c r="I659" t="s">
        <v>126</v>
      </c>
      <c r="J659" t="s">
        <v>126</v>
      </c>
      <c r="K659" t="s">
        <v>126</v>
      </c>
      <c r="L659" t="s">
        <v>126</v>
      </c>
      <c r="M659" t="s">
        <v>1310</v>
      </c>
      <c r="N659" t="b">
        <v>0</v>
      </c>
    </row>
    <row r="660" spans="1:14">
      <c r="A660">
        <v>34</v>
      </c>
      <c r="B660">
        <v>20</v>
      </c>
      <c r="C660" t="s">
        <v>126</v>
      </c>
      <c r="D660" t="s">
        <v>741</v>
      </c>
      <c r="E660" t="s">
        <v>126</v>
      </c>
      <c r="F660">
        <v>0</v>
      </c>
      <c r="G660" t="s">
        <v>126</v>
      </c>
      <c r="H660" t="s">
        <v>126</v>
      </c>
      <c r="I660" t="s">
        <v>126</v>
      </c>
      <c r="J660" t="s">
        <v>126</v>
      </c>
      <c r="K660" t="s">
        <v>126</v>
      </c>
      <c r="L660" t="s">
        <v>126</v>
      </c>
      <c r="M660" t="s">
        <v>1311</v>
      </c>
      <c r="N660" t="b">
        <v>0</v>
      </c>
    </row>
    <row r="661" spans="1:14">
      <c r="A661">
        <v>34</v>
      </c>
      <c r="B661">
        <v>21</v>
      </c>
      <c r="C661" t="s">
        <v>126</v>
      </c>
      <c r="D661" t="s">
        <v>741</v>
      </c>
      <c r="E661" t="s">
        <v>126</v>
      </c>
      <c r="F661">
        <v>0</v>
      </c>
      <c r="G661" t="s">
        <v>126</v>
      </c>
      <c r="H661" t="s">
        <v>126</v>
      </c>
      <c r="I661" t="s">
        <v>126</v>
      </c>
      <c r="J661" t="s">
        <v>126</v>
      </c>
      <c r="K661" t="s">
        <v>126</v>
      </c>
      <c r="L661" t="s">
        <v>126</v>
      </c>
      <c r="M661" t="s">
        <v>1312</v>
      </c>
      <c r="N661" t="b">
        <v>0</v>
      </c>
    </row>
    <row r="662" spans="1:14">
      <c r="A662">
        <v>34</v>
      </c>
      <c r="B662">
        <v>22</v>
      </c>
      <c r="C662" t="s">
        <v>126</v>
      </c>
      <c r="D662" t="s">
        <v>741</v>
      </c>
      <c r="E662" t="s">
        <v>126</v>
      </c>
      <c r="F662">
        <v>0</v>
      </c>
      <c r="G662" t="s">
        <v>126</v>
      </c>
      <c r="H662" t="s">
        <v>126</v>
      </c>
      <c r="I662" t="s">
        <v>126</v>
      </c>
      <c r="J662" t="s">
        <v>126</v>
      </c>
      <c r="K662" t="s">
        <v>126</v>
      </c>
      <c r="L662" t="s">
        <v>126</v>
      </c>
      <c r="M662" t="s">
        <v>1313</v>
      </c>
      <c r="N662" t="b">
        <v>0</v>
      </c>
    </row>
    <row r="663" spans="1:14">
      <c r="A663">
        <v>34</v>
      </c>
      <c r="B663">
        <v>23</v>
      </c>
      <c r="C663" t="s">
        <v>126</v>
      </c>
      <c r="D663" t="s">
        <v>741</v>
      </c>
      <c r="E663" t="s">
        <v>126</v>
      </c>
      <c r="F663">
        <v>0</v>
      </c>
      <c r="G663" t="s">
        <v>126</v>
      </c>
      <c r="H663" t="s">
        <v>126</v>
      </c>
      <c r="I663" t="s">
        <v>126</v>
      </c>
      <c r="J663" t="s">
        <v>126</v>
      </c>
      <c r="K663" t="s">
        <v>126</v>
      </c>
      <c r="L663" t="s">
        <v>126</v>
      </c>
      <c r="M663" t="s">
        <v>1314</v>
      </c>
      <c r="N663" t="b">
        <v>0</v>
      </c>
    </row>
    <row r="664" spans="1:14">
      <c r="A664">
        <v>34</v>
      </c>
      <c r="B664">
        <v>24</v>
      </c>
      <c r="C664" t="s">
        <v>126</v>
      </c>
      <c r="D664" t="s">
        <v>741</v>
      </c>
      <c r="E664" t="s">
        <v>126</v>
      </c>
      <c r="F664">
        <v>0</v>
      </c>
      <c r="G664" t="s">
        <v>126</v>
      </c>
      <c r="H664" t="s">
        <v>126</v>
      </c>
      <c r="I664" t="s">
        <v>126</v>
      </c>
      <c r="J664" t="s">
        <v>126</v>
      </c>
      <c r="K664" t="s">
        <v>126</v>
      </c>
      <c r="L664" t="s">
        <v>126</v>
      </c>
      <c r="M664" t="s">
        <v>1315</v>
      </c>
      <c r="N664" t="b">
        <v>0</v>
      </c>
    </row>
    <row r="665" spans="1:14">
      <c r="A665">
        <v>34</v>
      </c>
      <c r="B665">
        <v>25</v>
      </c>
      <c r="C665" t="s">
        <v>126</v>
      </c>
      <c r="D665" t="s">
        <v>741</v>
      </c>
      <c r="E665" t="s">
        <v>126</v>
      </c>
      <c r="F665">
        <v>0</v>
      </c>
      <c r="G665" t="s">
        <v>126</v>
      </c>
      <c r="H665" t="s">
        <v>126</v>
      </c>
      <c r="I665" t="s">
        <v>126</v>
      </c>
      <c r="J665" t="s">
        <v>126</v>
      </c>
      <c r="K665" t="s">
        <v>126</v>
      </c>
      <c r="L665" t="s">
        <v>126</v>
      </c>
      <c r="M665" t="s">
        <v>1316</v>
      </c>
      <c r="N665" t="b">
        <v>0</v>
      </c>
    </row>
    <row r="666" spans="1:14">
      <c r="A666">
        <v>34</v>
      </c>
      <c r="B666">
        <v>26</v>
      </c>
      <c r="C666" t="s">
        <v>126</v>
      </c>
      <c r="D666" t="s">
        <v>741</v>
      </c>
      <c r="E666" t="s">
        <v>126</v>
      </c>
      <c r="F666">
        <v>0</v>
      </c>
      <c r="G666" t="s">
        <v>126</v>
      </c>
      <c r="H666" t="s">
        <v>126</v>
      </c>
      <c r="I666" t="s">
        <v>126</v>
      </c>
      <c r="J666" t="s">
        <v>126</v>
      </c>
      <c r="K666" t="s">
        <v>126</v>
      </c>
      <c r="L666" t="s">
        <v>126</v>
      </c>
      <c r="M666" t="s">
        <v>1317</v>
      </c>
      <c r="N666" t="b">
        <v>0</v>
      </c>
    </row>
    <row r="667" spans="1:14">
      <c r="A667">
        <v>37</v>
      </c>
      <c r="B667">
        <v>0</v>
      </c>
      <c r="C667" t="s">
        <v>186</v>
      </c>
      <c r="D667" t="s">
        <v>724</v>
      </c>
      <c r="E667" t="s">
        <v>65</v>
      </c>
      <c r="F667">
        <v>50</v>
      </c>
      <c r="G667" t="s">
        <v>126</v>
      </c>
      <c r="H667" t="s">
        <v>126</v>
      </c>
      <c r="I667" t="s">
        <v>65</v>
      </c>
      <c r="J667" t="s">
        <v>126</v>
      </c>
      <c r="K667" t="s">
        <v>126</v>
      </c>
      <c r="L667" t="s">
        <v>126</v>
      </c>
      <c r="M667" t="s">
        <v>1318</v>
      </c>
      <c r="N667" t="b">
        <v>0</v>
      </c>
    </row>
    <row r="668" spans="1:14">
      <c r="A668">
        <v>37</v>
      </c>
      <c r="B668">
        <v>1</v>
      </c>
      <c r="C668" t="s">
        <v>158</v>
      </c>
      <c r="D668" t="s">
        <v>724</v>
      </c>
      <c r="E668" t="s">
        <v>83</v>
      </c>
      <c r="F668">
        <v>40</v>
      </c>
      <c r="G668" t="s">
        <v>126</v>
      </c>
      <c r="H668" t="s">
        <v>126</v>
      </c>
      <c r="I668" t="s">
        <v>83</v>
      </c>
      <c r="J668" t="s">
        <v>126</v>
      </c>
      <c r="K668" t="s">
        <v>126</v>
      </c>
      <c r="L668" t="s">
        <v>126</v>
      </c>
      <c r="M668" t="s">
        <v>1319</v>
      </c>
      <c r="N668" t="b">
        <v>0</v>
      </c>
    </row>
    <row r="669" spans="1:14">
      <c r="A669">
        <v>37</v>
      </c>
      <c r="B669">
        <v>2</v>
      </c>
      <c r="C669" t="s">
        <v>187</v>
      </c>
      <c r="D669" t="s">
        <v>724</v>
      </c>
      <c r="E669" t="s">
        <v>93</v>
      </c>
      <c r="F669">
        <v>50</v>
      </c>
      <c r="G669" t="s">
        <v>126</v>
      </c>
      <c r="H669" t="s">
        <v>126</v>
      </c>
      <c r="I669" t="s">
        <v>93</v>
      </c>
      <c r="J669" t="s">
        <v>126</v>
      </c>
      <c r="K669" t="s">
        <v>126</v>
      </c>
      <c r="L669" t="s">
        <v>126</v>
      </c>
      <c r="M669" t="s">
        <v>1320</v>
      </c>
      <c r="N669" t="b">
        <v>0</v>
      </c>
    </row>
    <row r="670" spans="1:14">
      <c r="A670">
        <v>37</v>
      </c>
      <c r="B670">
        <v>3</v>
      </c>
      <c r="C670" t="s">
        <v>305</v>
      </c>
      <c r="D670" t="s">
        <v>724</v>
      </c>
      <c r="E670" t="s">
        <v>97</v>
      </c>
      <c r="F670">
        <v>50</v>
      </c>
      <c r="G670" t="s">
        <v>126</v>
      </c>
      <c r="H670" t="s">
        <v>126</v>
      </c>
      <c r="I670" t="s">
        <v>97</v>
      </c>
      <c r="J670" t="s">
        <v>126</v>
      </c>
      <c r="K670" t="s">
        <v>126</v>
      </c>
      <c r="L670" t="s">
        <v>126</v>
      </c>
      <c r="M670" t="s">
        <v>1321</v>
      </c>
      <c r="N670" t="b">
        <v>0</v>
      </c>
    </row>
    <row r="671" spans="1:14">
      <c r="A671">
        <v>37</v>
      </c>
      <c r="B671">
        <v>4</v>
      </c>
      <c r="C671" t="s">
        <v>188</v>
      </c>
      <c r="D671" t="s">
        <v>724</v>
      </c>
      <c r="E671" t="s">
        <v>99</v>
      </c>
      <c r="F671">
        <v>50</v>
      </c>
      <c r="G671" t="s">
        <v>126</v>
      </c>
      <c r="H671" t="s">
        <v>126</v>
      </c>
      <c r="I671" t="s">
        <v>99</v>
      </c>
      <c r="J671" t="s">
        <v>126</v>
      </c>
      <c r="K671" t="s">
        <v>126</v>
      </c>
      <c r="L671" t="s">
        <v>126</v>
      </c>
      <c r="M671" t="s">
        <v>1322</v>
      </c>
      <c r="N671" t="b">
        <v>0</v>
      </c>
    </row>
    <row r="672" spans="1:14">
      <c r="A672">
        <v>37</v>
      </c>
      <c r="B672">
        <v>5</v>
      </c>
      <c r="C672" t="s">
        <v>189</v>
      </c>
      <c r="D672" t="s">
        <v>724</v>
      </c>
      <c r="E672" t="s">
        <v>101</v>
      </c>
      <c r="F672">
        <v>50</v>
      </c>
      <c r="G672" t="s">
        <v>126</v>
      </c>
      <c r="H672" t="s">
        <v>126</v>
      </c>
      <c r="I672" t="s">
        <v>101</v>
      </c>
      <c r="J672" t="s">
        <v>126</v>
      </c>
      <c r="K672" t="s">
        <v>126</v>
      </c>
      <c r="L672" t="s">
        <v>126</v>
      </c>
      <c r="M672" t="s">
        <v>1323</v>
      </c>
      <c r="N672" t="b">
        <v>0</v>
      </c>
    </row>
    <row r="673" spans="1:14">
      <c r="A673">
        <v>37</v>
      </c>
      <c r="B673">
        <v>6</v>
      </c>
      <c r="C673" t="s">
        <v>190</v>
      </c>
      <c r="D673" t="s">
        <v>724</v>
      </c>
      <c r="E673" t="s">
        <v>109</v>
      </c>
      <c r="F673">
        <v>30</v>
      </c>
      <c r="G673" t="s">
        <v>126</v>
      </c>
      <c r="H673" t="s">
        <v>126</v>
      </c>
      <c r="I673" t="s">
        <v>109</v>
      </c>
      <c r="J673" t="s">
        <v>126</v>
      </c>
      <c r="K673" t="s">
        <v>126</v>
      </c>
      <c r="L673" t="s">
        <v>126</v>
      </c>
      <c r="M673" t="s">
        <v>766</v>
      </c>
      <c r="N673" t="b">
        <v>0</v>
      </c>
    </row>
    <row r="674" spans="1:14">
      <c r="A674">
        <v>37</v>
      </c>
      <c r="B674">
        <v>7</v>
      </c>
      <c r="C674" t="s">
        <v>198</v>
      </c>
      <c r="D674" t="s">
        <v>724</v>
      </c>
      <c r="E674" t="s">
        <v>113</v>
      </c>
      <c r="F674">
        <v>50</v>
      </c>
      <c r="G674" t="s">
        <v>126</v>
      </c>
      <c r="H674" t="s">
        <v>126</v>
      </c>
      <c r="I674" t="s">
        <v>113</v>
      </c>
      <c r="J674" t="s">
        <v>126</v>
      </c>
      <c r="K674" t="s">
        <v>126</v>
      </c>
      <c r="L674" t="s">
        <v>126</v>
      </c>
      <c r="M674" t="s">
        <v>1324</v>
      </c>
      <c r="N674" t="b">
        <v>0</v>
      </c>
    </row>
    <row r="675" spans="1:14">
      <c r="A675">
        <v>37</v>
      </c>
      <c r="B675">
        <v>8</v>
      </c>
      <c r="C675" t="s">
        <v>191</v>
      </c>
      <c r="D675" t="s">
        <v>724</v>
      </c>
      <c r="E675" t="s">
        <v>115</v>
      </c>
      <c r="F675">
        <v>60</v>
      </c>
      <c r="G675" t="s">
        <v>126</v>
      </c>
      <c r="H675" t="s">
        <v>126</v>
      </c>
      <c r="I675" t="s">
        <v>115</v>
      </c>
      <c r="J675" t="s">
        <v>126</v>
      </c>
      <c r="K675" t="s">
        <v>126</v>
      </c>
      <c r="L675" t="s">
        <v>126</v>
      </c>
      <c r="M675" t="s">
        <v>1325</v>
      </c>
      <c r="N675" t="b">
        <v>0</v>
      </c>
    </row>
    <row r="676" spans="1:14">
      <c r="A676">
        <v>37</v>
      </c>
      <c r="B676">
        <v>9</v>
      </c>
      <c r="C676" t="s">
        <v>192</v>
      </c>
      <c r="D676" t="s">
        <v>724</v>
      </c>
      <c r="E676" t="s">
        <v>61</v>
      </c>
      <c r="F676">
        <v>30</v>
      </c>
      <c r="G676" t="s">
        <v>126</v>
      </c>
      <c r="H676" t="s">
        <v>126</v>
      </c>
      <c r="I676" t="s">
        <v>61</v>
      </c>
      <c r="J676" t="s">
        <v>126</v>
      </c>
      <c r="K676" t="s">
        <v>126</v>
      </c>
      <c r="L676" t="s">
        <v>126</v>
      </c>
      <c r="M676" t="s">
        <v>1326</v>
      </c>
      <c r="N676" t="b">
        <v>0</v>
      </c>
    </row>
    <row r="677" spans="1:14">
      <c r="A677">
        <v>37</v>
      </c>
      <c r="B677">
        <v>10</v>
      </c>
      <c r="C677" t="s">
        <v>193</v>
      </c>
      <c r="D677" t="s">
        <v>724</v>
      </c>
      <c r="E677" t="s">
        <v>78</v>
      </c>
      <c r="F677">
        <v>50</v>
      </c>
      <c r="G677" t="s">
        <v>126</v>
      </c>
      <c r="H677" t="s">
        <v>126</v>
      </c>
      <c r="I677" t="s">
        <v>78</v>
      </c>
      <c r="J677" t="s">
        <v>126</v>
      </c>
      <c r="K677" t="s">
        <v>126</v>
      </c>
      <c r="L677" t="s">
        <v>126</v>
      </c>
      <c r="M677" t="s">
        <v>1327</v>
      </c>
      <c r="N677" t="b">
        <v>0</v>
      </c>
    </row>
    <row r="678" spans="1:14">
      <c r="A678">
        <v>37</v>
      </c>
      <c r="B678">
        <v>11</v>
      </c>
      <c r="C678" t="s">
        <v>194</v>
      </c>
      <c r="D678" t="s">
        <v>724</v>
      </c>
      <c r="E678" t="s">
        <v>98</v>
      </c>
      <c r="F678">
        <v>50</v>
      </c>
      <c r="G678" t="s">
        <v>126</v>
      </c>
      <c r="H678" t="s">
        <v>126</v>
      </c>
      <c r="I678" t="s">
        <v>98</v>
      </c>
      <c r="J678" t="s">
        <v>126</v>
      </c>
      <c r="K678" t="s">
        <v>126</v>
      </c>
      <c r="L678" t="s">
        <v>126</v>
      </c>
      <c r="M678" t="s">
        <v>1328</v>
      </c>
      <c r="N678" t="b">
        <v>0</v>
      </c>
    </row>
    <row r="679" spans="1:14">
      <c r="A679">
        <v>37</v>
      </c>
      <c r="B679">
        <v>12</v>
      </c>
      <c r="C679" t="s">
        <v>325</v>
      </c>
      <c r="D679" t="s">
        <v>724</v>
      </c>
      <c r="E679" t="s">
        <v>102</v>
      </c>
      <c r="F679">
        <v>40</v>
      </c>
      <c r="G679" t="s">
        <v>126</v>
      </c>
      <c r="H679" t="s">
        <v>126</v>
      </c>
      <c r="I679" t="s">
        <v>102</v>
      </c>
      <c r="J679" t="s">
        <v>126</v>
      </c>
      <c r="K679" t="s">
        <v>126</v>
      </c>
      <c r="L679" t="s">
        <v>126</v>
      </c>
      <c r="M679" t="s">
        <v>1329</v>
      </c>
      <c r="N679" t="b">
        <v>0</v>
      </c>
    </row>
    <row r="680" spans="1:14">
      <c r="A680">
        <v>37</v>
      </c>
      <c r="B680">
        <v>13</v>
      </c>
      <c r="C680" t="s">
        <v>195</v>
      </c>
      <c r="D680" t="s">
        <v>724</v>
      </c>
      <c r="E680" t="s">
        <v>108</v>
      </c>
      <c r="F680">
        <v>60</v>
      </c>
      <c r="G680" t="s">
        <v>126</v>
      </c>
      <c r="H680" t="s">
        <v>126</v>
      </c>
      <c r="I680" t="s">
        <v>108</v>
      </c>
      <c r="J680" t="s">
        <v>126</v>
      </c>
      <c r="K680" t="s">
        <v>126</v>
      </c>
      <c r="L680" t="s">
        <v>126</v>
      </c>
      <c r="M680" t="s">
        <v>1330</v>
      </c>
      <c r="N680" t="b">
        <v>0</v>
      </c>
    </row>
    <row r="681" spans="1:14">
      <c r="A681">
        <v>37</v>
      </c>
      <c r="B681">
        <v>14</v>
      </c>
      <c r="C681" t="s">
        <v>126</v>
      </c>
      <c r="D681" t="s">
        <v>724</v>
      </c>
      <c r="E681" t="s">
        <v>126</v>
      </c>
      <c r="F681">
        <v>0</v>
      </c>
      <c r="G681" t="s">
        <v>126</v>
      </c>
      <c r="H681" t="s">
        <v>126</v>
      </c>
      <c r="I681" t="s">
        <v>126</v>
      </c>
      <c r="J681" t="s">
        <v>126</v>
      </c>
      <c r="K681" t="s">
        <v>126</v>
      </c>
      <c r="L681" t="s">
        <v>126</v>
      </c>
      <c r="M681" t="s">
        <v>1331</v>
      </c>
      <c r="N681" t="b">
        <v>0</v>
      </c>
    </row>
    <row r="682" spans="1:14">
      <c r="A682">
        <v>37</v>
      </c>
      <c r="B682">
        <v>15</v>
      </c>
      <c r="C682" t="s">
        <v>126</v>
      </c>
      <c r="D682" t="s">
        <v>724</v>
      </c>
      <c r="E682" t="s">
        <v>126</v>
      </c>
      <c r="F682">
        <v>0</v>
      </c>
      <c r="G682" t="s">
        <v>126</v>
      </c>
      <c r="H682" t="s">
        <v>126</v>
      </c>
      <c r="I682" t="s">
        <v>126</v>
      </c>
      <c r="J682" t="s">
        <v>126</v>
      </c>
      <c r="K682" t="s">
        <v>126</v>
      </c>
      <c r="L682" t="s">
        <v>126</v>
      </c>
      <c r="M682" t="s">
        <v>1332</v>
      </c>
      <c r="N682" t="b">
        <v>0</v>
      </c>
    </row>
    <row r="683" spans="1:14">
      <c r="A683">
        <v>37</v>
      </c>
      <c r="B683">
        <v>16</v>
      </c>
      <c r="C683" t="s">
        <v>126</v>
      </c>
      <c r="D683" t="s">
        <v>741</v>
      </c>
      <c r="E683" t="s">
        <v>126</v>
      </c>
      <c r="F683">
        <v>0</v>
      </c>
      <c r="G683" t="s">
        <v>126</v>
      </c>
      <c r="H683" t="s">
        <v>126</v>
      </c>
      <c r="I683" t="s">
        <v>126</v>
      </c>
      <c r="J683" t="s">
        <v>126</v>
      </c>
      <c r="K683" t="s">
        <v>126</v>
      </c>
      <c r="L683" t="s">
        <v>126</v>
      </c>
      <c r="M683" t="s">
        <v>1333</v>
      </c>
      <c r="N683" t="b">
        <v>0</v>
      </c>
    </row>
    <row r="684" spans="1:14">
      <c r="A684">
        <v>37</v>
      </c>
      <c r="B684">
        <v>17</v>
      </c>
      <c r="C684" t="s">
        <v>126</v>
      </c>
      <c r="D684" t="s">
        <v>741</v>
      </c>
      <c r="E684" t="s">
        <v>126</v>
      </c>
      <c r="F684">
        <v>0</v>
      </c>
      <c r="G684" t="s">
        <v>126</v>
      </c>
      <c r="H684" t="s">
        <v>126</v>
      </c>
      <c r="I684" t="s">
        <v>126</v>
      </c>
      <c r="J684" t="s">
        <v>126</v>
      </c>
      <c r="K684" t="s">
        <v>126</v>
      </c>
      <c r="L684" t="s">
        <v>126</v>
      </c>
      <c r="M684" t="s">
        <v>715</v>
      </c>
      <c r="N684" t="b">
        <v>0</v>
      </c>
    </row>
    <row r="685" spans="1:14">
      <c r="A685">
        <v>37</v>
      </c>
      <c r="B685">
        <v>18</v>
      </c>
      <c r="C685" t="s">
        <v>126</v>
      </c>
      <c r="D685" t="s">
        <v>741</v>
      </c>
      <c r="E685" t="s">
        <v>126</v>
      </c>
      <c r="F685">
        <v>0</v>
      </c>
      <c r="G685" t="s">
        <v>126</v>
      </c>
      <c r="H685" t="s">
        <v>126</v>
      </c>
      <c r="I685" t="s">
        <v>126</v>
      </c>
      <c r="J685" t="s">
        <v>126</v>
      </c>
      <c r="K685" t="s">
        <v>126</v>
      </c>
      <c r="L685" t="s">
        <v>126</v>
      </c>
      <c r="M685" t="s">
        <v>1334</v>
      </c>
      <c r="N685" t="b">
        <v>0</v>
      </c>
    </row>
    <row r="686" spans="1:14">
      <c r="A686">
        <v>37</v>
      </c>
      <c r="B686">
        <v>19</v>
      </c>
      <c r="C686" t="s">
        <v>126</v>
      </c>
      <c r="D686" t="s">
        <v>741</v>
      </c>
      <c r="E686" t="s">
        <v>126</v>
      </c>
      <c r="F686">
        <v>0</v>
      </c>
      <c r="G686" t="s">
        <v>126</v>
      </c>
      <c r="H686" t="s">
        <v>126</v>
      </c>
      <c r="I686" t="s">
        <v>126</v>
      </c>
      <c r="J686" t="s">
        <v>126</v>
      </c>
      <c r="K686" t="s">
        <v>126</v>
      </c>
      <c r="L686" t="s">
        <v>126</v>
      </c>
      <c r="M686" t="s">
        <v>1335</v>
      </c>
      <c r="N686" t="b">
        <v>0</v>
      </c>
    </row>
    <row r="687" spans="1:14">
      <c r="A687">
        <v>37</v>
      </c>
      <c r="B687">
        <v>20</v>
      </c>
      <c r="C687" t="s">
        <v>126</v>
      </c>
      <c r="D687" t="s">
        <v>741</v>
      </c>
      <c r="E687" t="s">
        <v>126</v>
      </c>
      <c r="F687">
        <v>0</v>
      </c>
      <c r="G687" t="s">
        <v>126</v>
      </c>
      <c r="H687" t="s">
        <v>126</v>
      </c>
      <c r="I687" t="s">
        <v>126</v>
      </c>
      <c r="J687" t="s">
        <v>126</v>
      </c>
      <c r="K687" t="s">
        <v>126</v>
      </c>
      <c r="L687" t="s">
        <v>126</v>
      </c>
      <c r="M687" t="s">
        <v>1336</v>
      </c>
      <c r="N687" t="b">
        <v>0</v>
      </c>
    </row>
    <row r="688" spans="1:14">
      <c r="A688">
        <v>37</v>
      </c>
      <c r="B688">
        <v>21</v>
      </c>
      <c r="C688" t="s">
        <v>126</v>
      </c>
      <c r="D688" t="s">
        <v>741</v>
      </c>
      <c r="E688" t="s">
        <v>126</v>
      </c>
      <c r="F688">
        <v>0</v>
      </c>
      <c r="G688" t="s">
        <v>126</v>
      </c>
      <c r="H688" t="s">
        <v>126</v>
      </c>
      <c r="I688" t="s">
        <v>126</v>
      </c>
      <c r="J688" t="s">
        <v>126</v>
      </c>
      <c r="K688" t="s">
        <v>126</v>
      </c>
      <c r="L688" t="s">
        <v>126</v>
      </c>
      <c r="M688" t="s">
        <v>1337</v>
      </c>
      <c r="N688" t="b">
        <v>0</v>
      </c>
    </row>
    <row r="689" spans="1:14">
      <c r="A689">
        <v>37</v>
      </c>
      <c r="B689">
        <v>22</v>
      </c>
      <c r="C689" t="s">
        <v>126</v>
      </c>
      <c r="D689" t="s">
        <v>741</v>
      </c>
      <c r="E689" t="s">
        <v>126</v>
      </c>
      <c r="F689">
        <v>0</v>
      </c>
      <c r="G689" t="s">
        <v>126</v>
      </c>
      <c r="H689" t="s">
        <v>126</v>
      </c>
      <c r="I689" t="s">
        <v>126</v>
      </c>
      <c r="J689" t="s">
        <v>126</v>
      </c>
      <c r="K689" t="s">
        <v>126</v>
      </c>
      <c r="L689" t="s">
        <v>126</v>
      </c>
      <c r="M689" t="s">
        <v>1338</v>
      </c>
      <c r="N689" t="b">
        <v>0</v>
      </c>
    </row>
    <row r="690" spans="1:14">
      <c r="A690">
        <v>37</v>
      </c>
      <c r="B690">
        <v>23</v>
      </c>
      <c r="C690" t="s">
        <v>126</v>
      </c>
      <c r="D690" t="s">
        <v>741</v>
      </c>
      <c r="E690" t="s">
        <v>126</v>
      </c>
      <c r="F690">
        <v>0</v>
      </c>
      <c r="G690" t="s">
        <v>126</v>
      </c>
      <c r="H690" t="s">
        <v>126</v>
      </c>
      <c r="I690" t="s">
        <v>126</v>
      </c>
      <c r="J690" t="s">
        <v>126</v>
      </c>
      <c r="K690" t="s">
        <v>126</v>
      </c>
      <c r="L690" t="s">
        <v>126</v>
      </c>
      <c r="M690" t="s">
        <v>1339</v>
      </c>
      <c r="N690" t="b">
        <v>0</v>
      </c>
    </row>
    <row r="691" spans="1:14">
      <c r="A691">
        <v>37</v>
      </c>
      <c r="B691">
        <v>24</v>
      </c>
      <c r="C691" t="s">
        <v>126</v>
      </c>
      <c r="D691" t="s">
        <v>741</v>
      </c>
      <c r="E691" t="s">
        <v>126</v>
      </c>
      <c r="F691">
        <v>0</v>
      </c>
      <c r="G691" t="s">
        <v>126</v>
      </c>
      <c r="H691" t="s">
        <v>126</v>
      </c>
      <c r="I691" t="s">
        <v>126</v>
      </c>
      <c r="J691" t="s">
        <v>126</v>
      </c>
      <c r="K691" t="s">
        <v>126</v>
      </c>
      <c r="L691" t="s">
        <v>126</v>
      </c>
      <c r="M691" t="s">
        <v>1340</v>
      </c>
      <c r="N691" t="b">
        <v>0</v>
      </c>
    </row>
    <row r="692" spans="1:14">
      <c r="A692">
        <v>37</v>
      </c>
      <c r="B692">
        <v>25</v>
      </c>
      <c r="C692" t="s">
        <v>126</v>
      </c>
      <c r="D692" t="s">
        <v>741</v>
      </c>
      <c r="E692" t="s">
        <v>126</v>
      </c>
      <c r="F692">
        <v>0</v>
      </c>
      <c r="G692" t="s">
        <v>126</v>
      </c>
      <c r="H692" t="s">
        <v>126</v>
      </c>
      <c r="I692" t="s">
        <v>126</v>
      </c>
      <c r="J692" t="s">
        <v>126</v>
      </c>
      <c r="K692" t="s">
        <v>126</v>
      </c>
      <c r="L692" t="s">
        <v>126</v>
      </c>
      <c r="M692" t="s">
        <v>1341</v>
      </c>
      <c r="N692" t="b">
        <v>0</v>
      </c>
    </row>
    <row r="693" spans="1:14">
      <c r="A693">
        <v>37</v>
      </c>
      <c r="B693">
        <v>26</v>
      </c>
      <c r="C693" t="s">
        <v>126</v>
      </c>
      <c r="D693" t="s">
        <v>741</v>
      </c>
      <c r="E693" t="s">
        <v>126</v>
      </c>
      <c r="F693">
        <v>0</v>
      </c>
      <c r="G693" t="s">
        <v>126</v>
      </c>
      <c r="H693" t="s">
        <v>126</v>
      </c>
      <c r="I693" t="s">
        <v>126</v>
      </c>
      <c r="J693" t="s">
        <v>126</v>
      </c>
      <c r="K693" t="s">
        <v>126</v>
      </c>
      <c r="L693" t="s">
        <v>126</v>
      </c>
      <c r="M693" t="s">
        <v>1342</v>
      </c>
      <c r="N693" t="b">
        <v>0</v>
      </c>
    </row>
    <row r="694" spans="1:14">
      <c r="A694">
        <v>40</v>
      </c>
      <c r="B694">
        <v>0</v>
      </c>
      <c r="C694" t="s">
        <v>186</v>
      </c>
      <c r="D694" t="s">
        <v>724</v>
      </c>
      <c r="E694" t="s">
        <v>65</v>
      </c>
      <c r="F694">
        <v>50</v>
      </c>
      <c r="G694" t="s">
        <v>126</v>
      </c>
      <c r="H694" t="s">
        <v>126</v>
      </c>
      <c r="I694" t="s">
        <v>65</v>
      </c>
      <c r="J694" t="s">
        <v>126</v>
      </c>
      <c r="K694" t="s">
        <v>126</v>
      </c>
      <c r="L694" t="s">
        <v>126</v>
      </c>
      <c r="M694" t="s">
        <v>1343</v>
      </c>
      <c r="N694" t="b">
        <v>0</v>
      </c>
    </row>
    <row r="695" spans="1:14">
      <c r="A695">
        <v>40</v>
      </c>
      <c r="B695">
        <v>1</v>
      </c>
      <c r="C695" t="s">
        <v>329</v>
      </c>
      <c r="D695" t="s">
        <v>724</v>
      </c>
      <c r="E695" t="s">
        <v>77</v>
      </c>
      <c r="F695">
        <v>40</v>
      </c>
      <c r="G695" t="s">
        <v>126</v>
      </c>
      <c r="H695" t="s">
        <v>126</v>
      </c>
      <c r="I695" t="s">
        <v>77</v>
      </c>
      <c r="J695" t="s">
        <v>126</v>
      </c>
      <c r="K695" t="s">
        <v>126</v>
      </c>
      <c r="L695" t="s">
        <v>126</v>
      </c>
      <c r="M695" t="s">
        <v>1344</v>
      </c>
      <c r="N695" t="b">
        <v>0</v>
      </c>
    </row>
    <row r="696" spans="1:14">
      <c r="A696">
        <v>40</v>
      </c>
      <c r="B696">
        <v>2</v>
      </c>
      <c r="C696" t="s">
        <v>158</v>
      </c>
      <c r="D696" t="s">
        <v>724</v>
      </c>
      <c r="E696" t="s">
        <v>83</v>
      </c>
      <c r="F696">
        <v>40</v>
      </c>
      <c r="G696" t="s">
        <v>126</v>
      </c>
      <c r="H696" t="s">
        <v>126</v>
      </c>
      <c r="I696" t="s">
        <v>83</v>
      </c>
      <c r="J696" t="s">
        <v>126</v>
      </c>
      <c r="K696" t="s">
        <v>126</v>
      </c>
      <c r="L696" t="s">
        <v>126</v>
      </c>
      <c r="M696" t="s">
        <v>1345</v>
      </c>
      <c r="N696" t="b">
        <v>0</v>
      </c>
    </row>
    <row r="697" spans="1:14">
      <c r="A697">
        <v>40</v>
      </c>
      <c r="B697">
        <v>3</v>
      </c>
      <c r="C697" t="s">
        <v>187</v>
      </c>
      <c r="D697" t="s">
        <v>724</v>
      </c>
      <c r="E697" t="s">
        <v>93</v>
      </c>
      <c r="F697">
        <v>50</v>
      </c>
      <c r="G697" t="s">
        <v>126</v>
      </c>
      <c r="H697" t="s">
        <v>126</v>
      </c>
      <c r="I697" t="s">
        <v>93</v>
      </c>
      <c r="J697" t="s">
        <v>126</v>
      </c>
      <c r="K697" t="s">
        <v>126</v>
      </c>
      <c r="L697" t="s">
        <v>126</v>
      </c>
      <c r="M697" t="s">
        <v>1346</v>
      </c>
      <c r="N697" t="b">
        <v>0</v>
      </c>
    </row>
    <row r="698" spans="1:14">
      <c r="A698">
        <v>40</v>
      </c>
      <c r="B698">
        <v>4</v>
      </c>
      <c r="C698" t="s">
        <v>228</v>
      </c>
      <c r="D698" t="s">
        <v>724</v>
      </c>
      <c r="E698" t="s">
        <v>97</v>
      </c>
      <c r="F698">
        <v>40</v>
      </c>
      <c r="G698" t="s">
        <v>126</v>
      </c>
      <c r="H698" t="s">
        <v>126</v>
      </c>
      <c r="I698" t="s">
        <v>97</v>
      </c>
      <c r="J698" t="s">
        <v>126</v>
      </c>
      <c r="K698" t="s">
        <v>126</v>
      </c>
      <c r="L698" t="s">
        <v>126</v>
      </c>
      <c r="M698" t="s">
        <v>1347</v>
      </c>
      <c r="N698" t="b">
        <v>0</v>
      </c>
    </row>
    <row r="699" spans="1:14">
      <c r="A699">
        <v>40</v>
      </c>
      <c r="B699">
        <v>5</v>
      </c>
      <c r="C699" t="s">
        <v>188</v>
      </c>
      <c r="D699" t="s">
        <v>724</v>
      </c>
      <c r="E699" t="s">
        <v>99</v>
      </c>
      <c r="F699">
        <v>50</v>
      </c>
      <c r="G699" t="s">
        <v>126</v>
      </c>
      <c r="H699" t="s">
        <v>126</v>
      </c>
      <c r="I699" t="s">
        <v>99</v>
      </c>
      <c r="J699" t="s">
        <v>126</v>
      </c>
      <c r="K699" t="s">
        <v>126</v>
      </c>
      <c r="L699" t="s">
        <v>126</v>
      </c>
      <c r="M699" t="s">
        <v>1348</v>
      </c>
      <c r="N699" t="b">
        <v>0</v>
      </c>
    </row>
    <row r="700" spans="1:14">
      <c r="A700">
        <v>40</v>
      </c>
      <c r="B700">
        <v>6</v>
      </c>
      <c r="C700" t="s">
        <v>189</v>
      </c>
      <c r="D700" t="s">
        <v>724</v>
      </c>
      <c r="E700" t="s">
        <v>101</v>
      </c>
      <c r="F700">
        <v>50</v>
      </c>
      <c r="G700" t="s">
        <v>126</v>
      </c>
      <c r="H700" t="s">
        <v>126</v>
      </c>
      <c r="I700" t="s">
        <v>101</v>
      </c>
      <c r="J700" t="s">
        <v>126</v>
      </c>
      <c r="K700" t="s">
        <v>126</v>
      </c>
      <c r="L700" t="s">
        <v>126</v>
      </c>
      <c r="M700" t="s">
        <v>1349</v>
      </c>
      <c r="N700" t="b">
        <v>0</v>
      </c>
    </row>
    <row r="701" spans="1:14">
      <c r="A701">
        <v>40</v>
      </c>
      <c r="B701">
        <v>7</v>
      </c>
      <c r="C701" t="s">
        <v>190</v>
      </c>
      <c r="D701" t="s">
        <v>724</v>
      </c>
      <c r="E701" t="s">
        <v>109</v>
      </c>
      <c r="F701">
        <v>30</v>
      </c>
      <c r="G701" t="s">
        <v>126</v>
      </c>
      <c r="H701" t="s">
        <v>126</v>
      </c>
      <c r="I701" t="s">
        <v>109</v>
      </c>
      <c r="J701" t="s">
        <v>126</v>
      </c>
      <c r="K701" t="s">
        <v>126</v>
      </c>
      <c r="L701" t="s">
        <v>126</v>
      </c>
      <c r="M701" t="s">
        <v>1350</v>
      </c>
      <c r="N701" t="b">
        <v>0</v>
      </c>
    </row>
    <row r="702" spans="1:14">
      <c r="A702">
        <v>40</v>
      </c>
      <c r="B702">
        <v>8</v>
      </c>
      <c r="C702" t="s">
        <v>198</v>
      </c>
      <c r="D702" t="s">
        <v>724</v>
      </c>
      <c r="E702" t="s">
        <v>113</v>
      </c>
      <c r="F702">
        <v>50</v>
      </c>
      <c r="G702" t="s">
        <v>126</v>
      </c>
      <c r="H702" t="s">
        <v>126</v>
      </c>
      <c r="I702" t="s">
        <v>113</v>
      </c>
      <c r="J702" t="s">
        <v>126</v>
      </c>
      <c r="K702" t="s">
        <v>126</v>
      </c>
      <c r="L702" t="s">
        <v>126</v>
      </c>
      <c r="M702" t="s">
        <v>1351</v>
      </c>
      <c r="N702" t="b">
        <v>0</v>
      </c>
    </row>
    <row r="703" spans="1:14">
      <c r="A703">
        <v>40</v>
      </c>
      <c r="B703">
        <v>9</v>
      </c>
      <c r="C703" t="s">
        <v>191</v>
      </c>
      <c r="D703" t="s">
        <v>724</v>
      </c>
      <c r="E703" t="s">
        <v>115</v>
      </c>
      <c r="F703">
        <v>60</v>
      </c>
      <c r="G703" t="s">
        <v>126</v>
      </c>
      <c r="H703" t="s">
        <v>126</v>
      </c>
      <c r="I703" t="s">
        <v>115</v>
      </c>
      <c r="J703" t="s">
        <v>126</v>
      </c>
      <c r="K703" t="s">
        <v>126</v>
      </c>
      <c r="L703" t="s">
        <v>126</v>
      </c>
      <c r="M703" t="s">
        <v>1352</v>
      </c>
      <c r="N703" t="b">
        <v>0</v>
      </c>
    </row>
    <row r="704" spans="1:14">
      <c r="A704">
        <v>40</v>
      </c>
      <c r="B704">
        <v>10</v>
      </c>
      <c r="C704" t="s">
        <v>192</v>
      </c>
      <c r="D704" t="s">
        <v>724</v>
      </c>
      <c r="E704" t="s">
        <v>61</v>
      </c>
      <c r="F704">
        <v>30</v>
      </c>
      <c r="G704" t="s">
        <v>126</v>
      </c>
      <c r="H704" t="s">
        <v>126</v>
      </c>
      <c r="I704" t="s">
        <v>61</v>
      </c>
      <c r="J704" t="s">
        <v>126</v>
      </c>
      <c r="K704" t="s">
        <v>126</v>
      </c>
      <c r="L704" t="s">
        <v>126</v>
      </c>
      <c r="M704" t="s">
        <v>1353</v>
      </c>
      <c r="N704" t="b">
        <v>0</v>
      </c>
    </row>
    <row r="705" spans="1:14">
      <c r="A705">
        <v>40</v>
      </c>
      <c r="B705">
        <v>11</v>
      </c>
      <c r="C705" t="s">
        <v>193</v>
      </c>
      <c r="D705" t="s">
        <v>724</v>
      </c>
      <c r="E705" t="s">
        <v>78</v>
      </c>
      <c r="F705">
        <v>50</v>
      </c>
      <c r="G705" t="s">
        <v>126</v>
      </c>
      <c r="H705" t="s">
        <v>126</v>
      </c>
      <c r="I705" t="s">
        <v>78</v>
      </c>
      <c r="J705" t="s">
        <v>126</v>
      </c>
      <c r="K705" t="s">
        <v>126</v>
      </c>
      <c r="L705" t="s">
        <v>126</v>
      </c>
      <c r="M705" t="s">
        <v>1354</v>
      </c>
      <c r="N705" t="b">
        <v>0</v>
      </c>
    </row>
    <row r="706" spans="1:14">
      <c r="A706">
        <v>40</v>
      </c>
      <c r="B706">
        <v>12</v>
      </c>
      <c r="C706" t="s">
        <v>194</v>
      </c>
      <c r="D706" t="s">
        <v>724</v>
      </c>
      <c r="E706" t="s">
        <v>98</v>
      </c>
      <c r="F706">
        <v>50</v>
      </c>
      <c r="G706" t="s">
        <v>126</v>
      </c>
      <c r="H706" t="s">
        <v>126</v>
      </c>
      <c r="I706" t="s">
        <v>98</v>
      </c>
      <c r="J706" t="s">
        <v>126</v>
      </c>
      <c r="K706" t="s">
        <v>126</v>
      </c>
      <c r="L706" t="s">
        <v>126</v>
      </c>
      <c r="M706" t="s">
        <v>1355</v>
      </c>
      <c r="N706" t="b">
        <v>0</v>
      </c>
    </row>
    <row r="707" spans="1:14">
      <c r="A707">
        <v>40</v>
      </c>
      <c r="B707">
        <v>13</v>
      </c>
      <c r="C707" t="s">
        <v>325</v>
      </c>
      <c r="D707" t="s">
        <v>724</v>
      </c>
      <c r="E707" t="s">
        <v>102</v>
      </c>
      <c r="F707">
        <v>40</v>
      </c>
      <c r="G707" t="s">
        <v>126</v>
      </c>
      <c r="H707" t="s">
        <v>126</v>
      </c>
      <c r="I707" t="s">
        <v>102</v>
      </c>
      <c r="J707" t="s">
        <v>126</v>
      </c>
      <c r="K707" t="s">
        <v>126</v>
      </c>
      <c r="L707" t="s">
        <v>126</v>
      </c>
      <c r="M707" t="s">
        <v>1356</v>
      </c>
      <c r="N707" t="b">
        <v>0</v>
      </c>
    </row>
    <row r="708" spans="1:14">
      <c r="A708">
        <v>40</v>
      </c>
      <c r="B708">
        <v>14</v>
      </c>
      <c r="C708" t="s">
        <v>195</v>
      </c>
      <c r="D708" t="s">
        <v>724</v>
      </c>
      <c r="E708" t="s">
        <v>108</v>
      </c>
      <c r="F708">
        <v>60</v>
      </c>
      <c r="G708" t="s">
        <v>126</v>
      </c>
      <c r="H708" t="s">
        <v>126</v>
      </c>
      <c r="I708" t="s">
        <v>108</v>
      </c>
      <c r="J708" t="s">
        <v>126</v>
      </c>
      <c r="K708" t="s">
        <v>126</v>
      </c>
      <c r="L708" t="s">
        <v>126</v>
      </c>
      <c r="M708" t="s">
        <v>1357</v>
      </c>
      <c r="N708" t="b">
        <v>0</v>
      </c>
    </row>
    <row r="709" spans="1:14">
      <c r="A709">
        <v>40</v>
      </c>
      <c r="B709">
        <v>15</v>
      </c>
      <c r="C709" t="s">
        <v>126</v>
      </c>
      <c r="D709" t="s">
        <v>724</v>
      </c>
      <c r="E709" t="s">
        <v>126</v>
      </c>
      <c r="F709">
        <v>0</v>
      </c>
      <c r="G709" t="s">
        <v>126</v>
      </c>
      <c r="H709" t="s">
        <v>126</v>
      </c>
      <c r="I709" t="s">
        <v>126</v>
      </c>
      <c r="J709" t="s">
        <v>126</v>
      </c>
      <c r="K709" t="s">
        <v>126</v>
      </c>
      <c r="L709" t="s">
        <v>126</v>
      </c>
      <c r="M709" t="s">
        <v>1358</v>
      </c>
      <c r="N709" t="b">
        <v>0</v>
      </c>
    </row>
    <row r="710" spans="1:14">
      <c r="A710">
        <v>40</v>
      </c>
      <c r="B710">
        <v>16</v>
      </c>
      <c r="C710" t="s">
        <v>126</v>
      </c>
      <c r="D710" t="s">
        <v>741</v>
      </c>
      <c r="E710" t="s">
        <v>126</v>
      </c>
      <c r="F710">
        <v>0</v>
      </c>
      <c r="G710" t="s">
        <v>126</v>
      </c>
      <c r="H710" t="s">
        <v>126</v>
      </c>
      <c r="I710" t="s">
        <v>126</v>
      </c>
      <c r="J710" t="s">
        <v>126</v>
      </c>
      <c r="K710" t="s">
        <v>126</v>
      </c>
      <c r="L710" t="s">
        <v>126</v>
      </c>
      <c r="M710" t="s">
        <v>1359</v>
      </c>
      <c r="N710" t="b">
        <v>0</v>
      </c>
    </row>
    <row r="711" spans="1:14">
      <c r="A711">
        <v>40</v>
      </c>
      <c r="B711">
        <v>17</v>
      </c>
      <c r="C711" t="s">
        <v>126</v>
      </c>
      <c r="D711" t="s">
        <v>741</v>
      </c>
      <c r="E711" t="s">
        <v>126</v>
      </c>
      <c r="F711">
        <v>0</v>
      </c>
      <c r="G711" t="s">
        <v>126</v>
      </c>
      <c r="H711" t="s">
        <v>126</v>
      </c>
      <c r="I711" t="s">
        <v>126</v>
      </c>
      <c r="J711" t="s">
        <v>126</v>
      </c>
      <c r="K711" t="s">
        <v>126</v>
      </c>
      <c r="L711" t="s">
        <v>126</v>
      </c>
      <c r="M711" t="s">
        <v>720</v>
      </c>
      <c r="N711" t="b">
        <v>0</v>
      </c>
    </row>
    <row r="712" spans="1:14">
      <c r="A712">
        <v>40</v>
      </c>
      <c r="B712">
        <v>18</v>
      </c>
      <c r="C712" t="s">
        <v>126</v>
      </c>
      <c r="D712" t="s">
        <v>741</v>
      </c>
      <c r="E712" t="s">
        <v>126</v>
      </c>
      <c r="F712">
        <v>0</v>
      </c>
      <c r="G712" t="s">
        <v>126</v>
      </c>
      <c r="H712" t="s">
        <v>126</v>
      </c>
      <c r="I712" t="s">
        <v>126</v>
      </c>
      <c r="J712" t="s">
        <v>126</v>
      </c>
      <c r="K712" t="s">
        <v>126</v>
      </c>
      <c r="L712" t="s">
        <v>126</v>
      </c>
      <c r="M712" t="s">
        <v>1360</v>
      </c>
      <c r="N712" t="b">
        <v>0</v>
      </c>
    </row>
    <row r="713" spans="1:14">
      <c r="A713">
        <v>40</v>
      </c>
      <c r="B713">
        <v>19</v>
      </c>
      <c r="C713" t="s">
        <v>126</v>
      </c>
      <c r="D713" t="s">
        <v>741</v>
      </c>
      <c r="E713" t="s">
        <v>126</v>
      </c>
      <c r="F713">
        <v>0</v>
      </c>
      <c r="G713" t="s">
        <v>126</v>
      </c>
      <c r="H713" t="s">
        <v>126</v>
      </c>
      <c r="I713" t="s">
        <v>126</v>
      </c>
      <c r="J713" t="s">
        <v>126</v>
      </c>
      <c r="K713" t="s">
        <v>126</v>
      </c>
      <c r="L713" t="s">
        <v>126</v>
      </c>
      <c r="M713" t="s">
        <v>1361</v>
      </c>
      <c r="N713" t="b">
        <v>0</v>
      </c>
    </row>
    <row r="714" spans="1:14">
      <c r="A714">
        <v>40</v>
      </c>
      <c r="B714">
        <v>20</v>
      </c>
      <c r="C714" t="s">
        <v>126</v>
      </c>
      <c r="D714" t="s">
        <v>741</v>
      </c>
      <c r="E714" t="s">
        <v>126</v>
      </c>
      <c r="F714">
        <v>0</v>
      </c>
      <c r="G714" t="s">
        <v>126</v>
      </c>
      <c r="H714" t="s">
        <v>126</v>
      </c>
      <c r="I714" t="s">
        <v>126</v>
      </c>
      <c r="J714" t="s">
        <v>126</v>
      </c>
      <c r="K714" t="s">
        <v>126</v>
      </c>
      <c r="L714" t="s">
        <v>126</v>
      </c>
      <c r="M714" t="s">
        <v>1362</v>
      </c>
      <c r="N714" t="b">
        <v>0</v>
      </c>
    </row>
    <row r="715" spans="1:14">
      <c r="A715">
        <v>40</v>
      </c>
      <c r="B715">
        <v>21</v>
      </c>
      <c r="C715" t="s">
        <v>126</v>
      </c>
      <c r="D715" t="s">
        <v>741</v>
      </c>
      <c r="E715" t="s">
        <v>126</v>
      </c>
      <c r="F715">
        <v>0</v>
      </c>
      <c r="G715" t="s">
        <v>126</v>
      </c>
      <c r="H715" t="s">
        <v>126</v>
      </c>
      <c r="I715" t="s">
        <v>126</v>
      </c>
      <c r="J715" t="s">
        <v>126</v>
      </c>
      <c r="K715" t="s">
        <v>126</v>
      </c>
      <c r="L715" t="s">
        <v>126</v>
      </c>
      <c r="M715" t="s">
        <v>1363</v>
      </c>
      <c r="N715" t="b">
        <v>0</v>
      </c>
    </row>
    <row r="716" spans="1:14">
      <c r="A716">
        <v>40</v>
      </c>
      <c r="B716">
        <v>22</v>
      </c>
      <c r="C716" t="s">
        <v>126</v>
      </c>
      <c r="D716" t="s">
        <v>741</v>
      </c>
      <c r="E716" t="s">
        <v>126</v>
      </c>
      <c r="F716">
        <v>0</v>
      </c>
      <c r="G716" t="s">
        <v>126</v>
      </c>
      <c r="H716" t="s">
        <v>126</v>
      </c>
      <c r="I716" t="s">
        <v>126</v>
      </c>
      <c r="J716" t="s">
        <v>126</v>
      </c>
      <c r="K716" t="s">
        <v>126</v>
      </c>
      <c r="L716" t="s">
        <v>126</v>
      </c>
      <c r="M716" t="s">
        <v>1364</v>
      </c>
      <c r="N716" t="b">
        <v>0</v>
      </c>
    </row>
    <row r="717" spans="1:14">
      <c r="A717">
        <v>40</v>
      </c>
      <c r="B717">
        <v>23</v>
      </c>
      <c r="C717" t="s">
        <v>126</v>
      </c>
      <c r="D717" t="s">
        <v>741</v>
      </c>
      <c r="E717" t="s">
        <v>126</v>
      </c>
      <c r="F717">
        <v>0</v>
      </c>
      <c r="G717" t="s">
        <v>126</v>
      </c>
      <c r="H717" t="s">
        <v>126</v>
      </c>
      <c r="I717" t="s">
        <v>126</v>
      </c>
      <c r="J717" t="s">
        <v>126</v>
      </c>
      <c r="K717" t="s">
        <v>126</v>
      </c>
      <c r="L717" t="s">
        <v>126</v>
      </c>
      <c r="M717" t="s">
        <v>1365</v>
      </c>
      <c r="N717" t="b">
        <v>0</v>
      </c>
    </row>
    <row r="718" spans="1:14">
      <c r="A718">
        <v>40</v>
      </c>
      <c r="B718">
        <v>24</v>
      </c>
      <c r="C718" t="s">
        <v>126</v>
      </c>
      <c r="D718" t="s">
        <v>741</v>
      </c>
      <c r="E718" t="s">
        <v>126</v>
      </c>
      <c r="F718">
        <v>0</v>
      </c>
      <c r="G718" t="s">
        <v>126</v>
      </c>
      <c r="H718" t="s">
        <v>126</v>
      </c>
      <c r="I718" t="s">
        <v>126</v>
      </c>
      <c r="J718" t="s">
        <v>126</v>
      </c>
      <c r="K718" t="s">
        <v>126</v>
      </c>
      <c r="L718" t="s">
        <v>126</v>
      </c>
      <c r="M718" t="s">
        <v>1366</v>
      </c>
      <c r="N718" t="b">
        <v>0</v>
      </c>
    </row>
    <row r="719" spans="1:14">
      <c r="A719">
        <v>40</v>
      </c>
      <c r="B719">
        <v>25</v>
      </c>
      <c r="C719" t="s">
        <v>126</v>
      </c>
      <c r="D719" t="s">
        <v>741</v>
      </c>
      <c r="E719" t="s">
        <v>126</v>
      </c>
      <c r="F719">
        <v>0</v>
      </c>
      <c r="G719" t="s">
        <v>126</v>
      </c>
      <c r="H719" t="s">
        <v>126</v>
      </c>
      <c r="I719" t="s">
        <v>126</v>
      </c>
      <c r="J719" t="s">
        <v>126</v>
      </c>
      <c r="K719" t="s">
        <v>126</v>
      </c>
      <c r="L719" t="s">
        <v>126</v>
      </c>
      <c r="M719" t="s">
        <v>1367</v>
      </c>
      <c r="N719" t="b">
        <v>0</v>
      </c>
    </row>
    <row r="720" spans="1:14">
      <c r="A720">
        <v>40</v>
      </c>
      <c r="B720">
        <v>26</v>
      </c>
      <c r="C720" t="s">
        <v>126</v>
      </c>
      <c r="D720" t="s">
        <v>741</v>
      </c>
      <c r="E720" t="s">
        <v>126</v>
      </c>
      <c r="F720">
        <v>0</v>
      </c>
      <c r="G720" t="s">
        <v>126</v>
      </c>
      <c r="H720" t="s">
        <v>126</v>
      </c>
      <c r="I720" t="s">
        <v>126</v>
      </c>
      <c r="J720" t="s">
        <v>126</v>
      </c>
      <c r="K720" t="s">
        <v>126</v>
      </c>
      <c r="L720" t="s">
        <v>126</v>
      </c>
      <c r="M720" t="s">
        <v>1368</v>
      </c>
      <c r="N720" t="b">
        <v>0</v>
      </c>
    </row>
    <row r="721" spans="1:14">
      <c r="A721">
        <v>43</v>
      </c>
      <c r="B721">
        <v>0</v>
      </c>
      <c r="C721" t="s">
        <v>186</v>
      </c>
      <c r="D721" t="s">
        <v>724</v>
      </c>
      <c r="E721" t="s">
        <v>65</v>
      </c>
      <c r="F721">
        <v>50</v>
      </c>
      <c r="G721" t="s">
        <v>126</v>
      </c>
      <c r="H721" t="s">
        <v>126</v>
      </c>
      <c r="I721" t="s">
        <v>65</v>
      </c>
      <c r="J721" t="s">
        <v>126</v>
      </c>
      <c r="K721" t="s">
        <v>126</v>
      </c>
      <c r="L721" t="s">
        <v>126</v>
      </c>
      <c r="M721" t="s">
        <v>1369</v>
      </c>
      <c r="N721" t="b">
        <v>0</v>
      </c>
    </row>
    <row r="722" spans="1:14">
      <c r="A722">
        <v>43</v>
      </c>
      <c r="B722">
        <v>1</v>
      </c>
      <c r="C722" t="s">
        <v>217</v>
      </c>
      <c r="D722" t="s">
        <v>724</v>
      </c>
      <c r="E722" t="s">
        <v>77</v>
      </c>
      <c r="F722">
        <v>60</v>
      </c>
      <c r="G722" t="s">
        <v>126</v>
      </c>
      <c r="H722" t="s">
        <v>126</v>
      </c>
      <c r="I722" t="s">
        <v>77</v>
      </c>
      <c r="J722" t="s">
        <v>126</v>
      </c>
      <c r="K722" t="s">
        <v>126</v>
      </c>
      <c r="L722" t="s">
        <v>126</v>
      </c>
      <c r="M722" t="s">
        <v>1370</v>
      </c>
      <c r="N722" t="b">
        <v>0</v>
      </c>
    </row>
    <row r="723" spans="1:14">
      <c r="A723">
        <v>43</v>
      </c>
      <c r="B723">
        <v>2</v>
      </c>
      <c r="C723" t="s">
        <v>268</v>
      </c>
      <c r="D723" t="s">
        <v>724</v>
      </c>
      <c r="E723" t="s">
        <v>83</v>
      </c>
      <c r="F723">
        <v>30</v>
      </c>
      <c r="G723" t="s">
        <v>126</v>
      </c>
      <c r="H723" t="s">
        <v>126</v>
      </c>
      <c r="I723" t="s">
        <v>83</v>
      </c>
      <c r="J723" t="s">
        <v>126</v>
      </c>
      <c r="K723" t="s">
        <v>126</v>
      </c>
      <c r="L723" t="s">
        <v>126</v>
      </c>
      <c r="M723" t="s">
        <v>1371</v>
      </c>
      <c r="N723" t="b">
        <v>0</v>
      </c>
    </row>
    <row r="724" spans="1:14">
      <c r="A724">
        <v>43</v>
      </c>
      <c r="B724">
        <v>3</v>
      </c>
      <c r="C724" t="s">
        <v>251</v>
      </c>
      <c r="D724" t="s">
        <v>724</v>
      </c>
      <c r="E724" t="s">
        <v>99</v>
      </c>
      <c r="F724">
        <v>40</v>
      </c>
      <c r="G724" t="s">
        <v>126</v>
      </c>
      <c r="H724" t="s">
        <v>126</v>
      </c>
      <c r="I724" t="s">
        <v>99</v>
      </c>
      <c r="J724" t="s">
        <v>126</v>
      </c>
      <c r="K724" t="s">
        <v>126</v>
      </c>
      <c r="L724" t="s">
        <v>126</v>
      </c>
      <c r="M724" t="s">
        <v>1372</v>
      </c>
      <c r="N724" t="b">
        <v>0</v>
      </c>
    </row>
    <row r="725" spans="1:14">
      <c r="A725">
        <v>43</v>
      </c>
      <c r="B725">
        <v>4</v>
      </c>
      <c r="C725" t="s">
        <v>229</v>
      </c>
      <c r="D725" t="s">
        <v>724</v>
      </c>
      <c r="E725" t="s">
        <v>101</v>
      </c>
      <c r="F725">
        <v>40</v>
      </c>
      <c r="G725" t="s">
        <v>126</v>
      </c>
      <c r="H725" t="s">
        <v>126</v>
      </c>
      <c r="I725" t="s">
        <v>101</v>
      </c>
      <c r="J725" t="s">
        <v>126</v>
      </c>
      <c r="K725" t="s">
        <v>126</v>
      </c>
      <c r="L725" t="s">
        <v>126</v>
      </c>
      <c r="M725" t="s">
        <v>1373</v>
      </c>
      <c r="N725" t="b">
        <v>0</v>
      </c>
    </row>
    <row r="726" spans="1:14">
      <c r="A726">
        <v>43</v>
      </c>
      <c r="B726">
        <v>5</v>
      </c>
      <c r="C726" t="s">
        <v>275</v>
      </c>
      <c r="D726" t="s">
        <v>724</v>
      </c>
      <c r="E726" t="s">
        <v>103</v>
      </c>
      <c r="F726">
        <v>30</v>
      </c>
      <c r="G726" t="s">
        <v>126</v>
      </c>
      <c r="H726" t="s">
        <v>126</v>
      </c>
      <c r="I726" t="s">
        <v>103</v>
      </c>
      <c r="J726" t="s">
        <v>126</v>
      </c>
      <c r="K726" t="s">
        <v>126</v>
      </c>
      <c r="L726" t="s">
        <v>126</v>
      </c>
      <c r="M726" t="s">
        <v>1374</v>
      </c>
      <c r="N726" t="b">
        <v>0</v>
      </c>
    </row>
    <row r="727" spans="1:14">
      <c r="A727">
        <v>43</v>
      </c>
      <c r="B727">
        <v>6</v>
      </c>
      <c r="C727" t="s">
        <v>288</v>
      </c>
      <c r="D727" t="s">
        <v>724</v>
      </c>
      <c r="E727" t="s">
        <v>331</v>
      </c>
      <c r="F727">
        <v>40</v>
      </c>
      <c r="G727" t="s">
        <v>126</v>
      </c>
      <c r="H727" t="s">
        <v>548</v>
      </c>
      <c r="I727" t="s">
        <v>445</v>
      </c>
      <c r="J727" t="s">
        <v>126</v>
      </c>
      <c r="K727" t="s">
        <v>921</v>
      </c>
      <c r="L727" t="s">
        <v>922</v>
      </c>
      <c r="M727" t="s">
        <v>1375</v>
      </c>
      <c r="N727" t="b">
        <v>0</v>
      </c>
    </row>
    <row r="728" spans="1:14">
      <c r="A728">
        <v>43</v>
      </c>
      <c r="B728">
        <v>7</v>
      </c>
      <c r="C728" t="s">
        <v>167</v>
      </c>
      <c r="D728" t="s">
        <v>724</v>
      </c>
      <c r="E728" t="s">
        <v>74</v>
      </c>
      <c r="F728">
        <v>50</v>
      </c>
      <c r="G728" t="s">
        <v>126</v>
      </c>
      <c r="H728" t="s">
        <v>126</v>
      </c>
      <c r="I728" t="s">
        <v>74</v>
      </c>
      <c r="J728" t="s">
        <v>126</v>
      </c>
      <c r="K728" t="s">
        <v>126</v>
      </c>
      <c r="L728" t="s">
        <v>126</v>
      </c>
      <c r="M728" t="s">
        <v>1376</v>
      </c>
      <c r="N728" t="b">
        <v>0</v>
      </c>
    </row>
    <row r="729" spans="1:14">
      <c r="A729">
        <v>43</v>
      </c>
      <c r="B729">
        <v>8</v>
      </c>
      <c r="C729" t="s">
        <v>289</v>
      </c>
      <c r="D729" t="s">
        <v>724</v>
      </c>
      <c r="E729" t="s">
        <v>78</v>
      </c>
      <c r="F729">
        <v>30</v>
      </c>
      <c r="G729" t="s">
        <v>126</v>
      </c>
      <c r="H729" t="s">
        <v>126</v>
      </c>
      <c r="I729" t="s">
        <v>78</v>
      </c>
      <c r="J729" t="s">
        <v>126</v>
      </c>
      <c r="K729" t="s">
        <v>126</v>
      </c>
      <c r="L729" t="s">
        <v>126</v>
      </c>
      <c r="M729" t="s">
        <v>1377</v>
      </c>
      <c r="N729" t="b">
        <v>0</v>
      </c>
    </row>
    <row r="730" spans="1:14">
      <c r="A730">
        <v>43</v>
      </c>
      <c r="B730">
        <v>9</v>
      </c>
      <c r="C730" t="s">
        <v>170</v>
      </c>
      <c r="D730" t="s">
        <v>724</v>
      </c>
      <c r="E730" t="s">
        <v>106</v>
      </c>
      <c r="F730">
        <v>50</v>
      </c>
      <c r="G730" t="s">
        <v>126</v>
      </c>
      <c r="H730" t="s">
        <v>126</v>
      </c>
      <c r="I730" t="s">
        <v>106</v>
      </c>
      <c r="J730" t="s">
        <v>126</v>
      </c>
      <c r="K730" t="s">
        <v>126</v>
      </c>
      <c r="L730" t="s">
        <v>126</v>
      </c>
      <c r="M730" t="s">
        <v>1378</v>
      </c>
      <c r="N730" t="b">
        <v>0</v>
      </c>
    </row>
    <row r="731" spans="1:14">
      <c r="A731">
        <v>43</v>
      </c>
      <c r="B731">
        <v>10</v>
      </c>
      <c r="C731" t="s">
        <v>232</v>
      </c>
      <c r="D731" t="s">
        <v>724</v>
      </c>
      <c r="E731" t="s">
        <v>108</v>
      </c>
      <c r="F731">
        <v>50</v>
      </c>
      <c r="G731" t="s">
        <v>126</v>
      </c>
      <c r="H731" t="s">
        <v>126</v>
      </c>
      <c r="I731" t="s">
        <v>108</v>
      </c>
      <c r="J731" t="s">
        <v>126</v>
      </c>
      <c r="K731" t="s">
        <v>126</v>
      </c>
      <c r="L731" t="s">
        <v>126</v>
      </c>
      <c r="M731" t="s">
        <v>1379</v>
      </c>
      <c r="N731" t="b">
        <v>0</v>
      </c>
    </row>
    <row r="732" spans="1:14">
      <c r="A732">
        <v>43</v>
      </c>
      <c r="B732">
        <v>11</v>
      </c>
      <c r="C732" t="s">
        <v>126</v>
      </c>
      <c r="D732" t="s">
        <v>724</v>
      </c>
      <c r="E732" t="s">
        <v>126</v>
      </c>
      <c r="F732">
        <v>0</v>
      </c>
      <c r="G732" t="s">
        <v>126</v>
      </c>
      <c r="H732" t="s">
        <v>126</v>
      </c>
      <c r="I732" t="s">
        <v>126</v>
      </c>
      <c r="J732" t="s">
        <v>126</v>
      </c>
      <c r="K732" t="s">
        <v>126</v>
      </c>
      <c r="L732" t="s">
        <v>126</v>
      </c>
      <c r="M732" t="s">
        <v>1380</v>
      </c>
      <c r="N732" t="b">
        <v>0</v>
      </c>
    </row>
    <row r="733" spans="1:14">
      <c r="A733">
        <v>43</v>
      </c>
      <c r="B733">
        <v>12</v>
      </c>
      <c r="C733" t="s">
        <v>126</v>
      </c>
      <c r="D733" t="s">
        <v>724</v>
      </c>
      <c r="E733" t="s">
        <v>126</v>
      </c>
      <c r="F733">
        <v>0</v>
      </c>
      <c r="G733" t="s">
        <v>126</v>
      </c>
      <c r="H733" t="s">
        <v>126</v>
      </c>
      <c r="I733" t="s">
        <v>126</v>
      </c>
      <c r="J733" t="s">
        <v>126</v>
      </c>
      <c r="K733" t="s">
        <v>126</v>
      </c>
      <c r="L733" t="s">
        <v>126</v>
      </c>
      <c r="M733" t="s">
        <v>1381</v>
      </c>
      <c r="N733" t="b">
        <v>0</v>
      </c>
    </row>
    <row r="734" spans="1:14">
      <c r="A734">
        <v>43</v>
      </c>
      <c r="B734">
        <v>13</v>
      </c>
      <c r="C734" t="s">
        <v>126</v>
      </c>
      <c r="D734" t="s">
        <v>724</v>
      </c>
      <c r="E734" t="s">
        <v>126</v>
      </c>
      <c r="F734">
        <v>0</v>
      </c>
      <c r="G734" t="s">
        <v>126</v>
      </c>
      <c r="H734" t="s">
        <v>126</v>
      </c>
      <c r="I734" t="s">
        <v>126</v>
      </c>
      <c r="J734" t="s">
        <v>126</v>
      </c>
      <c r="K734" t="s">
        <v>126</v>
      </c>
      <c r="L734" t="s">
        <v>126</v>
      </c>
      <c r="M734" t="s">
        <v>1382</v>
      </c>
      <c r="N734" t="b">
        <v>0</v>
      </c>
    </row>
    <row r="735" spans="1:14">
      <c r="A735">
        <v>43</v>
      </c>
      <c r="B735">
        <v>14</v>
      </c>
      <c r="C735" t="s">
        <v>126</v>
      </c>
      <c r="D735" t="s">
        <v>724</v>
      </c>
      <c r="E735" t="s">
        <v>126</v>
      </c>
      <c r="F735">
        <v>0</v>
      </c>
      <c r="G735" t="s">
        <v>126</v>
      </c>
      <c r="H735" t="s">
        <v>126</v>
      </c>
      <c r="I735" t="s">
        <v>126</v>
      </c>
      <c r="J735" t="s">
        <v>126</v>
      </c>
      <c r="K735" t="s">
        <v>126</v>
      </c>
      <c r="L735" t="s">
        <v>126</v>
      </c>
      <c r="M735" t="s">
        <v>1383</v>
      </c>
      <c r="N735" t="b">
        <v>0</v>
      </c>
    </row>
    <row r="736" spans="1:14">
      <c r="A736">
        <v>43</v>
      </c>
      <c r="B736">
        <v>15</v>
      </c>
      <c r="C736" t="s">
        <v>126</v>
      </c>
      <c r="D736" t="s">
        <v>724</v>
      </c>
      <c r="E736" t="s">
        <v>126</v>
      </c>
      <c r="F736">
        <v>0</v>
      </c>
      <c r="G736" t="s">
        <v>126</v>
      </c>
      <c r="H736" t="s">
        <v>126</v>
      </c>
      <c r="I736" t="s">
        <v>126</v>
      </c>
      <c r="J736" t="s">
        <v>126</v>
      </c>
      <c r="K736" t="s">
        <v>126</v>
      </c>
      <c r="L736" t="s">
        <v>126</v>
      </c>
      <c r="M736" t="s">
        <v>1384</v>
      </c>
      <c r="N736" t="b">
        <v>0</v>
      </c>
    </row>
    <row r="737" spans="1:14">
      <c r="A737">
        <v>43</v>
      </c>
      <c r="B737">
        <v>16</v>
      </c>
      <c r="C737" t="s">
        <v>210</v>
      </c>
      <c r="D737" t="s">
        <v>741</v>
      </c>
      <c r="E737" t="s">
        <v>87</v>
      </c>
      <c r="F737">
        <v>40</v>
      </c>
      <c r="G737" t="s">
        <v>126</v>
      </c>
      <c r="H737" t="s">
        <v>126</v>
      </c>
      <c r="I737" t="s">
        <v>87</v>
      </c>
      <c r="J737" t="s">
        <v>126</v>
      </c>
      <c r="K737" t="s">
        <v>126</v>
      </c>
      <c r="L737" t="s">
        <v>126</v>
      </c>
      <c r="M737" t="s">
        <v>1385</v>
      </c>
      <c r="N737" t="b">
        <v>0</v>
      </c>
    </row>
    <row r="738" spans="1:14">
      <c r="A738">
        <v>43</v>
      </c>
      <c r="B738">
        <v>17</v>
      </c>
      <c r="C738" t="s">
        <v>180</v>
      </c>
      <c r="D738" t="s">
        <v>741</v>
      </c>
      <c r="E738" t="s">
        <v>544</v>
      </c>
      <c r="F738">
        <v>40</v>
      </c>
      <c r="G738" t="s">
        <v>760</v>
      </c>
      <c r="H738" t="s">
        <v>126</v>
      </c>
      <c r="I738" t="s">
        <v>126</v>
      </c>
      <c r="J738" t="s">
        <v>817</v>
      </c>
      <c r="K738" t="s">
        <v>792</v>
      </c>
      <c r="L738" t="s">
        <v>793</v>
      </c>
      <c r="M738" t="s">
        <v>723</v>
      </c>
      <c r="N738" t="b">
        <v>0</v>
      </c>
    </row>
    <row r="739" spans="1:14">
      <c r="A739">
        <v>43</v>
      </c>
      <c r="B739">
        <v>18</v>
      </c>
      <c r="C739" t="s">
        <v>218</v>
      </c>
      <c r="D739" t="s">
        <v>741</v>
      </c>
      <c r="E739" t="s">
        <v>95</v>
      </c>
      <c r="F739">
        <v>40</v>
      </c>
      <c r="G739" t="s">
        <v>126</v>
      </c>
      <c r="H739" t="s">
        <v>126</v>
      </c>
      <c r="I739" t="s">
        <v>95</v>
      </c>
      <c r="J739" t="s">
        <v>126</v>
      </c>
      <c r="K739" t="s">
        <v>126</v>
      </c>
      <c r="L739" t="s">
        <v>126</v>
      </c>
      <c r="M739" t="s">
        <v>1386</v>
      </c>
      <c r="N739" t="b">
        <v>0</v>
      </c>
    </row>
    <row r="740" spans="1:14">
      <c r="A740">
        <v>43</v>
      </c>
      <c r="B740">
        <v>19</v>
      </c>
      <c r="C740" t="s">
        <v>160</v>
      </c>
      <c r="D740" t="s">
        <v>741</v>
      </c>
      <c r="E740" t="s">
        <v>297</v>
      </c>
      <c r="F740">
        <v>40</v>
      </c>
      <c r="G740" t="s">
        <v>760</v>
      </c>
      <c r="H740" t="s">
        <v>126</v>
      </c>
      <c r="I740" t="s">
        <v>126</v>
      </c>
      <c r="J740" t="s">
        <v>761</v>
      </c>
      <c r="K740" t="s">
        <v>762</v>
      </c>
      <c r="L740" t="s">
        <v>763</v>
      </c>
      <c r="M740" t="s">
        <v>1387</v>
      </c>
      <c r="N740" t="b">
        <v>0</v>
      </c>
    </row>
    <row r="741" spans="1:14">
      <c r="A741">
        <v>43</v>
      </c>
      <c r="B741">
        <v>20</v>
      </c>
      <c r="C741" t="s">
        <v>181</v>
      </c>
      <c r="D741" t="s">
        <v>741</v>
      </c>
      <c r="E741" t="s">
        <v>112</v>
      </c>
      <c r="F741">
        <v>50</v>
      </c>
      <c r="G741" t="s">
        <v>126</v>
      </c>
      <c r="H741" t="s">
        <v>126</v>
      </c>
      <c r="I741" t="s">
        <v>112</v>
      </c>
      <c r="J741" t="s">
        <v>126</v>
      </c>
      <c r="K741" t="s">
        <v>126</v>
      </c>
      <c r="L741" t="s">
        <v>126</v>
      </c>
      <c r="M741" t="s">
        <v>1388</v>
      </c>
      <c r="N741" t="b">
        <v>0</v>
      </c>
    </row>
    <row r="742" spans="1:14">
      <c r="A742">
        <v>43</v>
      </c>
      <c r="B742">
        <v>21</v>
      </c>
      <c r="C742" t="s">
        <v>291</v>
      </c>
      <c r="D742" t="s">
        <v>741</v>
      </c>
      <c r="E742" t="s">
        <v>113</v>
      </c>
      <c r="F742">
        <v>40</v>
      </c>
      <c r="G742" t="s">
        <v>126</v>
      </c>
      <c r="H742" t="s">
        <v>126</v>
      </c>
      <c r="I742" t="s">
        <v>113</v>
      </c>
      <c r="J742" t="s">
        <v>126</v>
      </c>
      <c r="K742" t="s">
        <v>126</v>
      </c>
      <c r="L742" t="s">
        <v>126</v>
      </c>
      <c r="M742" t="s">
        <v>1389</v>
      </c>
      <c r="N742" t="b">
        <v>0</v>
      </c>
    </row>
    <row r="743" spans="1:14">
      <c r="A743">
        <v>43</v>
      </c>
      <c r="B743">
        <v>22</v>
      </c>
      <c r="C743" t="s">
        <v>169</v>
      </c>
      <c r="D743" t="s">
        <v>741</v>
      </c>
      <c r="E743" t="s">
        <v>98</v>
      </c>
      <c r="F743">
        <v>60</v>
      </c>
      <c r="G743" t="s">
        <v>126</v>
      </c>
      <c r="H743" t="s">
        <v>126</v>
      </c>
      <c r="I743" t="s">
        <v>98</v>
      </c>
      <c r="J743" t="s">
        <v>126</v>
      </c>
      <c r="K743" t="s">
        <v>126</v>
      </c>
      <c r="L743" t="s">
        <v>126</v>
      </c>
      <c r="M743" t="s">
        <v>1390</v>
      </c>
      <c r="N743" t="b">
        <v>0</v>
      </c>
    </row>
    <row r="744" spans="1:14">
      <c r="A744">
        <v>43</v>
      </c>
      <c r="B744">
        <v>23</v>
      </c>
      <c r="C744" t="s">
        <v>177</v>
      </c>
      <c r="D744" t="s">
        <v>741</v>
      </c>
      <c r="E744" t="s">
        <v>100</v>
      </c>
      <c r="F744">
        <v>40</v>
      </c>
      <c r="G744" t="s">
        <v>126</v>
      </c>
      <c r="H744" t="s">
        <v>126</v>
      </c>
      <c r="I744" t="s">
        <v>100</v>
      </c>
      <c r="J744" t="s">
        <v>126</v>
      </c>
      <c r="K744" t="s">
        <v>126</v>
      </c>
      <c r="L744" t="s">
        <v>126</v>
      </c>
      <c r="M744" t="s">
        <v>1391</v>
      </c>
      <c r="N744" t="b">
        <v>0</v>
      </c>
    </row>
    <row r="745" spans="1:14">
      <c r="A745">
        <v>43</v>
      </c>
      <c r="B745">
        <v>24</v>
      </c>
      <c r="C745" t="s">
        <v>292</v>
      </c>
      <c r="D745" t="s">
        <v>741</v>
      </c>
      <c r="E745" t="s">
        <v>107</v>
      </c>
      <c r="F745">
        <v>60</v>
      </c>
      <c r="G745" t="s">
        <v>126</v>
      </c>
      <c r="H745" t="s">
        <v>126</v>
      </c>
      <c r="I745" t="s">
        <v>107</v>
      </c>
      <c r="J745" t="s">
        <v>126</v>
      </c>
      <c r="K745" t="s">
        <v>126</v>
      </c>
      <c r="L745" t="s">
        <v>126</v>
      </c>
      <c r="M745" t="s">
        <v>1392</v>
      </c>
      <c r="N745" t="b">
        <v>0</v>
      </c>
    </row>
    <row r="746" spans="1:14">
      <c r="A746">
        <v>43</v>
      </c>
      <c r="B746">
        <v>25</v>
      </c>
      <c r="C746" t="s">
        <v>126</v>
      </c>
      <c r="D746" t="s">
        <v>741</v>
      </c>
      <c r="E746" t="s">
        <v>126</v>
      </c>
      <c r="F746">
        <v>0</v>
      </c>
      <c r="G746" t="s">
        <v>126</v>
      </c>
      <c r="H746" t="s">
        <v>126</v>
      </c>
      <c r="I746" t="s">
        <v>126</v>
      </c>
      <c r="J746" t="s">
        <v>126</v>
      </c>
      <c r="K746" t="s">
        <v>126</v>
      </c>
      <c r="L746" t="s">
        <v>126</v>
      </c>
      <c r="M746" t="s">
        <v>1393</v>
      </c>
      <c r="N746" t="b">
        <v>0</v>
      </c>
    </row>
    <row r="747" spans="1:14">
      <c r="A747">
        <v>43</v>
      </c>
      <c r="B747">
        <v>26</v>
      </c>
      <c r="C747" t="s">
        <v>126</v>
      </c>
      <c r="D747" t="s">
        <v>741</v>
      </c>
      <c r="E747" t="s">
        <v>126</v>
      </c>
      <c r="F747">
        <v>0</v>
      </c>
      <c r="G747" t="s">
        <v>126</v>
      </c>
      <c r="H747" t="s">
        <v>126</v>
      </c>
      <c r="I747" t="s">
        <v>126</v>
      </c>
      <c r="J747" t="s">
        <v>126</v>
      </c>
      <c r="K747" t="s">
        <v>126</v>
      </c>
      <c r="L747" t="s">
        <v>126</v>
      </c>
      <c r="M747" t="s">
        <v>1394</v>
      </c>
      <c r="N747" t="b">
        <v>0</v>
      </c>
    </row>
    <row r="748" spans="1:14">
      <c r="A748">
        <v>44</v>
      </c>
      <c r="B748">
        <v>0</v>
      </c>
      <c r="C748" t="s">
        <v>186</v>
      </c>
      <c r="D748" t="s">
        <v>724</v>
      </c>
      <c r="E748" t="s">
        <v>65</v>
      </c>
      <c r="F748">
        <v>50</v>
      </c>
      <c r="G748" t="s">
        <v>126</v>
      </c>
      <c r="H748" t="s">
        <v>126</v>
      </c>
      <c r="I748" t="s">
        <v>65</v>
      </c>
      <c r="J748" t="s">
        <v>126</v>
      </c>
      <c r="K748" t="s">
        <v>126</v>
      </c>
      <c r="L748" t="s">
        <v>126</v>
      </c>
      <c r="M748" t="s">
        <v>1395</v>
      </c>
      <c r="N748" t="b">
        <v>0</v>
      </c>
    </row>
    <row r="749" spans="1:14">
      <c r="A749">
        <v>44</v>
      </c>
      <c r="B749">
        <v>1</v>
      </c>
      <c r="C749" t="s">
        <v>226</v>
      </c>
      <c r="D749" t="s">
        <v>724</v>
      </c>
      <c r="E749" t="s">
        <v>77</v>
      </c>
      <c r="F749">
        <v>50</v>
      </c>
      <c r="G749" t="s">
        <v>126</v>
      </c>
      <c r="H749" t="s">
        <v>126</v>
      </c>
      <c r="I749" t="s">
        <v>77</v>
      </c>
      <c r="J749" t="s">
        <v>126</v>
      </c>
      <c r="K749" t="s">
        <v>126</v>
      </c>
      <c r="L749" t="s">
        <v>126</v>
      </c>
      <c r="M749" t="s">
        <v>1396</v>
      </c>
      <c r="N749" t="b">
        <v>0</v>
      </c>
    </row>
    <row r="750" spans="1:14">
      <c r="A750">
        <v>44</v>
      </c>
      <c r="B750">
        <v>2</v>
      </c>
      <c r="C750" t="s">
        <v>268</v>
      </c>
      <c r="D750" t="s">
        <v>724</v>
      </c>
      <c r="E750" t="s">
        <v>83</v>
      </c>
      <c r="F750">
        <v>30</v>
      </c>
      <c r="G750" t="s">
        <v>126</v>
      </c>
      <c r="H750" t="s">
        <v>126</v>
      </c>
      <c r="I750" t="s">
        <v>83</v>
      </c>
      <c r="J750" t="s">
        <v>126</v>
      </c>
      <c r="K750" t="s">
        <v>126</v>
      </c>
      <c r="L750" t="s">
        <v>126</v>
      </c>
      <c r="M750" t="s">
        <v>1397</v>
      </c>
      <c r="N750" t="b">
        <v>0</v>
      </c>
    </row>
    <row r="751" spans="1:14">
      <c r="A751">
        <v>44</v>
      </c>
      <c r="B751">
        <v>3</v>
      </c>
      <c r="C751" t="s">
        <v>188</v>
      </c>
      <c r="D751" t="s">
        <v>724</v>
      </c>
      <c r="E751" t="s">
        <v>99</v>
      </c>
      <c r="F751">
        <v>50</v>
      </c>
      <c r="G751" t="s">
        <v>126</v>
      </c>
      <c r="H751" t="s">
        <v>126</v>
      </c>
      <c r="I751" t="s">
        <v>99</v>
      </c>
      <c r="J751" t="s">
        <v>126</v>
      </c>
      <c r="K751" t="s">
        <v>126</v>
      </c>
      <c r="L751" t="s">
        <v>126</v>
      </c>
      <c r="M751" t="s">
        <v>1398</v>
      </c>
      <c r="N751" t="b">
        <v>0</v>
      </c>
    </row>
    <row r="752" spans="1:14">
      <c r="A752">
        <v>44</v>
      </c>
      <c r="B752">
        <v>4</v>
      </c>
      <c r="C752" t="s">
        <v>229</v>
      </c>
      <c r="D752" t="s">
        <v>724</v>
      </c>
      <c r="E752" t="s">
        <v>101</v>
      </c>
      <c r="F752">
        <v>40</v>
      </c>
      <c r="G752" t="s">
        <v>126</v>
      </c>
      <c r="H752" t="s">
        <v>126</v>
      </c>
      <c r="I752" t="s">
        <v>101</v>
      </c>
      <c r="J752" t="s">
        <v>126</v>
      </c>
      <c r="K752" t="s">
        <v>126</v>
      </c>
      <c r="L752" t="s">
        <v>126</v>
      </c>
      <c r="M752" t="s">
        <v>1399</v>
      </c>
      <c r="N752" t="b">
        <v>0</v>
      </c>
    </row>
    <row r="753" spans="1:14">
      <c r="A753">
        <v>44</v>
      </c>
      <c r="B753">
        <v>5</v>
      </c>
      <c r="C753" t="s">
        <v>275</v>
      </c>
      <c r="D753" t="s">
        <v>724</v>
      </c>
      <c r="E753" t="s">
        <v>103</v>
      </c>
      <c r="F753">
        <v>30</v>
      </c>
      <c r="G753" t="s">
        <v>126</v>
      </c>
      <c r="H753" t="s">
        <v>126</v>
      </c>
      <c r="I753" t="s">
        <v>103</v>
      </c>
      <c r="J753" t="s">
        <v>126</v>
      </c>
      <c r="K753" t="s">
        <v>126</v>
      </c>
      <c r="L753" t="s">
        <v>126</v>
      </c>
      <c r="M753" t="s">
        <v>1400</v>
      </c>
      <c r="N753" t="b">
        <v>0</v>
      </c>
    </row>
    <row r="754" spans="1:14">
      <c r="A754">
        <v>44</v>
      </c>
      <c r="B754">
        <v>6</v>
      </c>
      <c r="C754" t="s">
        <v>339</v>
      </c>
      <c r="D754" t="s">
        <v>724</v>
      </c>
      <c r="E754" t="s">
        <v>112</v>
      </c>
      <c r="F754">
        <v>40</v>
      </c>
      <c r="G754" t="s">
        <v>126</v>
      </c>
      <c r="H754" t="s">
        <v>126</v>
      </c>
      <c r="I754" t="s">
        <v>112</v>
      </c>
      <c r="J754" t="s">
        <v>126</v>
      </c>
      <c r="K754" t="s">
        <v>126</v>
      </c>
      <c r="L754" t="s">
        <v>126</v>
      </c>
      <c r="M754" t="s">
        <v>1401</v>
      </c>
      <c r="N754" t="b">
        <v>0</v>
      </c>
    </row>
    <row r="755" spans="1:14">
      <c r="A755">
        <v>44</v>
      </c>
      <c r="B755">
        <v>7</v>
      </c>
      <c r="C755" t="s">
        <v>291</v>
      </c>
      <c r="D755" t="s">
        <v>724</v>
      </c>
      <c r="E755" t="s">
        <v>113</v>
      </c>
      <c r="F755">
        <v>40</v>
      </c>
      <c r="G755" t="s">
        <v>126</v>
      </c>
      <c r="H755" t="s">
        <v>126</v>
      </c>
      <c r="I755" t="s">
        <v>113</v>
      </c>
      <c r="J755" t="s">
        <v>126</v>
      </c>
      <c r="K755" t="s">
        <v>126</v>
      </c>
      <c r="L755" t="s">
        <v>126</v>
      </c>
      <c r="M755" t="s">
        <v>1402</v>
      </c>
      <c r="N755" t="b">
        <v>0</v>
      </c>
    </row>
    <row r="756" spans="1:14">
      <c r="A756">
        <v>44</v>
      </c>
      <c r="B756">
        <v>8</v>
      </c>
      <c r="C756" t="s">
        <v>340</v>
      </c>
      <c r="D756" t="s">
        <v>724</v>
      </c>
      <c r="E756" t="s">
        <v>548</v>
      </c>
      <c r="F756">
        <v>40</v>
      </c>
      <c r="G756" t="s">
        <v>1403</v>
      </c>
      <c r="H756" t="s">
        <v>548</v>
      </c>
      <c r="I756" t="s">
        <v>126</v>
      </c>
      <c r="J756" t="s">
        <v>126</v>
      </c>
      <c r="K756" t="s">
        <v>126</v>
      </c>
      <c r="L756" t="s">
        <v>126</v>
      </c>
      <c r="M756" t="s">
        <v>1404</v>
      </c>
      <c r="N756" t="b">
        <v>0</v>
      </c>
    </row>
    <row r="757" spans="1:14">
      <c r="A757">
        <v>44</v>
      </c>
      <c r="B757">
        <v>9</v>
      </c>
      <c r="C757" t="s">
        <v>167</v>
      </c>
      <c r="D757" t="s">
        <v>724</v>
      </c>
      <c r="E757" t="s">
        <v>74</v>
      </c>
      <c r="F757">
        <v>50</v>
      </c>
      <c r="G757" t="s">
        <v>126</v>
      </c>
      <c r="H757" t="s">
        <v>126</v>
      </c>
      <c r="I757" t="s">
        <v>74</v>
      </c>
      <c r="J757" t="s">
        <v>126</v>
      </c>
      <c r="K757" t="s">
        <v>126</v>
      </c>
      <c r="L757" t="s">
        <v>126</v>
      </c>
      <c r="M757" t="s">
        <v>1405</v>
      </c>
      <c r="N757" t="b">
        <v>0</v>
      </c>
    </row>
    <row r="758" spans="1:14">
      <c r="A758">
        <v>44</v>
      </c>
      <c r="B758">
        <v>10</v>
      </c>
      <c r="C758" t="s">
        <v>341</v>
      </c>
      <c r="D758" t="s">
        <v>724</v>
      </c>
      <c r="E758" t="s">
        <v>102</v>
      </c>
      <c r="F758">
        <v>30</v>
      </c>
      <c r="G758" t="s">
        <v>126</v>
      </c>
      <c r="H758" t="s">
        <v>126</v>
      </c>
      <c r="I758" t="s">
        <v>102</v>
      </c>
      <c r="J758" t="s">
        <v>126</v>
      </c>
      <c r="K758" t="s">
        <v>126</v>
      </c>
      <c r="L758" t="s">
        <v>126</v>
      </c>
      <c r="M758" t="s">
        <v>1406</v>
      </c>
      <c r="N758" t="b">
        <v>0</v>
      </c>
    </row>
    <row r="759" spans="1:14">
      <c r="A759">
        <v>44</v>
      </c>
      <c r="B759">
        <v>11</v>
      </c>
      <c r="C759" t="s">
        <v>170</v>
      </c>
      <c r="D759" t="s">
        <v>724</v>
      </c>
      <c r="E759" t="s">
        <v>106</v>
      </c>
      <c r="F759">
        <v>50</v>
      </c>
      <c r="G759" t="s">
        <v>126</v>
      </c>
      <c r="H759" t="s">
        <v>126</v>
      </c>
      <c r="I759" t="s">
        <v>106</v>
      </c>
      <c r="J759" t="s">
        <v>126</v>
      </c>
      <c r="K759" t="s">
        <v>126</v>
      </c>
      <c r="L759" t="s">
        <v>126</v>
      </c>
      <c r="M759" t="s">
        <v>1407</v>
      </c>
      <c r="N759" t="b">
        <v>0</v>
      </c>
    </row>
    <row r="760" spans="1:14">
      <c r="A760">
        <v>44</v>
      </c>
      <c r="B760">
        <v>12</v>
      </c>
      <c r="C760" t="s">
        <v>232</v>
      </c>
      <c r="D760" t="s">
        <v>724</v>
      </c>
      <c r="E760" t="s">
        <v>108</v>
      </c>
      <c r="F760">
        <v>50</v>
      </c>
      <c r="G760" t="s">
        <v>126</v>
      </c>
      <c r="H760" t="s">
        <v>126</v>
      </c>
      <c r="I760" t="s">
        <v>108</v>
      </c>
      <c r="J760" t="s">
        <v>126</v>
      </c>
      <c r="K760" t="s">
        <v>126</v>
      </c>
      <c r="L760" t="s">
        <v>126</v>
      </c>
      <c r="M760" t="s">
        <v>1408</v>
      </c>
      <c r="N760" t="b">
        <v>0</v>
      </c>
    </row>
    <row r="761" spans="1:14">
      <c r="A761">
        <v>44</v>
      </c>
      <c r="B761">
        <v>13</v>
      </c>
      <c r="C761" t="s">
        <v>126</v>
      </c>
      <c r="D761" t="s">
        <v>724</v>
      </c>
      <c r="E761" t="s">
        <v>126</v>
      </c>
      <c r="F761">
        <v>0</v>
      </c>
      <c r="G761" t="s">
        <v>126</v>
      </c>
      <c r="H761" t="s">
        <v>126</v>
      </c>
      <c r="I761" t="s">
        <v>126</v>
      </c>
      <c r="J761" t="s">
        <v>126</v>
      </c>
      <c r="K761" t="s">
        <v>126</v>
      </c>
      <c r="L761" t="s">
        <v>126</v>
      </c>
      <c r="M761" t="s">
        <v>1409</v>
      </c>
      <c r="N761" t="b">
        <v>0</v>
      </c>
    </row>
    <row r="762" spans="1:14">
      <c r="A762">
        <v>44</v>
      </c>
      <c r="B762">
        <v>14</v>
      </c>
      <c r="C762" t="s">
        <v>126</v>
      </c>
      <c r="D762" t="s">
        <v>724</v>
      </c>
      <c r="E762" t="s">
        <v>126</v>
      </c>
      <c r="F762">
        <v>0</v>
      </c>
      <c r="G762" t="s">
        <v>126</v>
      </c>
      <c r="H762" t="s">
        <v>126</v>
      </c>
      <c r="I762" t="s">
        <v>126</v>
      </c>
      <c r="J762" t="s">
        <v>126</v>
      </c>
      <c r="K762" t="s">
        <v>126</v>
      </c>
      <c r="L762" t="s">
        <v>126</v>
      </c>
      <c r="M762" t="s">
        <v>1410</v>
      </c>
      <c r="N762" t="b">
        <v>0</v>
      </c>
    </row>
    <row r="763" spans="1:14">
      <c r="A763">
        <v>44</v>
      </c>
      <c r="B763">
        <v>15</v>
      </c>
      <c r="C763" t="s">
        <v>126</v>
      </c>
      <c r="D763" t="s">
        <v>724</v>
      </c>
      <c r="E763" t="s">
        <v>126</v>
      </c>
      <c r="F763">
        <v>0</v>
      </c>
      <c r="G763" t="s">
        <v>126</v>
      </c>
      <c r="H763" t="s">
        <v>126</v>
      </c>
      <c r="I763" t="s">
        <v>126</v>
      </c>
      <c r="J763" t="s">
        <v>126</v>
      </c>
      <c r="K763" t="s">
        <v>126</v>
      </c>
      <c r="L763" t="s">
        <v>126</v>
      </c>
      <c r="M763" t="s">
        <v>1411</v>
      </c>
      <c r="N763" t="b">
        <v>0</v>
      </c>
    </row>
    <row r="764" spans="1:14">
      <c r="A764">
        <v>44</v>
      </c>
      <c r="B764">
        <v>16</v>
      </c>
      <c r="C764" t="s">
        <v>290</v>
      </c>
      <c r="D764" t="s">
        <v>741</v>
      </c>
      <c r="E764" t="s">
        <v>75</v>
      </c>
      <c r="F764">
        <v>40</v>
      </c>
      <c r="G764" t="s">
        <v>126</v>
      </c>
      <c r="H764" t="s">
        <v>126</v>
      </c>
      <c r="I764" t="s">
        <v>75</v>
      </c>
      <c r="J764" t="s">
        <v>126</v>
      </c>
      <c r="K764" t="s">
        <v>126</v>
      </c>
      <c r="L764" t="s">
        <v>126</v>
      </c>
      <c r="M764" t="s">
        <v>1412</v>
      </c>
      <c r="N764" t="b">
        <v>0</v>
      </c>
    </row>
    <row r="765" spans="1:14">
      <c r="A765">
        <v>44</v>
      </c>
      <c r="B765">
        <v>17</v>
      </c>
      <c r="C765" t="s">
        <v>210</v>
      </c>
      <c r="D765" t="s">
        <v>741</v>
      </c>
      <c r="E765" t="s">
        <v>87</v>
      </c>
      <c r="F765">
        <v>40</v>
      </c>
      <c r="G765" t="s">
        <v>126</v>
      </c>
      <c r="H765" t="s">
        <v>126</v>
      </c>
      <c r="I765" t="s">
        <v>87</v>
      </c>
      <c r="J765" t="s">
        <v>126</v>
      </c>
      <c r="K765" t="s">
        <v>126</v>
      </c>
      <c r="L765" t="s">
        <v>126</v>
      </c>
      <c r="M765" t="s">
        <v>1413</v>
      </c>
      <c r="N765" t="b">
        <v>0</v>
      </c>
    </row>
    <row r="766" spans="1:14">
      <c r="A766">
        <v>44</v>
      </c>
      <c r="B766">
        <v>18</v>
      </c>
      <c r="C766" t="s">
        <v>180</v>
      </c>
      <c r="D766" t="s">
        <v>741</v>
      </c>
      <c r="E766" t="s">
        <v>544</v>
      </c>
      <c r="F766">
        <v>40</v>
      </c>
      <c r="G766" t="s">
        <v>760</v>
      </c>
      <c r="H766" t="s">
        <v>126</v>
      </c>
      <c r="I766" t="s">
        <v>126</v>
      </c>
      <c r="J766" t="s">
        <v>817</v>
      </c>
      <c r="K766" t="s">
        <v>792</v>
      </c>
      <c r="L766" t="s">
        <v>793</v>
      </c>
      <c r="M766" t="s">
        <v>1414</v>
      </c>
      <c r="N766" t="b">
        <v>0</v>
      </c>
    </row>
    <row r="767" spans="1:14">
      <c r="A767">
        <v>44</v>
      </c>
      <c r="B767">
        <v>19</v>
      </c>
      <c r="C767" t="s">
        <v>218</v>
      </c>
      <c r="D767" t="s">
        <v>741</v>
      </c>
      <c r="E767" t="s">
        <v>95</v>
      </c>
      <c r="F767">
        <v>40</v>
      </c>
      <c r="G767" t="s">
        <v>126</v>
      </c>
      <c r="H767" t="s">
        <v>126</v>
      </c>
      <c r="I767" t="s">
        <v>95</v>
      </c>
      <c r="J767" t="s">
        <v>126</v>
      </c>
      <c r="K767" t="s">
        <v>126</v>
      </c>
      <c r="L767" t="s">
        <v>126</v>
      </c>
      <c r="M767" t="s">
        <v>1415</v>
      </c>
      <c r="N767" t="b">
        <v>0</v>
      </c>
    </row>
    <row r="768" spans="1:14">
      <c r="A768">
        <v>44</v>
      </c>
      <c r="B768">
        <v>20</v>
      </c>
      <c r="C768" t="s">
        <v>160</v>
      </c>
      <c r="D768" t="s">
        <v>741</v>
      </c>
      <c r="E768" t="s">
        <v>297</v>
      </c>
      <c r="F768">
        <v>40</v>
      </c>
      <c r="G768" t="s">
        <v>760</v>
      </c>
      <c r="H768" t="s">
        <v>126</v>
      </c>
      <c r="I768" t="s">
        <v>126</v>
      </c>
      <c r="J768" t="s">
        <v>761</v>
      </c>
      <c r="K768" t="s">
        <v>762</v>
      </c>
      <c r="L768" t="s">
        <v>763</v>
      </c>
      <c r="M768" t="s">
        <v>1416</v>
      </c>
      <c r="N768" t="b">
        <v>0</v>
      </c>
    </row>
    <row r="769" spans="1:14">
      <c r="A769">
        <v>44</v>
      </c>
      <c r="B769">
        <v>21</v>
      </c>
      <c r="C769" t="s">
        <v>177</v>
      </c>
      <c r="D769" t="s">
        <v>741</v>
      </c>
      <c r="E769" t="s">
        <v>100</v>
      </c>
      <c r="F769">
        <v>40</v>
      </c>
      <c r="G769" t="s">
        <v>126</v>
      </c>
      <c r="H769" t="s">
        <v>126</v>
      </c>
      <c r="I769" t="s">
        <v>100</v>
      </c>
      <c r="J769" t="s">
        <v>126</v>
      </c>
      <c r="K769" t="s">
        <v>126</v>
      </c>
      <c r="L769" t="s">
        <v>126</v>
      </c>
      <c r="M769" t="s">
        <v>1417</v>
      </c>
      <c r="N769" t="b">
        <v>0</v>
      </c>
    </row>
    <row r="770" spans="1:14">
      <c r="A770">
        <v>44</v>
      </c>
      <c r="B770">
        <v>22</v>
      </c>
      <c r="C770" t="s">
        <v>126</v>
      </c>
      <c r="D770" t="s">
        <v>741</v>
      </c>
      <c r="E770" t="s">
        <v>126</v>
      </c>
      <c r="F770">
        <v>0</v>
      </c>
      <c r="G770" t="s">
        <v>126</v>
      </c>
      <c r="H770" t="s">
        <v>126</v>
      </c>
      <c r="I770" t="s">
        <v>126</v>
      </c>
      <c r="J770" t="s">
        <v>126</v>
      </c>
      <c r="K770" t="s">
        <v>126</v>
      </c>
      <c r="L770" t="s">
        <v>126</v>
      </c>
      <c r="M770" t="s">
        <v>1418</v>
      </c>
      <c r="N770" t="b">
        <v>0</v>
      </c>
    </row>
    <row r="771" spans="1:14">
      <c r="A771">
        <v>44</v>
      </c>
      <c r="B771">
        <v>23</v>
      </c>
      <c r="C771" t="s">
        <v>126</v>
      </c>
      <c r="D771" t="s">
        <v>741</v>
      </c>
      <c r="E771" t="s">
        <v>126</v>
      </c>
      <c r="F771">
        <v>0</v>
      </c>
      <c r="G771" t="s">
        <v>126</v>
      </c>
      <c r="H771" t="s">
        <v>126</v>
      </c>
      <c r="I771" t="s">
        <v>126</v>
      </c>
      <c r="J771" t="s">
        <v>126</v>
      </c>
      <c r="K771" t="s">
        <v>126</v>
      </c>
      <c r="L771" t="s">
        <v>126</v>
      </c>
      <c r="M771" t="s">
        <v>1419</v>
      </c>
      <c r="N771" t="b">
        <v>0</v>
      </c>
    </row>
    <row r="772" spans="1:14">
      <c r="A772">
        <v>44</v>
      </c>
      <c r="B772">
        <v>24</v>
      </c>
      <c r="C772" t="s">
        <v>126</v>
      </c>
      <c r="D772" t="s">
        <v>741</v>
      </c>
      <c r="E772" t="s">
        <v>126</v>
      </c>
      <c r="F772">
        <v>0</v>
      </c>
      <c r="G772" t="s">
        <v>126</v>
      </c>
      <c r="H772" t="s">
        <v>126</v>
      </c>
      <c r="I772" t="s">
        <v>126</v>
      </c>
      <c r="J772" t="s">
        <v>126</v>
      </c>
      <c r="K772" t="s">
        <v>126</v>
      </c>
      <c r="L772" t="s">
        <v>126</v>
      </c>
      <c r="M772" t="s">
        <v>1420</v>
      </c>
      <c r="N772" t="b">
        <v>0</v>
      </c>
    </row>
    <row r="773" spans="1:14">
      <c r="A773">
        <v>44</v>
      </c>
      <c r="B773">
        <v>25</v>
      </c>
      <c r="C773" t="s">
        <v>126</v>
      </c>
      <c r="D773" t="s">
        <v>741</v>
      </c>
      <c r="E773" t="s">
        <v>126</v>
      </c>
      <c r="F773">
        <v>0</v>
      </c>
      <c r="G773" t="s">
        <v>126</v>
      </c>
      <c r="H773" t="s">
        <v>126</v>
      </c>
      <c r="I773" t="s">
        <v>126</v>
      </c>
      <c r="J773" t="s">
        <v>126</v>
      </c>
      <c r="K773" t="s">
        <v>126</v>
      </c>
      <c r="L773" t="s">
        <v>126</v>
      </c>
      <c r="M773" t="s">
        <v>1421</v>
      </c>
      <c r="N773" t="b">
        <v>0</v>
      </c>
    </row>
    <row r="774" spans="1:14">
      <c r="A774">
        <v>44</v>
      </c>
      <c r="B774">
        <v>26</v>
      </c>
      <c r="C774" t="s">
        <v>126</v>
      </c>
      <c r="D774" t="s">
        <v>741</v>
      </c>
      <c r="E774" t="s">
        <v>126</v>
      </c>
      <c r="F774">
        <v>0</v>
      </c>
      <c r="G774" t="s">
        <v>126</v>
      </c>
      <c r="H774" t="s">
        <v>126</v>
      </c>
      <c r="I774" t="s">
        <v>126</v>
      </c>
      <c r="J774" t="s">
        <v>126</v>
      </c>
      <c r="K774" t="s">
        <v>126</v>
      </c>
      <c r="L774" t="s">
        <v>126</v>
      </c>
      <c r="M774" t="s">
        <v>1422</v>
      </c>
      <c r="N774" t="b">
        <v>0</v>
      </c>
    </row>
    <row r="775" spans="1:14">
      <c r="A775">
        <v>46</v>
      </c>
      <c r="B775">
        <v>0</v>
      </c>
      <c r="C775" t="s">
        <v>186</v>
      </c>
      <c r="D775" t="s">
        <v>724</v>
      </c>
      <c r="E775" t="s">
        <v>65</v>
      </c>
      <c r="F775">
        <v>50</v>
      </c>
      <c r="G775" t="s">
        <v>126</v>
      </c>
      <c r="H775" t="s">
        <v>126</v>
      </c>
      <c r="I775" t="s">
        <v>65</v>
      </c>
      <c r="J775" t="s">
        <v>126</v>
      </c>
      <c r="K775" t="s">
        <v>126</v>
      </c>
      <c r="L775" t="s">
        <v>126</v>
      </c>
      <c r="M775" t="s">
        <v>1423</v>
      </c>
      <c r="N775" t="b">
        <v>0</v>
      </c>
    </row>
    <row r="776" spans="1:14">
      <c r="A776">
        <v>46</v>
      </c>
      <c r="B776">
        <v>1</v>
      </c>
      <c r="C776" t="s">
        <v>217</v>
      </c>
      <c r="D776" t="s">
        <v>724</v>
      </c>
      <c r="E776" t="s">
        <v>77</v>
      </c>
      <c r="F776">
        <v>60</v>
      </c>
      <c r="G776" t="s">
        <v>126</v>
      </c>
      <c r="H776" t="s">
        <v>126</v>
      </c>
      <c r="I776" t="s">
        <v>77</v>
      </c>
      <c r="J776" t="s">
        <v>126</v>
      </c>
      <c r="K776" t="s">
        <v>126</v>
      </c>
      <c r="L776" t="s">
        <v>126</v>
      </c>
      <c r="M776" t="s">
        <v>1424</v>
      </c>
      <c r="N776" t="b">
        <v>0</v>
      </c>
    </row>
    <row r="777" spans="1:14">
      <c r="A777">
        <v>46</v>
      </c>
      <c r="B777">
        <v>2</v>
      </c>
      <c r="C777" t="s">
        <v>218</v>
      </c>
      <c r="D777" t="s">
        <v>724</v>
      </c>
      <c r="E777" t="s">
        <v>95</v>
      </c>
      <c r="F777">
        <v>40</v>
      </c>
      <c r="G777" t="s">
        <v>126</v>
      </c>
      <c r="H777" t="s">
        <v>126</v>
      </c>
      <c r="I777" t="s">
        <v>95</v>
      </c>
      <c r="J777" t="s">
        <v>126</v>
      </c>
      <c r="K777" t="s">
        <v>126</v>
      </c>
      <c r="L777" t="s">
        <v>126</v>
      </c>
      <c r="M777" t="s">
        <v>1425</v>
      </c>
      <c r="N777" t="b">
        <v>0</v>
      </c>
    </row>
    <row r="778" spans="1:14">
      <c r="A778">
        <v>46</v>
      </c>
      <c r="B778">
        <v>3</v>
      </c>
      <c r="C778" t="s">
        <v>219</v>
      </c>
      <c r="D778" t="s">
        <v>724</v>
      </c>
      <c r="E778" t="s">
        <v>101</v>
      </c>
      <c r="F778">
        <v>60</v>
      </c>
      <c r="G778" t="s">
        <v>126</v>
      </c>
      <c r="H778" t="s">
        <v>126</v>
      </c>
      <c r="I778" t="s">
        <v>101</v>
      </c>
      <c r="J778" t="s">
        <v>126</v>
      </c>
      <c r="K778" t="s">
        <v>126</v>
      </c>
      <c r="L778" t="s">
        <v>126</v>
      </c>
      <c r="M778" t="s">
        <v>1426</v>
      </c>
      <c r="N778" t="b">
        <v>0</v>
      </c>
    </row>
    <row r="779" spans="1:14">
      <c r="A779">
        <v>46</v>
      </c>
      <c r="B779">
        <v>4</v>
      </c>
      <c r="C779" t="s">
        <v>345</v>
      </c>
      <c r="D779" t="s">
        <v>753</v>
      </c>
      <c r="E779" t="s">
        <v>297</v>
      </c>
      <c r="F779">
        <v>20</v>
      </c>
      <c r="G779" t="s">
        <v>760</v>
      </c>
      <c r="H779" t="s">
        <v>126</v>
      </c>
      <c r="I779" t="s">
        <v>126</v>
      </c>
      <c r="J779" t="s">
        <v>761</v>
      </c>
      <c r="K779" t="s">
        <v>762</v>
      </c>
      <c r="L779" t="s">
        <v>763</v>
      </c>
      <c r="M779" t="s">
        <v>1427</v>
      </c>
      <c r="N779" t="b">
        <v>0</v>
      </c>
    </row>
    <row r="780" spans="1:14">
      <c r="A780">
        <v>46</v>
      </c>
      <c r="B780">
        <v>5</v>
      </c>
      <c r="C780" t="s">
        <v>198</v>
      </c>
      <c r="D780" t="s">
        <v>724</v>
      </c>
      <c r="E780" t="s">
        <v>113</v>
      </c>
      <c r="F780">
        <v>50</v>
      </c>
      <c r="G780" t="s">
        <v>126</v>
      </c>
      <c r="H780" t="s">
        <v>126</v>
      </c>
      <c r="I780" t="s">
        <v>113</v>
      </c>
      <c r="J780" t="s">
        <v>126</v>
      </c>
      <c r="K780" t="s">
        <v>126</v>
      </c>
      <c r="L780" t="s">
        <v>126</v>
      </c>
      <c r="M780" t="s">
        <v>1428</v>
      </c>
      <c r="N780" t="b">
        <v>0</v>
      </c>
    </row>
    <row r="781" spans="1:14">
      <c r="A781">
        <v>46</v>
      </c>
      <c r="B781">
        <v>6</v>
      </c>
      <c r="C781" t="s">
        <v>254</v>
      </c>
      <c r="D781" t="s">
        <v>724</v>
      </c>
      <c r="E781" t="s">
        <v>115</v>
      </c>
      <c r="F781">
        <v>40</v>
      </c>
      <c r="G781" t="s">
        <v>126</v>
      </c>
      <c r="H781" t="s">
        <v>126</v>
      </c>
      <c r="I781" t="s">
        <v>115</v>
      </c>
      <c r="J781" t="s">
        <v>126</v>
      </c>
      <c r="K781" t="s">
        <v>126</v>
      </c>
      <c r="L781" t="s">
        <v>126</v>
      </c>
      <c r="M781" t="s">
        <v>1429</v>
      </c>
      <c r="N781" t="b">
        <v>0</v>
      </c>
    </row>
    <row r="782" spans="1:14">
      <c r="A782">
        <v>46</v>
      </c>
      <c r="B782">
        <v>7</v>
      </c>
      <c r="C782" t="s">
        <v>220</v>
      </c>
      <c r="D782" t="s">
        <v>724</v>
      </c>
      <c r="E782" t="s">
        <v>68</v>
      </c>
      <c r="F782">
        <v>50</v>
      </c>
      <c r="G782" t="s">
        <v>126</v>
      </c>
      <c r="H782" t="s">
        <v>126</v>
      </c>
      <c r="I782" t="s">
        <v>68</v>
      </c>
      <c r="J782" t="s">
        <v>126</v>
      </c>
      <c r="K782" t="s">
        <v>126</v>
      </c>
      <c r="L782" t="s">
        <v>126</v>
      </c>
      <c r="M782" t="s">
        <v>1430</v>
      </c>
      <c r="N782" t="b">
        <v>0</v>
      </c>
    </row>
    <row r="783" spans="1:14">
      <c r="A783">
        <v>46</v>
      </c>
      <c r="B783">
        <v>8</v>
      </c>
      <c r="C783" t="s">
        <v>221</v>
      </c>
      <c r="D783" t="s">
        <v>724</v>
      </c>
      <c r="E783" t="s">
        <v>331</v>
      </c>
      <c r="F783">
        <v>60</v>
      </c>
      <c r="G783" t="s">
        <v>126</v>
      </c>
      <c r="H783" t="s">
        <v>548</v>
      </c>
      <c r="I783" t="s">
        <v>445</v>
      </c>
      <c r="J783" t="s">
        <v>126</v>
      </c>
      <c r="K783" t="s">
        <v>921</v>
      </c>
      <c r="L783" t="s">
        <v>922</v>
      </c>
      <c r="M783" t="s">
        <v>1431</v>
      </c>
      <c r="N783" t="b">
        <v>0</v>
      </c>
    </row>
    <row r="784" spans="1:14">
      <c r="A784">
        <v>46</v>
      </c>
      <c r="B784">
        <v>9</v>
      </c>
      <c r="C784" t="s">
        <v>167</v>
      </c>
      <c r="D784" t="s">
        <v>724</v>
      </c>
      <c r="E784" t="s">
        <v>74</v>
      </c>
      <c r="F784">
        <v>50</v>
      </c>
      <c r="G784" t="s">
        <v>126</v>
      </c>
      <c r="H784" t="s">
        <v>126</v>
      </c>
      <c r="I784" t="s">
        <v>74</v>
      </c>
      <c r="J784" t="s">
        <v>126</v>
      </c>
      <c r="K784" t="s">
        <v>126</v>
      </c>
      <c r="L784" t="s">
        <v>126</v>
      </c>
      <c r="M784" t="s">
        <v>1432</v>
      </c>
      <c r="N784" t="b">
        <v>0</v>
      </c>
    </row>
    <row r="785" spans="1:14">
      <c r="A785">
        <v>46</v>
      </c>
      <c r="B785">
        <v>10</v>
      </c>
      <c r="C785" t="s">
        <v>163</v>
      </c>
      <c r="D785" t="s">
        <v>724</v>
      </c>
      <c r="E785" t="s">
        <v>78</v>
      </c>
      <c r="F785">
        <v>40</v>
      </c>
      <c r="G785" t="s">
        <v>126</v>
      </c>
      <c r="H785" t="s">
        <v>126</v>
      </c>
      <c r="I785" t="s">
        <v>78</v>
      </c>
      <c r="J785" t="s">
        <v>126</v>
      </c>
      <c r="K785" t="s">
        <v>126</v>
      </c>
      <c r="L785" t="s">
        <v>126</v>
      </c>
      <c r="M785" t="s">
        <v>1433</v>
      </c>
      <c r="N785" t="b">
        <v>0</v>
      </c>
    </row>
    <row r="786" spans="1:14">
      <c r="A786">
        <v>46</v>
      </c>
      <c r="B786">
        <v>11</v>
      </c>
      <c r="C786" t="s">
        <v>222</v>
      </c>
      <c r="D786" t="s">
        <v>724</v>
      </c>
      <c r="E786" t="s">
        <v>102</v>
      </c>
      <c r="F786">
        <v>50</v>
      </c>
      <c r="G786" t="s">
        <v>126</v>
      </c>
      <c r="H786" t="s">
        <v>126</v>
      </c>
      <c r="I786" t="s">
        <v>102</v>
      </c>
      <c r="J786" t="s">
        <v>126</v>
      </c>
      <c r="K786" t="s">
        <v>126</v>
      </c>
      <c r="L786" t="s">
        <v>126</v>
      </c>
      <c r="M786" t="s">
        <v>1434</v>
      </c>
      <c r="N786" t="b">
        <v>0</v>
      </c>
    </row>
    <row r="787" spans="1:14">
      <c r="A787">
        <v>46</v>
      </c>
      <c r="B787">
        <v>12</v>
      </c>
      <c r="C787" t="s">
        <v>170</v>
      </c>
      <c r="D787" t="s">
        <v>724</v>
      </c>
      <c r="E787" t="s">
        <v>106</v>
      </c>
      <c r="F787">
        <v>50</v>
      </c>
      <c r="G787" t="s">
        <v>126</v>
      </c>
      <c r="H787" t="s">
        <v>126</v>
      </c>
      <c r="I787" t="s">
        <v>106</v>
      </c>
      <c r="J787" t="s">
        <v>126</v>
      </c>
      <c r="K787" t="s">
        <v>126</v>
      </c>
      <c r="L787" t="s">
        <v>126</v>
      </c>
      <c r="M787" t="s">
        <v>1435</v>
      </c>
      <c r="N787" t="b">
        <v>0</v>
      </c>
    </row>
    <row r="788" spans="1:14">
      <c r="A788">
        <v>46</v>
      </c>
      <c r="B788">
        <v>13</v>
      </c>
      <c r="C788" t="s">
        <v>223</v>
      </c>
      <c r="D788" t="s">
        <v>724</v>
      </c>
      <c r="E788" t="s">
        <v>107</v>
      </c>
      <c r="F788">
        <v>50</v>
      </c>
      <c r="G788" t="s">
        <v>126</v>
      </c>
      <c r="H788" t="s">
        <v>126</v>
      </c>
      <c r="I788" t="s">
        <v>107</v>
      </c>
      <c r="J788" t="s">
        <v>126</v>
      </c>
      <c r="K788" t="s">
        <v>126</v>
      </c>
      <c r="L788" t="s">
        <v>126</v>
      </c>
      <c r="M788" t="s">
        <v>1436</v>
      </c>
      <c r="N788" t="b">
        <v>0</v>
      </c>
    </row>
    <row r="789" spans="1:14">
      <c r="A789">
        <v>46</v>
      </c>
      <c r="B789">
        <v>14</v>
      </c>
      <c r="C789" t="s">
        <v>195</v>
      </c>
      <c r="D789" t="s">
        <v>724</v>
      </c>
      <c r="E789" t="s">
        <v>108</v>
      </c>
      <c r="F789">
        <v>60</v>
      </c>
      <c r="G789" t="s">
        <v>126</v>
      </c>
      <c r="H789" t="s">
        <v>126</v>
      </c>
      <c r="I789" t="s">
        <v>108</v>
      </c>
      <c r="J789" t="s">
        <v>126</v>
      </c>
      <c r="K789" t="s">
        <v>126</v>
      </c>
      <c r="L789" t="s">
        <v>126</v>
      </c>
      <c r="M789" t="s">
        <v>1437</v>
      </c>
      <c r="N789" t="b">
        <v>0</v>
      </c>
    </row>
    <row r="790" spans="1:14">
      <c r="A790">
        <v>46</v>
      </c>
      <c r="B790">
        <v>15</v>
      </c>
      <c r="C790" t="s">
        <v>126</v>
      </c>
      <c r="D790" t="s">
        <v>724</v>
      </c>
      <c r="E790" t="s">
        <v>126</v>
      </c>
      <c r="F790">
        <v>0</v>
      </c>
      <c r="G790" t="s">
        <v>126</v>
      </c>
      <c r="H790" t="s">
        <v>126</v>
      </c>
      <c r="I790" t="s">
        <v>126</v>
      </c>
      <c r="J790" t="s">
        <v>126</v>
      </c>
      <c r="K790" t="s">
        <v>126</v>
      </c>
      <c r="L790" t="s">
        <v>126</v>
      </c>
      <c r="M790" t="s">
        <v>1438</v>
      </c>
      <c r="N790" t="b">
        <v>0</v>
      </c>
    </row>
    <row r="791" spans="1:14">
      <c r="A791">
        <v>46</v>
      </c>
      <c r="B791">
        <v>16</v>
      </c>
      <c r="C791" t="s">
        <v>126</v>
      </c>
      <c r="D791" t="s">
        <v>741</v>
      </c>
      <c r="E791" t="s">
        <v>126</v>
      </c>
      <c r="F791">
        <v>0</v>
      </c>
      <c r="G791" t="s">
        <v>126</v>
      </c>
      <c r="H791" t="s">
        <v>126</v>
      </c>
      <c r="I791" t="s">
        <v>126</v>
      </c>
      <c r="J791" t="s">
        <v>126</v>
      </c>
      <c r="K791" t="s">
        <v>126</v>
      </c>
      <c r="L791" t="s">
        <v>126</v>
      </c>
      <c r="M791" t="s">
        <v>1439</v>
      </c>
      <c r="N791" t="b">
        <v>0</v>
      </c>
    </row>
    <row r="792" spans="1:14">
      <c r="A792">
        <v>46</v>
      </c>
      <c r="B792">
        <v>17</v>
      </c>
      <c r="C792" t="s">
        <v>126</v>
      </c>
      <c r="D792" t="s">
        <v>741</v>
      </c>
      <c r="E792" t="s">
        <v>126</v>
      </c>
      <c r="F792">
        <v>0</v>
      </c>
      <c r="G792" t="s">
        <v>126</v>
      </c>
      <c r="H792" t="s">
        <v>126</v>
      </c>
      <c r="I792" t="s">
        <v>126</v>
      </c>
      <c r="J792" t="s">
        <v>126</v>
      </c>
      <c r="K792" t="s">
        <v>126</v>
      </c>
      <c r="L792" t="s">
        <v>126</v>
      </c>
      <c r="M792" t="s">
        <v>1440</v>
      </c>
      <c r="N792" t="b">
        <v>0</v>
      </c>
    </row>
    <row r="793" spans="1:14">
      <c r="A793">
        <v>46</v>
      </c>
      <c r="B793">
        <v>18</v>
      </c>
      <c r="C793" t="s">
        <v>126</v>
      </c>
      <c r="D793" t="s">
        <v>741</v>
      </c>
      <c r="E793" t="s">
        <v>126</v>
      </c>
      <c r="F793">
        <v>0</v>
      </c>
      <c r="G793" t="s">
        <v>126</v>
      </c>
      <c r="H793" t="s">
        <v>126</v>
      </c>
      <c r="I793" t="s">
        <v>126</v>
      </c>
      <c r="J793" t="s">
        <v>126</v>
      </c>
      <c r="K793" t="s">
        <v>126</v>
      </c>
      <c r="L793" t="s">
        <v>126</v>
      </c>
      <c r="M793" t="s">
        <v>1441</v>
      </c>
      <c r="N793" t="b">
        <v>0</v>
      </c>
    </row>
    <row r="794" spans="1:14">
      <c r="A794">
        <v>46</v>
      </c>
      <c r="B794">
        <v>19</v>
      </c>
      <c r="C794" t="s">
        <v>126</v>
      </c>
      <c r="D794" t="s">
        <v>741</v>
      </c>
      <c r="E794" t="s">
        <v>126</v>
      </c>
      <c r="F794">
        <v>0</v>
      </c>
      <c r="G794" t="s">
        <v>126</v>
      </c>
      <c r="H794" t="s">
        <v>126</v>
      </c>
      <c r="I794" t="s">
        <v>126</v>
      </c>
      <c r="J794" t="s">
        <v>126</v>
      </c>
      <c r="K794" t="s">
        <v>126</v>
      </c>
      <c r="L794" t="s">
        <v>126</v>
      </c>
      <c r="M794" t="s">
        <v>1442</v>
      </c>
      <c r="N794" t="b">
        <v>0</v>
      </c>
    </row>
    <row r="795" spans="1:14">
      <c r="A795">
        <v>46</v>
      </c>
      <c r="B795">
        <v>20</v>
      </c>
      <c r="C795" t="s">
        <v>126</v>
      </c>
      <c r="D795" t="s">
        <v>741</v>
      </c>
      <c r="E795" t="s">
        <v>126</v>
      </c>
      <c r="F795">
        <v>0</v>
      </c>
      <c r="G795" t="s">
        <v>126</v>
      </c>
      <c r="H795" t="s">
        <v>126</v>
      </c>
      <c r="I795" t="s">
        <v>126</v>
      </c>
      <c r="J795" t="s">
        <v>126</v>
      </c>
      <c r="K795" t="s">
        <v>126</v>
      </c>
      <c r="L795" t="s">
        <v>126</v>
      </c>
      <c r="M795" t="s">
        <v>1443</v>
      </c>
      <c r="N795" t="b">
        <v>0</v>
      </c>
    </row>
    <row r="796" spans="1:14">
      <c r="A796">
        <v>46</v>
      </c>
      <c r="B796">
        <v>21</v>
      </c>
      <c r="C796" t="s">
        <v>126</v>
      </c>
      <c r="D796" t="s">
        <v>741</v>
      </c>
      <c r="E796" t="s">
        <v>126</v>
      </c>
      <c r="F796">
        <v>0</v>
      </c>
      <c r="G796" t="s">
        <v>126</v>
      </c>
      <c r="H796" t="s">
        <v>126</v>
      </c>
      <c r="I796" t="s">
        <v>126</v>
      </c>
      <c r="J796" t="s">
        <v>126</v>
      </c>
      <c r="K796" t="s">
        <v>126</v>
      </c>
      <c r="L796" t="s">
        <v>126</v>
      </c>
      <c r="M796" t="s">
        <v>1444</v>
      </c>
      <c r="N796" t="b">
        <v>0</v>
      </c>
    </row>
    <row r="797" spans="1:14">
      <c r="A797">
        <v>46</v>
      </c>
      <c r="B797">
        <v>22</v>
      </c>
      <c r="C797" t="s">
        <v>126</v>
      </c>
      <c r="D797" t="s">
        <v>741</v>
      </c>
      <c r="E797" t="s">
        <v>126</v>
      </c>
      <c r="F797">
        <v>0</v>
      </c>
      <c r="G797" t="s">
        <v>126</v>
      </c>
      <c r="H797" t="s">
        <v>126</v>
      </c>
      <c r="I797" t="s">
        <v>126</v>
      </c>
      <c r="J797" t="s">
        <v>126</v>
      </c>
      <c r="K797" t="s">
        <v>126</v>
      </c>
      <c r="L797" t="s">
        <v>126</v>
      </c>
      <c r="M797" t="s">
        <v>1445</v>
      </c>
      <c r="N797" t="b">
        <v>0</v>
      </c>
    </row>
    <row r="798" spans="1:14">
      <c r="A798">
        <v>46</v>
      </c>
      <c r="B798">
        <v>23</v>
      </c>
      <c r="C798" t="s">
        <v>126</v>
      </c>
      <c r="D798" t="s">
        <v>741</v>
      </c>
      <c r="E798" t="s">
        <v>126</v>
      </c>
      <c r="F798">
        <v>0</v>
      </c>
      <c r="G798" t="s">
        <v>126</v>
      </c>
      <c r="H798" t="s">
        <v>126</v>
      </c>
      <c r="I798" t="s">
        <v>126</v>
      </c>
      <c r="J798" t="s">
        <v>126</v>
      </c>
      <c r="K798" t="s">
        <v>126</v>
      </c>
      <c r="L798" t="s">
        <v>126</v>
      </c>
      <c r="M798" t="s">
        <v>1446</v>
      </c>
      <c r="N798" t="b">
        <v>0</v>
      </c>
    </row>
    <row r="799" spans="1:14">
      <c r="A799">
        <v>46</v>
      </c>
      <c r="B799">
        <v>24</v>
      </c>
      <c r="C799" t="s">
        <v>126</v>
      </c>
      <c r="D799" t="s">
        <v>741</v>
      </c>
      <c r="E799" t="s">
        <v>126</v>
      </c>
      <c r="F799">
        <v>0</v>
      </c>
      <c r="G799" t="s">
        <v>126</v>
      </c>
      <c r="H799" t="s">
        <v>126</v>
      </c>
      <c r="I799" t="s">
        <v>126</v>
      </c>
      <c r="J799" t="s">
        <v>126</v>
      </c>
      <c r="K799" t="s">
        <v>126</v>
      </c>
      <c r="L799" t="s">
        <v>126</v>
      </c>
      <c r="M799" t="s">
        <v>1447</v>
      </c>
      <c r="N799" t="b">
        <v>0</v>
      </c>
    </row>
    <row r="800" spans="1:14">
      <c r="A800">
        <v>46</v>
      </c>
      <c r="B800">
        <v>25</v>
      </c>
      <c r="C800" t="s">
        <v>126</v>
      </c>
      <c r="D800" t="s">
        <v>741</v>
      </c>
      <c r="E800" t="s">
        <v>126</v>
      </c>
      <c r="F800">
        <v>0</v>
      </c>
      <c r="G800" t="s">
        <v>126</v>
      </c>
      <c r="H800" t="s">
        <v>126</v>
      </c>
      <c r="I800" t="s">
        <v>126</v>
      </c>
      <c r="J800" t="s">
        <v>126</v>
      </c>
      <c r="K800" t="s">
        <v>126</v>
      </c>
      <c r="L800" t="s">
        <v>126</v>
      </c>
      <c r="M800" t="s">
        <v>1448</v>
      </c>
      <c r="N800" t="b">
        <v>0</v>
      </c>
    </row>
    <row r="801" spans="1:14">
      <c r="A801">
        <v>46</v>
      </c>
      <c r="B801">
        <v>26</v>
      </c>
      <c r="C801" t="s">
        <v>126</v>
      </c>
      <c r="D801" t="s">
        <v>741</v>
      </c>
      <c r="E801" t="s">
        <v>126</v>
      </c>
      <c r="F801">
        <v>0</v>
      </c>
      <c r="G801" t="s">
        <v>126</v>
      </c>
      <c r="H801" t="s">
        <v>126</v>
      </c>
      <c r="I801" t="s">
        <v>126</v>
      </c>
      <c r="J801" t="s">
        <v>126</v>
      </c>
      <c r="K801" t="s">
        <v>126</v>
      </c>
      <c r="L801" t="s">
        <v>126</v>
      </c>
      <c r="M801" t="s">
        <v>1449</v>
      </c>
      <c r="N801" t="b">
        <v>0</v>
      </c>
    </row>
    <row r="802" spans="1:14">
      <c r="A802">
        <v>48</v>
      </c>
      <c r="B802">
        <v>0</v>
      </c>
      <c r="C802" t="s">
        <v>186</v>
      </c>
      <c r="D802" t="s">
        <v>724</v>
      </c>
      <c r="E802" t="s">
        <v>65</v>
      </c>
      <c r="F802">
        <v>50</v>
      </c>
      <c r="G802" t="s">
        <v>126</v>
      </c>
      <c r="H802" t="s">
        <v>126</v>
      </c>
      <c r="I802" t="s">
        <v>65</v>
      </c>
      <c r="J802" t="s">
        <v>126</v>
      </c>
      <c r="K802" t="s">
        <v>126</v>
      </c>
      <c r="L802" t="s">
        <v>126</v>
      </c>
      <c r="M802" t="s">
        <v>1450</v>
      </c>
      <c r="N802" t="b">
        <v>0</v>
      </c>
    </row>
    <row r="803" spans="1:14">
      <c r="A803">
        <v>48</v>
      </c>
      <c r="B803">
        <v>1</v>
      </c>
      <c r="C803" t="s">
        <v>226</v>
      </c>
      <c r="D803" t="s">
        <v>724</v>
      </c>
      <c r="E803" t="s">
        <v>77</v>
      </c>
      <c r="F803">
        <v>50</v>
      </c>
      <c r="G803" t="s">
        <v>126</v>
      </c>
      <c r="H803" t="s">
        <v>126</v>
      </c>
      <c r="I803" t="s">
        <v>77</v>
      </c>
      <c r="J803" t="s">
        <v>126</v>
      </c>
      <c r="K803" t="s">
        <v>126</v>
      </c>
      <c r="L803" t="s">
        <v>126</v>
      </c>
      <c r="M803" t="s">
        <v>1451</v>
      </c>
      <c r="N803" t="b">
        <v>0</v>
      </c>
    </row>
    <row r="804" spans="1:14">
      <c r="A804">
        <v>48</v>
      </c>
      <c r="B804">
        <v>2</v>
      </c>
      <c r="C804" t="s">
        <v>268</v>
      </c>
      <c r="D804" t="s">
        <v>724</v>
      </c>
      <c r="E804" t="s">
        <v>83</v>
      </c>
      <c r="F804">
        <v>30</v>
      </c>
      <c r="G804" t="s">
        <v>126</v>
      </c>
      <c r="H804" t="s">
        <v>126</v>
      </c>
      <c r="I804" t="s">
        <v>83</v>
      </c>
      <c r="J804" t="s">
        <v>126</v>
      </c>
      <c r="K804" t="s">
        <v>126</v>
      </c>
      <c r="L804" t="s">
        <v>126</v>
      </c>
      <c r="M804" t="s">
        <v>1452</v>
      </c>
      <c r="N804" t="b">
        <v>0</v>
      </c>
    </row>
    <row r="805" spans="1:14">
      <c r="A805">
        <v>48</v>
      </c>
      <c r="B805">
        <v>3</v>
      </c>
      <c r="C805" t="s">
        <v>251</v>
      </c>
      <c r="D805" t="s">
        <v>724</v>
      </c>
      <c r="E805" t="s">
        <v>99</v>
      </c>
      <c r="F805">
        <v>40</v>
      </c>
      <c r="G805" t="s">
        <v>126</v>
      </c>
      <c r="H805" t="s">
        <v>126</v>
      </c>
      <c r="I805" t="s">
        <v>99</v>
      </c>
      <c r="J805" t="s">
        <v>126</v>
      </c>
      <c r="K805" t="s">
        <v>126</v>
      </c>
      <c r="L805" t="s">
        <v>126</v>
      </c>
      <c r="M805" t="s">
        <v>1453</v>
      </c>
      <c r="N805" t="b">
        <v>0</v>
      </c>
    </row>
    <row r="806" spans="1:14">
      <c r="A806">
        <v>48</v>
      </c>
      <c r="B806">
        <v>4</v>
      </c>
      <c r="C806" t="s">
        <v>229</v>
      </c>
      <c r="D806" t="s">
        <v>724</v>
      </c>
      <c r="E806" t="s">
        <v>101</v>
      </c>
      <c r="F806">
        <v>40</v>
      </c>
      <c r="G806" t="s">
        <v>126</v>
      </c>
      <c r="H806" t="s">
        <v>126</v>
      </c>
      <c r="I806" t="s">
        <v>101</v>
      </c>
      <c r="J806" t="s">
        <v>126</v>
      </c>
      <c r="K806" t="s">
        <v>126</v>
      </c>
      <c r="L806" t="s">
        <v>126</v>
      </c>
      <c r="M806" t="s">
        <v>1454</v>
      </c>
      <c r="N806" t="b">
        <v>0</v>
      </c>
    </row>
    <row r="807" spans="1:14">
      <c r="A807">
        <v>48</v>
      </c>
      <c r="B807">
        <v>5</v>
      </c>
      <c r="C807" t="s">
        <v>275</v>
      </c>
      <c r="D807" t="s">
        <v>724</v>
      </c>
      <c r="E807" t="s">
        <v>103</v>
      </c>
      <c r="F807">
        <v>30</v>
      </c>
      <c r="G807" t="s">
        <v>126</v>
      </c>
      <c r="H807" t="s">
        <v>126</v>
      </c>
      <c r="I807" t="s">
        <v>103</v>
      </c>
      <c r="J807" t="s">
        <v>126</v>
      </c>
      <c r="K807" t="s">
        <v>126</v>
      </c>
      <c r="L807" t="s">
        <v>126</v>
      </c>
      <c r="M807" t="s">
        <v>1455</v>
      </c>
      <c r="N807" t="b">
        <v>0</v>
      </c>
    </row>
    <row r="808" spans="1:14">
      <c r="A808">
        <v>48</v>
      </c>
      <c r="B808">
        <v>6</v>
      </c>
      <c r="C808" t="s">
        <v>160</v>
      </c>
      <c r="D808" t="s">
        <v>753</v>
      </c>
      <c r="E808" t="s">
        <v>297</v>
      </c>
      <c r="F808">
        <v>40</v>
      </c>
      <c r="G808" t="s">
        <v>760</v>
      </c>
      <c r="H808" t="s">
        <v>126</v>
      </c>
      <c r="I808" t="s">
        <v>126</v>
      </c>
      <c r="J808" t="s">
        <v>761</v>
      </c>
      <c r="K808" t="s">
        <v>762</v>
      </c>
      <c r="L808" t="s">
        <v>763</v>
      </c>
      <c r="M808" t="s">
        <v>1456</v>
      </c>
      <c r="N808" t="b">
        <v>0</v>
      </c>
    </row>
    <row r="809" spans="1:14">
      <c r="A809">
        <v>48</v>
      </c>
      <c r="B809">
        <v>7</v>
      </c>
      <c r="C809" t="s">
        <v>166</v>
      </c>
      <c r="D809" t="s">
        <v>724</v>
      </c>
      <c r="E809" t="s">
        <v>115</v>
      </c>
      <c r="F809">
        <v>50</v>
      </c>
      <c r="G809" t="s">
        <v>126</v>
      </c>
      <c r="H809" t="s">
        <v>126</v>
      </c>
      <c r="I809" t="s">
        <v>115</v>
      </c>
      <c r="J809" t="s">
        <v>126</v>
      </c>
      <c r="K809" t="s">
        <v>126</v>
      </c>
      <c r="L809" t="s">
        <v>126</v>
      </c>
      <c r="M809" t="s">
        <v>1457</v>
      </c>
      <c r="N809" t="b">
        <v>0</v>
      </c>
    </row>
    <row r="810" spans="1:14">
      <c r="A810">
        <v>48</v>
      </c>
      <c r="B810">
        <v>8</v>
      </c>
      <c r="C810" t="s">
        <v>288</v>
      </c>
      <c r="D810" t="s">
        <v>724</v>
      </c>
      <c r="E810" t="s">
        <v>331</v>
      </c>
      <c r="F810">
        <v>40</v>
      </c>
      <c r="G810" t="s">
        <v>126</v>
      </c>
      <c r="H810" t="s">
        <v>548</v>
      </c>
      <c r="I810" t="s">
        <v>445</v>
      </c>
      <c r="J810" t="s">
        <v>126</v>
      </c>
      <c r="K810" t="s">
        <v>921</v>
      </c>
      <c r="L810" t="s">
        <v>922</v>
      </c>
      <c r="M810" t="s">
        <v>1458</v>
      </c>
      <c r="N810" t="b">
        <v>0</v>
      </c>
    </row>
    <row r="811" spans="1:14">
      <c r="A811">
        <v>48</v>
      </c>
      <c r="B811">
        <v>9</v>
      </c>
      <c r="C811" t="s">
        <v>276</v>
      </c>
      <c r="D811" t="s">
        <v>724</v>
      </c>
      <c r="E811" t="s">
        <v>74</v>
      </c>
      <c r="F811">
        <v>40</v>
      </c>
      <c r="G811" t="s">
        <v>126</v>
      </c>
      <c r="H811" t="s">
        <v>126</v>
      </c>
      <c r="I811" t="s">
        <v>74</v>
      </c>
      <c r="J811" t="s">
        <v>126</v>
      </c>
      <c r="K811" t="s">
        <v>126</v>
      </c>
      <c r="L811" t="s">
        <v>126</v>
      </c>
      <c r="M811" t="s">
        <v>1459</v>
      </c>
      <c r="N811" t="b">
        <v>0</v>
      </c>
    </row>
    <row r="812" spans="1:14">
      <c r="A812">
        <v>48</v>
      </c>
      <c r="B812">
        <v>10</v>
      </c>
      <c r="C812" t="s">
        <v>193</v>
      </c>
      <c r="D812" t="s">
        <v>724</v>
      </c>
      <c r="E812" t="s">
        <v>78</v>
      </c>
      <c r="F812">
        <v>50</v>
      </c>
      <c r="G812" t="s">
        <v>126</v>
      </c>
      <c r="H812" t="s">
        <v>126</v>
      </c>
      <c r="I812" t="s">
        <v>78</v>
      </c>
      <c r="J812" t="s">
        <v>126</v>
      </c>
      <c r="K812" t="s">
        <v>126</v>
      </c>
      <c r="L812" t="s">
        <v>126</v>
      </c>
      <c r="M812" t="s">
        <v>1460</v>
      </c>
      <c r="N812" t="b">
        <v>0</v>
      </c>
    </row>
    <row r="813" spans="1:14">
      <c r="A813">
        <v>48</v>
      </c>
      <c r="B813">
        <v>11</v>
      </c>
      <c r="C813" t="s">
        <v>177</v>
      </c>
      <c r="D813" t="s">
        <v>724</v>
      </c>
      <c r="E813" t="s">
        <v>100</v>
      </c>
      <c r="F813">
        <v>40</v>
      </c>
      <c r="G813" t="s">
        <v>126</v>
      </c>
      <c r="H813" t="s">
        <v>126</v>
      </c>
      <c r="I813" t="s">
        <v>100</v>
      </c>
      <c r="J813" t="s">
        <v>126</v>
      </c>
      <c r="K813" t="s">
        <v>126</v>
      </c>
      <c r="L813" t="s">
        <v>126</v>
      </c>
      <c r="M813" t="s">
        <v>1461</v>
      </c>
      <c r="N813" t="b">
        <v>0</v>
      </c>
    </row>
    <row r="814" spans="1:14">
      <c r="A814">
        <v>48</v>
      </c>
      <c r="B814">
        <v>12</v>
      </c>
      <c r="C814" t="s">
        <v>232</v>
      </c>
      <c r="D814" t="s">
        <v>724</v>
      </c>
      <c r="E814" t="s">
        <v>108</v>
      </c>
      <c r="F814">
        <v>50</v>
      </c>
      <c r="G814" t="s">
        <v>126</v>
      </c>
      <c r="H814" t="s">
        <v>126</v>
      </c>
      <c r="I814" t="s">
        <v>108</v>
      </c>
      <c r="J814" t="s">
        <v>126</v>
      </c>
      <c r="K814" t="s">
        <v>126</v>
      </c>
      <c r="L814" t="s">
        <v>126</v>
      </c>
      <c r="M814" t="s">
        <v>1462</v>
      </c>
      <c r="N814" t="b">
        <v>0</v>
      </c>
    </row>
    <row r="815" spans="1:14">
      <c r="A815">
        <v>48</v>
      </c>
      <c r="B815">
        <v>13</v>
      </c>
      <c r="C815" t="s">
        <v>126</v>
      </c>
      <c r="D815" t="s">
        <v>724</v>
      </c>
      <c r="E815" t="s">
        <v>126</v>
      </c>
      <c r="F815">
        <v>0</v>
      </c>
      <c r="G815" t="s">
        <v>126</v>
      </c>
      <c r="H815" t="s">
        <v>126</v>
      </c>
      <c r="I815" t="s">
        <v>126</v>
      </c>
      <c r="J815" t="s">
        <v>126</v>
      </c>
      <c r="K815" t="s">
        <v>126</v>
      </c>
      <c r="L815" t="s">
        <v>126</v>
      </c>
      <c r="M815" t="s">
        <v>1463</v>
      </c>
      <c r="N815" t="b">
        <v>0</v>
      </c>
    </row>
    <row r="816" spans="1:14">
      <c r="A816">
        <v>48</v>
      </c>
      <c r="B816">
        <v>14</v>
      </c>
      <c r="C816" t="s">
        <v>126</v>
      </c>
      <c r="D816" t="s">
        <v>724</v>
      </c>
      <c r="E816" t="s">
        <v>126</v>
      </c>
      <c r="F816">
        <v>0</v>
      </c>
      <c r="G816" t="s">
        <v>126</v>
      </c>
      <c r="H816" t="s">
        <v>126</v>
      </c>
      <c r="I816" t="s">
        <v>126</v>
      </c>
      <c r="J816" t="s">
        <v>126</v>
      </c>
      <c r="K816" t="s">
        <v>126</v>
      </c>
      <c r="L816" t="s">
        <v>126</v>
      </c>
      <c r="M816" t="s">
        <v>1464</v>
      </c>
      <c r="N816" t="b">
        <v>0</v>
      </c>
    </row>
    <row r="817" spans="1:14">
      <c r="A817">
        <v>48</v>
      </c>
      <c r="B817">
        <v>15</v>
      </c>
      <c r="C817" t="s">
        <v>126</v>
      </c>
      <c r="D817" t="s">
        <v>724</v>
      </c>
      <c r="E817" t="s">
        <v>126</v>
      </c>
      <c r="F817">
        <v>0</v>
      </c>
      <c r="G817" t="s">
        <v>126</v>
      </c>
      <c r="H817" t="s">
        <v>126</v>
      </c>
      <c r="I817" t="s">
        <v>126</v>
      </c>
      <c r="J817" t="s">
        <v>126</v>
      </c>
      <c r="K817" t="s">
        <v>126</v>
      </c>
      <c r="L817" t="s">
        <v>126</v>
      </c>
      <c r="M817" t="s">
        <v>1465</v>
      </c>
      <c r="N817" t="b">
        <v>0</v>
      </c>
    </row>
    <row r="818" spans="1:14">
      <c r="A818">
        <v>48</v>
      </c>
      <c r="B818">
        <v>16</v>
      </c>
      <c r="C818" t="s">
        <v>348</v>
      </c>
      <c r="D818" t="s">
        <v>741</v>
      </c>
      <c r="E818" t="s">
        <v>543</v>
      </c>
      <c r="F818">
        <v>40</v>
      </c>
      <c r="G818" t="s">
        <v>760</v>
      </c>
      <c r="H818" t="s">
        <v>126</v>
      </c>
      <c r="I818" t="s">
        <v>126</v>
      </c>
      <c r="J818" t="s">
        <v>1102</v>
      </c>
      <c r="K818" t="s">
        <v>1103</v>
      </c>
      <c r="L818" t="s">
        <v>1056</v>
      </c>
      <c r="M818" t="s">
        <v>1466</v>
      </c>
      <c r="N818" t="b">
        <v>0</v>
      </c>
    </row>
    <row r="819" spans="1:14">
      <c r="A819">
        <v>48</v>
      </c>
      <c r="B819">
        <v>17</v>
      </c>
      <c r="C819" t="s">
        <v>349</v>
      </c>
      <c r="D819" t="s">
        <v>741</v>
      </c>
      <c r="E819" t="s">
        <v>87</v>
      </c>
      <c r="F819">
        <v>40</v>
      </c>
      <c r="G819" t="s">
        <v>126</v>
      </c>
      <c r="H819" t="s">
        <v>126</v>
      </c>
      <c r="I819" t="s">
        <v>87</v>
      </c>
      <c r="J819" t="s">
        <v>126</v>
      </c>
      <c r="K819" t="s">
        <v>126</v>
      </c>
      <c r="L819" t="s">
        <v>126</v>
      </c>
      <c r="M819" t="s">
        <v>1467</v>
      </c>
      <c r="N819" t="b">
        <v>0</v>
      </c>
    </row>
    <row r="820" spans="1:14">
      <c r="A820">
        <v>48</v>
      </c>
      <c r="B820">
        <v>18</v>
      </c>
      <c r="C820" t="s">
        <v>350</v>
      </c>
      <c r="D820" t="s">
        <v>741</v>
      </c>
      <c r="E820" t="s">
        <v>544</v>
      </c>
      <c r="F820">
        <v>40</v>
      </c>
      <c r="G820" t="s">
        <v>760</v>
      </c>
      <c r="H820" t="s">
        <v>126</v>
      </c>
      <c r="I820" t="s">
        <v>126</v>
      </c>
      <c r="J820" t="s">
        <v>817</v>
      </c>
      <c r="K820" t="s">
        <v>792</v>
      </c>
      <c r="L820" t="s">
        <v>793</v>
      </c>
      <c r="M820" t="s">
        <v>1468</v>
      </c>
      <c r="N820" t="b">
        <v>0</v>
      </c>
    </row>
    <row r="821" spans="1:14">
      <c r="A821">
        <v>48</v>
      </c>
      <c r="B821">
        <v>19</v>
      </c>
      <c r="C821" t="s">
        <v>351</v>
      </c>
      <c r="D821" t="s">
        <v>741</v>
      </c>
      <c r="E821" t="s">
        <v>297</v>
      </c>
      <c r="F821">
        <v>40</v>
      </c>
      <c r="G821" t="s">
        <v>760</v>
      </c>
      <c r="H821" t="s">
        <v>126</v>
      </c>
      <c r="I821" t="s">
        <v>126</v>
      </c>
      <c r="J821" t="s">
        <v>761</v>
      </c>
      <c r="K821" t="s">
        <v>765</v>
      </c>
      <c r="L821" t="s">
        <v>766</v>
      </c>
      <c r="M821" t="s">
        <v>1469</v>
      </c>
      <c r="N821" t="b">
        <v>0</v>
      </c>
    </row>
    <row r="822" spans="1:14">
      <c r="A822">
        <v>48</v>
      </c>
      <c r="B822">
        <v>20</v>
      </c>
      <c r="C822" t="s">
        <v>126</v>
      </c>
      <c r="D822" t="s">
        <v>741</v>
      </c>
      <c r="E822" t="s">
        <v>126</v>
      </c>
      <c r="F822">
        <v>0</v>
      </c>
      <c r="G822" t="s">
        <v>126</v>
      </c>
      <c r="H822" t="s">
        <v>126</v>
      </c>
      <c r="I822" t="s">
        <v>126</v>
      </c>
      <c r="J822" t="s">
        <v>126</v>
      </c>
      <c r="K822" t="s">
        <v>126</v>
      </c>
      <c r="L822" t="s">
        <v>126</v>
      </c>
      <c r="M822" t="s">
        <v>1470</v>
      </c>
      <c r="N822" t="b">
        <v>0</v>
      </c>
    </row>
    <row r="823" spans="1:14">
      <c r="A823">
        <v>48</v>
      </c>
      <c r="B823">
        <v>21</v>
      </c>
      <c r="C823" t="s">
        <v>126</v>
      </c>
      <c r="D823" t="s">
        <v>741</v>
      </c>
      <c r="E823" t="s">
        <v>126</v>
      </c>
      <c r="F823">
        <v>0</v>
      </c>
      <c r="G823" t="s">
        <v>126</v>
      </c>
      <c r="H823" t="s">
        <v>126</v>
      </c>
      <c r="I823" t="s">
        <v>126</v>
      </c>
      <c r="J823" t="s">
        <v>126</v>
      </c>
      <c r="K823" t="s">
        <v>126</v>
      </c>
      <c r="L823" t="s">
        <v>126</v>
      </c>
      <c r="M823" t="s">
        <v>1471</v>
      </c>
      <c r="N823" t="b">
        <v>0</v>
      </c>
    </row>
    <row r="824" spans="1:14">
      <c r="A824">
        <v>48</v>
      </c>
      <c r="B824">
        <v>22</v>
      </c>
      <c r="C824" t="s">
        <v>126</v>
      </c>
      <c r="D824" t="s">
        <v>741</v>
      </c>
      <c r="E824" t="s">
        <v>126</v>
      </c>
      <c r="F824">
        <v>0</v>
      </c>
      <c r="G824" t="s">
        <v>126</v>
      </c>
      <c r="H824" t="s">
        <v>126</v>
      </c>
      <c r="I824" t="s">
        <v>126</v>
      </c>
      <c r="J824" t="s">
        <v>126</v>
      </c>
      <c r="K824" t="s">
        <v>126</v>
      </c>
      <c r="L824" t="s">
        <v>126</v>
      </c>
      <c r="M824" t="s">
        <v>1472</v>
      </c>
      <c r="N824" t="b">
        <v>0</v>
      </c>
    </row>
    <row r="825" spans="1:14">
      <c r="A825">
        <v>48</v>
      </c>
      <c r="B825">
        <v>23</v>
      </c>
      <c r="C825" t="s">
        <v>126</v>
      </c>
      <c r="D825" t="s">
        <v>741</v>
      </c>
      <c r="E825" t="s">
        <v>126</v>
      </c>
      <c r="F825">
        <v>0</v>
      </c>
      <c r="G825" t="s">
        <v>126</v>
      </c>
      <c r="H825" t="s">
        <v>126</v>
      </c>
      <c r="I825" t="s">
        <v>126</v>
      </c>
      <c r="J825" t="s">
        <v>126</v>
      </c>
      <c r="K825" t="s">
        <v>126</v>
      </c>
      <c r="L825" t="s">
        <v>126</v>
      </c>
      <c r="M825" t="s">
        <v>1473</v>
      </c>
      <c r="N825" t="b">
        <v>0</v>
      </c>
    </row>
    <row r="826" spans="1:14">
      <c r="A826">
        <v>48</v>
      </c>
      <c r="B826">
        <v>24</v>
      </c>
      <c r="C826" t="s">
        <v>126</v>
      </c>
      <c r="D826" t="s">
        <v>741</v>
      </c>
      <c r="E826" t="s">
        <v>126</v>
      </c>
      <c r="F826">
        <v>0</v>
      </c>
      <c r="G826" t="s">
        <v>126</v>
      </c>
      <c r="H826" t="s">
        <v>126</v>
      </c>
      <c r="I826" t="s">
        <v>126</v>
      </c>
      <c r="J826" t="s">
        <v>126</v>
      </c>
      <c r="K826" t="s">
        <v>126</v>
      </c>
      <c r="L826" t="s">
        <v>126</v>
      </c>
      <c r="M826" t="s">
        <v>1474</v>
      </c>
      <c r="N826" t="b">
        <v>0</v>
      </c>
    </row>
    <row r="827" spans="1:14">
      <c r="A827">
        <v>48</v>
      </c>
      <c r="B827">
        <v>25</v>
      </c>
      <c r="C827" t="s">
        <v>126</v>
      </c>
      <c r="D827" t="s">
        <v>741</v>
      </c>
      <c r="E827" t="s">
        <v>126</v>
      </c>
      <c r="F827">
        <v>0</v>
      </c>
      <c r="G827" t="s">
        <v>126</v>
      </c>
      <c r="H827" t="s">
        <v>126</v>
      </c>
      <c r="I827" t="s">
        <v>126</v>
      </c>
      <c r="J827" t="s">
        <v>126</v>
      </c>
      <c r="K827" t="s">
        <v>126</v>
      </c>
      <c r="L827" t="s">
        <v>126</v>
      </c>
      <c r="M827" t="s">
        <v>1475</v>
      </c>
      <c r="N827" t="b">
        <v>0</v>
      </c>
    </row>
    <row r="828" spans="1:14">
      <c r="A828">
        <v>48</v>
      </c>
      <c r="B828">
        <v>26</v>
      </c>
      <c r="C828" t="s">
        <v>126</v>
      </c>
      <c r="D828" t="s">
        <v>741</v>
      </c>
      <c r="E828" t="s">
        <v>126</v>
      </c>
      <c r="F828">
        <v>0</v>
      </c>
      <c r="G828" t="s">
        <v>126</v>
      </c>
      <c r="H828" t="s">
        <v>126</v>
      </c>
      <c r="I828" t="s">
        <v>126</v>
      </c>
      <c r="J828" t="s">
        <v>126</v>
      </c>
      <c r="K828" t="s">
        <v>126</v>
      </c>
      <c r="L828" t="s">
        <v>126</v>
      </c>
      <c r="M828" t="s">
        <v>1476</v>
      </c>
      <c r="N828" t="b">
        <v>0</v>
      </c>
    </row>
    <row r="829" spans="1:14">
      <c r="A829">
        <v>49</v>
      </c>
      <c r="B829">
        <v>0</v>
      </c>
      <c r="C829" t="s">
        <v>216</v>
      </c>
      <c r="D829" t="s">
        <v>724</v>
      </c>
      <c r="E829" t="s">
        <v>65</v>
      </c>
      <c r="F829">
        <v>60</v>
      </c>
      <c r="G829" t="s">
        <v>126</v>
      </c>
      <c r="H829" t="s">
        <v>126</v>
      </c>
      <c r="I829" t="s">
        <v>65</v>
      </c>
      <c r="J829" t="s">
        <v>126</v>
      </c>
      <c r="K829" t="s">
        <v>126</v>
      </c>
      <c r="L829" t="s">
        <v>126</v>
      </c>
      <c r="M829" t="s">
        <v>1477</v>
      </c>
      <c r="N829" t="b">
        <v>0</v>
      </c>
    </row>
    <row r="830" spans="1:14">
      <c r="A830">
        <v>49</v>
      </c>
      <c r="B830">
        <v>1</v>
      </c>
      <c r="C830" t="s">
        <v>226</v>
      </c>
      <c r="D830" t="s">
        <v>724</v>
      </c>
      <c r="E830" t="s">
        <v>77</v>
      </c>
      <c r="F830">
        <v>50</v>
      </c>
      <c r="G830" t="s">
        <v>126</v>
      </c>
      <c r="H830" t="s">
        <v>126</v>
      </c>
      <c r="I830" t="s">
        <v>77</v>
      </c>
      <c r="J830" t="s">
        <v>126</v>
      </c>
      <c r="K830" t="s">
        <v>126</v>
      </c>
      <c r="L830" t="s">
        <v>126</v>
      </c>
      <c r="M830" t="s">
        <v>1478</v>
      </c>
      <c r="N830" t="b">
        <v>0</v>
      </c>
    </row>
    <row r="831" spans="1:14">
      <c r="A831">
        <v>49</v>
      </c>
      <c r="B831">
        <v>2</v>
      </c>
      <c r="C831" t="s">
        <v>268</v>
      </c>
      <c r="D831" t="s">
        <v>724</v>
      </c>
      <c r="E831" t="s">
        <v>83</v>
      </c>
      <c r="F831">
        <v>30</v>
      </c>
      <c r="G831" t="s">
        <v>126</v>
      </c>
      <c r="H831" t="s">
        <v>126</v>
      </c>
      <c r="I831" t="s">
        <v>83</v>
      </c>
      <c r="J831" t="s">
        <v>126</v>
      </c>
      <c r="K831" t="s">
        <v>126</v>
      </c>
      <c r="L831" t="s">
        <v>126</v>
      </c>
      <c r="M831" t="s">
        <v>1479</v>
      </c>
      <c r="N831" t="b">
        <v>0</v>
      </c>
    </row>
    <row r="832" spans="1:14">
      <c r="A832">
        <v>49</v>
      </c>
      <c r="B832">
        <v>3</v>
      </c>
      <c r="C832" t="s">
        <v>238</v>
      </c>
      <c r="D832" t="s">
        <v>724</v>
      </c>
      <c r="E832" t="s">
        <v>544</v>
      </c>
      <c r="F832">
        <v>40</v>
      </c>
      <c r="G832" t="s">
        <v>126</v>
      </c>
      <c r="H832" t="s">
        <v>547</v>
      </c>
      <c r="I832" t="s">
        <v>508</v>
      </c>
      <c r="J832" t="s">
        <v>126</v>
      </c>
      <c r="K832" t="s">
        <v>792</v>
      </c>
      <c r="L832" t="s">
        <v>793</v>
      </c>
      <c r="M832" t="s">
        <v>1480</v>
      </c>
      <c r="N832" t="b">
        <v>0</v>
      </c>
    </row>
    <row r="833" spans="1:14">
      <c r="A833">
        <v>49</v>
      </c>
      <c r="B833">
        <v>4</v>
      </c>
      <c r="C833" t="s">
        <v>239</v>
      </c>
      <c r="D833" t="s">
        <v>724</v>
      </c>
      <c r="E833" t="s">
        <v>544</v>
      </c>
      <c r="F833">
        <v>40</v>
      </c>
      <c r="G833" t="s">
        <v>126</v>
      </c>
      <c r="H833" t="s">
        <v>557</v>
      </c>
      <c r="I833" t="s">
        <v>486</v>
      </c>
      <c r="J833" t="s">
        <v>126</v>
      </c>
      <c r="K833" t="s">
        <v>795</v>
      </c>
      <c r="L833" t="s">
        <v>796</v>
      </c>
      <c r="M833" t="s">
        <v>1481</v>
      </c>
      <c r="N833" t="b">
        <v>0</v>
      </c>
    </row>
    <row r="834" spans="1:14">
      <c r="A834">
        <v>49</v>
      </c>
      <c r="B834">
        <v>5</v>
      </c>
      <c r="C834" t="s">
        <v>229</v>
      </c>
      <c r="D834" t="s">
        <v>724</v>
      </c>
      <c r="E834" t="s">
        <v>101</v>
      </c>
      <c r="F834">
        <v>40</v>
      </c>
      <c r="G834" t="s">
        <v>126</v>
      </c>
      <c r="H834" t="s">
        <v>126</v>
      </c>
      <c r="I834" t="s">
        <v>101</v>
      </c>
      <c r="J834" t="s">
        <v>126</v>
      </c>
      <c r="K834" t="s">
        <v>126</v>
      </c>
      <c r="L834" t="s">
        <v>126</v>
      </c>
      <c r="M834" t="s">
        <v>1482</v>
      </c>
      <c r="N834" t="b">
        <v>0</v>
      </c>
    </row>
    <row r="835" spans="1:14">
      <c r="A835">
        <v>49</v>
      </c>
      <c r="B835">
        <v>6</v>
      </c>
      <c r="C835" t="s">
        <v>198</v>
      </c>
      <c r="D835" t="s">
        <v>724</v>
      </c>
      <c r="E835" t="s">
        <v>113</v>
      </c>
      <c r="F835">
        <v>50</v>
      </c>
      <c r="G835" t="s">
        <v>126</v>
      </c>
      <c r="H835" t="s">
        <v>126</v>
      </c>
      <c r="I835" t="s">
        <v>113</v>
      </c>
      <c r="J835" t="s">
        <v>126</v>
      </c>
      <c r="K835" t="s">
        <v>126</v>
      </c>
      <c r="L835" t="s">
        <v>126</v>
      </c>
      <c r="M835" t="s">
        <v>1483</v>
      </c>
      <c r="N835" t="b">
        <v>0</v>
      </c>
    </row>
    <row r="836" spans="1:14">
      <c r="A836">
        <v>49</v>
      </c>
      <c r="B836">
        <v>7</v>
      </c>
      <c r="C836" t="s">
        <v>353</v>
      </c>
      <c r="D836" t="s">
        <v>724</v>
      </c>
      <c r="E836" t="s">
        <v>331</v>
      </c>
      <c r="F836">
        <v>60</v>
      </c>
      <c r="G836" t="s">
        <v>126</v>
      </c>
      <c r="H836" t="s">
        <v>553</v>
      </c>
      <c r="I836" t="s">
        <v>1484</v>
      </c>
      <c r="J836" t="s">
        <v>126</v>
      </c>
      <c r="K836" t="s">
        <v>921</v>
      </c>
      <c r="L836" t="s">
        <v>922</v>
      </c>
      <c r="M836" t="s">
        <v>1485</v>
      </c>
      <c r="N836" t="b">
        <v>0</v>
      </c>
    </row>
    <row r="837" spans="1:14">
      <c r="A837">
        <v>49</v>
      </c>
      <c r="B837">
        <v>8</v>
      </c>
      <c r="C837" t="s">
        <v>354</v>
      </c>
      <c r="D837" t="s">
        <v>724</v>
      </c>
      <c r="E837" t="s">
        <v>331</v>
      </c>
      <c r="F837">
        <v>20</v>
      </c>
      <c r="G837" t="s">
        <v>126</v>
      </c>
      <c r="H837" t="s">
        <v>548</v>
      </c>
      <c r="I837" t="s">
        <v>445</v>
      </c>
      <c r="J837" t="s">
        <v>126</v>
      </c>
      <c r="K837" t="s">
        <v>1486</v>
      </c>
      <c r="L837" t="s">
        <v>1487</v>
      </c>
      <c r="M837" t="s">
        <v>1488</v>
      </c>
      <c r="N837" t="b">
        <v>0</v>
      </c>
    </row>
    <row r="838" spans="1:14">
      <c r="A838">
        <v>49</v>
      </c>
      <c r="B838">
        <v>9</v>
      </c>
      <c r="C838" t="s">
        <v>355</v>
      </c>
      <c r="D838" t="s">
        <v>724</v>
      </c>
      <c r="E838" t="s">
        <v>74</v>
      </c>
      <c r="F838">
        <v>60</v>
      </c>
      <c r="G838" t="s">
        <v>126</v>
      </c>
      <c r="H838" t="s">
        <v>126</v>
      </c>
      <c r="I838" t="s">
        <v>74</v>
      </c>
      <c r="J838" t="s">
        <v>126</v>
      </c>
      <c r="K838" t="s">
        <v>126</v>
      </c>
      <c r="L838" t="s">
        <v>126</v>
      </c>
      <c r="M838" t="s">
        <v>1489</v>
      </c>
      <c r="N838" t="b">
        <v>0</v>
      </c>
    </row>
    <row r="839" spans="1:14">
      <c r="A839">
        <v>49</v>
      </c>
      <c r="B839">
        <v>10</v>
      </c>
      <c r="C839" t="s">
        <v>356</v>
      </c>
      <c r="D839" t="s">
        <v>724</v>
      </c>
      <c r="E839" t="s">
        <v>358</v>
      </c>
      <c r="F839">
        <v>60</v>
      </c>
      <c r="G839" t="s">
        <v>126</v>
      </c>
      <c r="H839" t="s">
        <v>559</v>
      </c>
      <c r="I839" t="s">
        <v>363</v>
      </c>
      <c r="J839" t="s">
        <v>126</v>
      </c>
      <c r="K839" t="s">
        <v>1164</v>
      </c>
      <c r="L839" t="s">
        <v>1165</v>
      </c>
      <c r="M839" t="s">
        <v>1490</v>
      </c>
      <c r="N839" t="b">
        <v>0</v>
      </c>
    </row>
    <row r="840" spans="1:14">
      <c r="A840">
        <v>49</v>
      </c>
      <c r="B840">
        <v>11</v>
      </c>
      <c r="C840" t="s">
        <v>357</v>
      </c>
      <c r="D840" t="s">
        <v>724</v>
      </c>
      <c r="E840" t="s">
        <v>545</v>
      </c>
      <c r="F840">
        <v>50</v>
      </c>
      <c r="G840" t="s">
        <v>126</v>
      </c>
      <c r="H840" t="s">
        <v>583</v>
      </c>
      <c r="I840" t="s">
        <v>496</v>
      </c>
      <c r="J840" t="s">
        <v>126</v>
      </c>
      <c r="K840" t="s">
        <v>801</v>
      </c>
      <c r="L840" t="s">
        <v>802</v>
      </c>
      <c r="M840" t="s">
        <v>1491</v>
      </c>
      <c r="N840" t="b">
        <v>0</v>
      </c>
    </row>
    <row r="841" spans="1:14">
      <c r="A841">
        <v>49</v>
      </c>
      <c r="B841">
        <v>12</v>
      </c>
      <c r="C841" t="s">
        <v>223</v>
      </c>
      <c r="D841" t="s">
        <v>724</v>
      </c>
      <c r="E841" t="s">
        <v>107</v>
      </c>
      <c r="F841">
        <v>50</v>
      </c>
      <c r="G841" t="s">
        <v>126</v>
      </c>
      <c r="H841" t="s">
        <v>126</v>
      </c>
      <c r="I841" t="s">
        <v>107</v>
      </c>
      <c r="J841" t="s">
        <v>126</v>
      </c>
      <c r="K841" t="s">
        <v>126</v>
      </c>
      <c r="L841" t="s">
        <v>126</v>
      </c>
      <c r="M841" t="s">
        <v>1492</v>
      </c>
      <c r="N841" t="b">
        <v>0</v>
      </c>
    </row>
    <row r="842" spans="1:14">
      <c r="A842">
        <v>49</v>
      </c>
      <c r="B842">
        <v>13</v>
      </c>
      <c r="C842" t="s">
        <v>126</v>
      </c>
      <c r="D842" t="s">
        <v>724</v>
      </c>
      <c r="E842" t="s">
        <v>126</v>
      </c>
      <c r="F842">
        <v>0</v>
      </c>
      <c r="G842" t="s">
        <v>126</v>
      </c>
      <c r="H842" t="s">
        <v>126</v>
      </c>
      <c r="I842" t="s">
        <v>126</v>
      </c>
      <c r="J842" t="s">
        <v>126</v>
      </c>
      <c r="K842" t="s">
        <v>126</v>
      </c>
      <c r="L842" t="s">
        <v>126</v>
      </c>
      <c r="M842" t="s">
        <v>1493</v>
      </c>
      <c r="N842" t="b">
        <v>0</v>
      </c>
    </row>
    <row r="843" spans="1:14">
      <c r="A843">
        <v>49</v>
      </c>
      <c r="B843">
        <v>14</v>
      </c>
      <c r="C843" t="s">
        <v>126</v>
      </c>
      <c r="D843" t="s">
        <v>724</v>
      </c>
      <c r="E843" t="s">
        <v>126</v>
      </c>
      <c r="F843">
        <v>0</v>
      </c>
      <c r="G843" t="s">
        <v>126</v>
      </c>
      <c r="H843" t="s">
        <v>126</v>
      </c>
      <c r="I843" t="s">
        <v>126</v>
      </c>
      <c r="J843" t="s">
        <v>126</v>
      </c>
      <c r="K843" t="s">
        <v>126</v>
      </c>
      <c r="L843" t="s">
        <v>126</v>
      </c>
      <c r="M843" t="s">
        <v>1494</v>
      </c>
      <c r="N843" t="b">
        <v>0</v>
      </c>
    </row>
    <row r="844" spans="1:14">
      <c r="A844">
        <v>49</v>
      </c>
      <c r="B844">
        <v>15</v>
      </c>
      <c r="C844" t="s">
        <v>126</v>
      </c>
      <c r="D844" t="s">
        <v>724</v>
      </c>
      <c r="E844" t="s">
        <v>126</v>
      </c>
      <c r="F844">
        <v>0</v>
      </c>
      <c r="G844" t="s">
        <v>126</v>
      </c>
      <c r="H844" t="s">
        <v>126</v>
      </c>
      <c r="I844" t="s">
        <v>126</v>
      </c>
      <c r="J844" t="s">
        <v>126</v>
      </c>
      <c r="K844" t="s">
        <v>126</v>
      </c>
      <c r="L844" t="s">
        <v>126</v>
      </c>
      <c r="M844" t="s">
        <v>1495</v>
      </c>
      <c r="N844" t="b">
        <v>0</v>
      </c>
    </row>
    <row r="845" spans="1:14">
      <c r="A845">
        <v>49</v>
      </c>
      <c r="B845">
        <v>16</v>
      </c>
      <c r="C845" t="s">
        <v>126</v>
      </c>
      <c r="D845" t="s">
        <v>741</v>
      </c>
      <c r="E845" t="s">
        <v>126</v>
      </c>
      <c r="F845">
        <v>0</v>
      </c>
      <c r="G845" t="s">
        <v>126</v>
      </c>
      <c r="H845" t="s">
        <v>126</v>
      </c>
      <c r="I845" t="s">
        <v>126</v>
      </c>
      <c r="J845" t="s">
        <v>126</v>
      </c>
      <c r="K845" t="s">
        <v>126</v>
      </c>
      <c r="L845" t="s">
        <v>126</v>
      </c>
      <c r="M845" t="s">
        <v>1496</v>
      </c>
      <c r="N845" t="b">
        <v>0</v>
      </c>
    </row>
    <row r="846" spans="1:14">
      <c r="A846">
        <v>49</v>
      </c>
      <c r="B846">
        <v>17</v>
      </c>
      <c r="C846" t="s">
        <v>126</v>
      </c>
      <c r="D846" t="s">
        <v>741</v>
      </c>
      <c r="E846" t="s">
        <v>126</v>
      </c>
      <c r="F846">
        <v>0</v>
      </c>
      <c r="G846" t="s">
        <v>126</v>
      </c>
      <c r="H846" t="s">
        <v>126</v>
      </c>
      <c r="I846" t="s">
        <v>126</v>
      </c>
      <c r="J846" t="s">
        <v>126</v>
      </c>
      <c r="K846" t="s">
        <v>126</v>
      </c>
      <c r="L846" t="s">
        <v>126</v>
      </c>
      <c r="M846" t="s">
        <v>1497</v>
      </c>
      <c r="N846" t="b">
        <v>0</v>
      </c>
    </row>
    <row r="847" spans="1:14">
      <c r="A847">
        <v>49</v>
      </c>
      <c r="B847">
        <v>18</v>
      </c>
      <c r="C847" t="s">
        <v>126</v>
      </c>
      <c r="D847" t="s">
        <v>741</v>
      </c>
      <c r="E847" t="s">
        <v>126</v>
      </c>
      <c r="F847">
        <v>0</v>
      </c>
      <c r="G847" t="s">
        <v>126</v>
      </c>
      <c r="H847" t="s">
        <v>126</v>
      </c>
      <c r="I847" t="s">
        <v>126</v>
      </c>
      <c r="J847" t="s">
        <v>126</v>
      </c>
      <c r="K847" t="s">
        <v>126</v>
      </c>
      <c r="L847" t="s">
        <v>126</v>
      </c>
      <c r="M847" t="s">
        <v>1498</v>
      </c>
      <c r="N847" t="b">
        <v>0</v>
      </c>
    </row>
    <row r="848" spans="1:14">
      <c r="A848">
        <v>49</v>
      </c>
      <c r="B848">
        <v>19</v>
      </c>
      <c r="C848" t="s">
        <v>126</v>
      </c>
      <c r="D848" t="s">
        <v>741</v>
      </c>
      <c r="E848" t="s">
        <v>126</v>
      </c>
      <c r="F848">
        <v>0</v>
      </c>
      <c r="G848" t="s">
        <v>126</v>
      </c>
      <c r="H848" t="s">
        <v>126</v>
      </c>
      <c r="I848" t="s">
        <v>126</v>
      </c>
      <c r="J848" t="s">
        <v>126</v>
      </c>
      <c r="K848" t="s">
        <v>126</v>
      </c>
      <c r="L848" t="s">
        <v>126</v>
      </c>
      <c r="M848" t="s">
        <v>1499</v>
      </c>
      <c r="N848" t="b">
        <v>0</v>
      </c>
    </row>
    <row r="849" spans="1:14">
      <c r="A849">
        <v>49</v>
      </c>
      <c r="B849">
        <v>20</v>
      </c>
      <c r="C849" t="s">
        <v>126</v>
      </c>
      <c r="D849" t="s">
        <v>741</v>
      </c>
      <c r="E849" t="s">
        <v>126</v>
      </c>
      <c r="F849">
        <v>0</v>
      </c>
      <c r="G849" t="s">
        <v>126</v>
      </c>
      <c r="H849" t="s">
        <v>126</v>
      </c>
      <c r="I849" t="s">
        <v>126</v>
      </c>
      <c r="J849" t="s">
        <v>126</v>
      </c>
      <c r="K849" t="s">
        <v>126</v>
      </c>
      <c r="L849" t="s">
        <v>126</v>
      </c>
      <c r="M849" t="s">
        <v>1500</v>
      </c>
      <c r="N849" t="b">
        <v>0</v>
      </c>
    </row>
    <row r="850" spans="1:14">
      <c r="A850">
        <v>49</v>
      </c>
      <c r="B850">
        <v>21</v>
      </c>
      <c r="C850" t="s">
        <v>126</v>
      </c>
      <c r="D850" t="s">
        <v>741</v>
      </c>
      <c r="E850" t="s">
        <v>126</v>
      </c>
      <c r="F850">
        <v>0</v>
      </c>
      <c r="G850" t="s">
        <v>126</v>
      </c>
      <c r="H850" t="s">
        <v>126</v>
      </c>
      <c r="I850" t="s">
        <v>126</v>
      </c>
      <c r="J850" t="s">
        <v>126</v>
      </c>
      <c r="K850" t="s">
        <v>126</v>
      </c>
      <c r="L850" t="s">
        <v>126</v>
      </c>
      <c r="M850" t="s">
        <v>1501</v>
      </c>
      <c r="N850" t="b">
        <v>0</v>
      </c>
    </row>
    <row r="851" spans="1:14">
      <c r="A851">
        <v>49</v>
      </c>
      <c r="B851">
        <v>22</v>
      </c>
      <c r="C851" t="s">
        <v>126</v>
      </c>
      <c r="D851" t="s">
        <v>741</v>
      </c>
      <c r="E851" t="s">
        <v>126</v>
      </c>
      <c r="F851">
        <v>0</v>
      </c>
      <c r="G851" t="s">
        <v>126</v>
      </c>
      <c r="H851" t="s">
        <v>126</v>
      </c>
      <c r="I851" t="s">
        <v>126</v>
      </c>
      <c r="J851" t="s">
        <v>126</v>
      </c>
      <c r="K851" t="s">
        <v>126</v>
      </c>
      <c r="L851" t="s">
        <v>126</v>
      </c>
      <c r="M851" t="s">
        <v>1502</v>
      </c>
      <c r="N851" t="b">
        <v>0</v>
      </c>
    </row>
    <row r="852" spans="1:14">
      <c r="A852">
        <v>49</v>
      </c>
      <c r="B852">
        <v>23</v>
      </c>
      <c r="C852" t="s">
        <v>126</v>
      </c>
      <c r="D852" t="s">
        <v>741</v>
      </c>
      <c r="E852" t="s">
        <v>126</v>
      </c>
      <c r="F852">
        <v>0</v>
      </c>
      <c r="G852" t="s">
        <v>126</v>
      </c>
      <c r="H852" t="s">
        <v>126</v>
      </c>
      <c r="I852" t="s">
        <v>126</v>
      </c>
      <c r="J852" t="s">
        <v>126</v>
      </c>
      <c r="K852" t="s">
        <v>126</v>
      </c>
      <c r="L852" t="s">
        <v>126</v>
      </c>
      <c r="M852" t="s">
        <v>1503</v>
      </c>
      <c r="N852" t="b">
        <v>0</v>
      </c>
    </row>
    <row r="853" spans="1:14">
      <c r="A853">
        <v>49</v>
      </c>
      <c r="B853">
        <v>24</v>
      </c>
      <c r="C853" t="s">
        <v>126</v>
      </c>
      <c r="D853" t="s">
        <v>741</v>
      </c>
      <c r="E853" t="s">
        <v>126</v>
      </c>
      <c r="F853">
        <v>0</v>
      </c>
      <c r="G853" t="s">
        <v>126</v>
      </c>
      <c r="H853" t="s">
        <v>126</v>
      </c>
      <c r="I853" t="s">
        <v>126</v>
      </c>
      <c r="J853" t="s">
        <v>126</v>
      </c>
      <c r="K853" t="s">
        <v>126</v>
      </c>
      <c r="L853" t="s">
        <v>126</v>
      </c>
      <c r="M853" t="s">
        <v>1504</v>
      </c>
      <c r="N853" t="b">
        <v>0</v>
      </c>
    </row>
    <row r="854" spans="1:14">
      <c r="A854">
        <v>49</v>
      </c>
      <c r="B854">
        <v>25</v>
      </c>
      <c r="C854" t="s">
        <v>126</v>
      </c>
      <c r="D854" t="s">
        <v>741</v>
      </c>
      <c r="E854" t="s">
        <v>126</v>
      </c>
      <c r="F854">
        <v>0</v>
      </c>
      <c r="G854" t="s">
        <v>126</v>
      </c>
      <c r="H854" t="s">
        <v>126</v>
      </c>
      <c r="I854" t="s">
        <v>126</v>
      </c>
      <c r="J854" t="s">
        <v>126</v>
      </c>
      <c r="K854" t="s">
        <v>126</v>
      </c>
      <c r="L854" t="s">
        <v>126</v>
      </c>
      <c r="M854" t="s">
        <v>1505</v>
      </c>
      <c r="N854" t="b">
        <v>0</v>
      </c>
    </row>
    <row r="855" spans="1:14">
      <c r="A855">
        <v>49</v>
      </c>
      <c r="B855">
        <v>26</v>
      </c>
      <c r="C855" t="s">
        <v>126</v>
      </c>
      <c r="D855" t="s">
        <v>741</v>
      </c>
      <c r="E855" t="s">
        <v>126</v>
      </c>
      <c r="F855">
        <v>0</v>
      </c>
      <c r="G855" t="s">
        <v>126</v>
      </c>
      <c r="H855" t="s">
        <v>126</v>
      </c>
      <c r="I855" t="s">
        <v>126</v>
      </c>
      <c r="J855" t="s">
        <v>126</v>
      </c>
      <c r="K855" t="s">
        <v>126</v>
      </c>
      <c r="L855" t="s">
        <v>126</v>
      </c>
      <c r="M855" t="s">
        <v>1506</v>
      </c>
      <c r="N855" t="b">
        <v>0</v>
      </c>
    </row>
    <row r="856" spans="1:14">
      <c r="A856">
        <v>50</v>
      </c>
      <c r="B856">
        <v>0</v>
      </c>
      <c r="C856" t="s">
        <v>216</v>
      </c>
      <c r="D856" t="s">
        <v>724</v>
      </c>
      <c r="E856" t="s">
        <v>65</v>
      </c>
      <c r="F856">
        <v>60</v>
      </c>
      <c r="G856" t="s">
        <v>126</v>
      </c>
      <c r="H856" t="s">
        <v>126</v>
      </c>
      <c r="I856" t="s">
        <v>65</v>
      </c>
      <c r="J856" t="s">
        <v>126</v>
      </c>
      <c r="K856" t="s">
        <v>126</v>
      </c>
      <c r="L856" t="s">
        <v>126</v>
      </c>
      <c r="M856" t="s">
        <v>1507</v>
      </c>
      <c r="N856" t="b">
        <v>0</v>
      </c>
    </row>
    <row r="857" spans="1:14">
      <c r="A857">
        <v>50</v>
      </c>
      <c r="B857">
        <v>1</v>
      </c>
      <c r="C857" t="s">
        <v>217</v>
      </c>
      <c r="D857" t="s">
        <v>724</v>
      </c>
      <c r="E857" t="s">
        <v>77</v>
      </c>
      <c r="F857">
        <v>60</v>
      </c>
      <c r="G857" t="s">
        <v>126</v>
      </c>
      <c r="H857" t="s">
        <v>126</v>
      </c>
      <c r="I857" t="s">
        <v>77</v>
      </c>
      <c r="J857" t="s">
        <v>126</v>
      </c>
      <c r="K857" t="s">
        <v>126</v>
      </c>
      <c r="L857" t="s">
        <v>126</v>
      </c>
      <c r="M857" t="s">
        <v>1508</v>
      </c>
      <c r="N857" t="b">
        <v>0</v>
      </c>
    </row>
    <row r="858" spans="1:14">
      <c r="A858">
        <v>50</v>
      </c>
      <c r="B858">
        <v>2</v>
      </c>
      <c r="C858" t="s">
        <v>219</v>
      </c>
      <c r="D858" t="s">
        <v>724</v>
      </c>
      <c r="E858" t="s">
        <v>101</v>
      </c>
      <c r="F858">
        <v>60</v>
      </c>
      <c r="G858" t="s">
        <v>126</v>
      </c>
      <c r="H858" t="s">
        <v>126</v>
      </c>
      <c r="I858" t="s">
        <v>101</v>
      </c>
      <c r="J858" t="s">
        <v>126</v>
      </c>
      <c r="K858" t="s">
        <v>126</v>
      </c>
      <c r="L858" t="s">
        <v>126</v>
      </c>
      <c r="M858" t="s">
        <v>1509</v>
      </c>
      <c r="N858" t="b">
        <v>0</v>
      </c>
    </row>
    <row r="859" spans="1:14">
      <c r="A859">
        <v>50</v>
      </c>
      <c r="B859">
        <v>3</v>
      </c>
      <c r="C859" t="s">
        <v>198</v>
      </c>
      <c r="D859" t="s">
        <v>724</v>
      </c>
      <c r="E859" t="s">
        <v>113</v>
      </c>
      <c r="F859">
        <v>50</v>
      </c>
      <c r="G859" t="s">
        <v>126</v>
      </c>
      <c r="H859" t="s">
        <v>126</v>
      </c>
      <c r="I859" t="s">
        <v>113</v>
      </c>
      <c r="J859" t="s">
        <v>126</v>
      </c>
      <c r="K859" t="s">
        <v>126</v>
      </c>
      <c r="L859" t="s">
        <v>126</v>
      </c>
      <c r="M859" t="s">
        <v>1510</v>
      </c>
      <c r="N859" t="b">
        <v>0</v>
      </c>
    </row>
    <row r="860" spans="1:14">
      <c r="A860">
        <v>50</v>
      </c>
      <c r="B860">
        <v>4</v>
      </c>
      <c r="C860" t="s">
        <v>166</v>
      </c>
      <c r="D860" t="s">
        <v>724</v>
      </c>
      <c r="E860" t="s">
        <v>115</v>
      </c>
      <c r="F860">
        <v>50</v>
      </c>
      <c r="G860" t="s">
        <v>126</v>
      </c>
      <c r="H860" t="s">
        <v>126</v>
      </c>
      <c r="I860" t="s">
        <v>115</v>
      </c>
      <c r="J860" t="s">
        <v>126</v>
      </c>
      <c r="K860" t="s">
        <v>126</v>
      </c>
      <c r="L860" t="s">
        <v>126</v>
      </c>
      <c r="M860" t="s">
        <v>1511</v>
      </c>
      <c r="N860" t="b">
        <v>0</v>
      </c>
    </row>
    <row r="861" spans="1:14">
      <c r="A861">
        <v>50</v>
      </c>
      <c r="B861">
        <v>5</v>
      </c>
      <c r="C861" t="s">
        <v>220</v>
      </c>
      <c r="D861" t="s">
        <v>724</v>
      </c>
      <c r="E861" t="s">
        <v>68</v>
      </c>
      <c r="F861">
        <v>50</v>
      </c>
      <c r="G861" t="s">
        <v>126</v>
      </c>
      <c r="H861" t="s">
        <v>126</v>
      </c>
      <c r="I861" t="s">
        <v>68</v>
      </c>
      <c r="J861" t="s">
        <v>126</v>
      </c>
      <c r="K861" t="s">
        <v>126</v>
      </c>
      <c r="L861" t="s">
        <v>126</v>
      </c>
      <c r="M861" t="s">
        <v>1512</v>
      </c>
      <c r="N861" t="b">
        <v>0</v>
      </c>
    </row>
    <row r="862" spans="1:14">
      <c r="A862">
        <v>50</v>
      </c>
      <c r="B862">
        <v>6</v>
      </c>
      <c r="C862" t="s">
        <v>221</v>
      </c>
      <c r="D862" t="s">
        <v>724</v>
      </c>
      <c r="E862" t="s">
        <v>331</v>
      </c>
      <c r="F862">
        <v>60</v>
      </c>
      <c r="G862" t="s">
        <v>126</v>
      </c>
      <c r="H862" t="s">
        <v>548</v>
      </c>
      <c r="I862" t="s">
        <v>445</v>
      </c>
      <c r="J862" t="s">
        <v>126</v>
      </c>
      <c r="K862" t="s">
        <v>921</v>
      </c>
      <c r="L862" t="s">
        <v>922</v>
      </c>
      <c r="M862" t="s">
        <v>1513</v>
      </c>
      <c r="N862" t="b">
        <v>0</v>
      </c>
    </row>
    <row r="863" spans="1:14">
      <c r="A863">
        <v>50</v>
      </c>
      <c r="B863">
        <v>7</v>
      </c>
      <c r="C863" t="s">
        <v>167</v>
      </c>
      <c r="D863" t="s">
        <v>724</v>
      </c>
      <c r="E863" t="s">
        <v>74</v>
      </c>
      <c r="F863">
        <v>50</v>
      </c>
      <c r="G863" t="s">
        <v>126</v>
      </c>
      <c r="H863" t="s">
        <v>126</v>
      </c>
      <c r="I863" t="s">
        <v>74</v>
      </c>
      <c r="J863" t="s">
        <v>126</v>
      </c>
      <c r="K863" t="s">
        <v>126</v>
      </c>
      <c r="L863" t="s">
        <v>126</v>
      </c>
      <c r="M863" t="s">
        <v>1514</v>
      </c>
      <c r="N863" t="b">
        <v>0</v>
      </c>
    </row>
    <row r="864" spans="1:14">
      <c r="A864">
        <v>50</v>
      </c>
      <c r="B864">
        <v>8</v>
      </c>
      <c r="C864" t="s">
        <v>360</v>
      </c>
      <c r="D864" t="s">
        <v>724</v>
      </c>
      <c r="E864" t="s">
        <v>100</v>
      </c>
      <c r="F864">
        <v>50</v>
      </c>
      <c r="G864" t="s">
        <v>126</v>
      </c>
      <c r="H864" t="s">
        <v>126</v>
      </c>
      <c r="I864" t="s">
        <v>100</v>
      </c>
      <c r="J864" t="s">
        <v>126</v>
      </c>
      <c r="K864" t="s">
        <v>126</v>
      </c>
      <c r="L864" t="s">
        <v>126</v>
      </c>
      <c r="M864" t="s">
        <v>1515</v>
      </c>
      <c r="N864" t="b">
        <v>0</v>
      </c>
    </row>
    <row r="865" spans="1:14">
      <c r="A865">
        <v>50</v>
      </c>
      <c r="B865">
        <v>9</v>
      </c>
      <c r="C865" t="s">
        <v>222</v>
      </c>
      <c r="D865" t="s">
        <v>724</v>
      </c>
      <c r="E865" t="s">
        <v>102</v>
      </c>
      <c r="F865">
        <v>50</v>
      </c>
      <c r="G865" t="s">
        <v>126</v>
      </c>
      <c r="H865" t="s">
        <v>126</v>
      </c>
      <c r="I865" t="s">
        <v>102</v>
      </c>
      <c r="J865" t="s">
        <v>126</v>
      </c>
      <c r="K865" t="s">
        <v>126</v>
      </c>
      <c r="L865" t="s">
        <v>126</v>
      </c>
      <c r="M865" t="s">
        <v>1516</v>
      </c>
      <c r="N865" t="b">
        <v>0</v>
      </c>
    </row>
    <row r="866" spans="1:14">
      <c r="A866">
        <v>50</v>
      </c>
      <c r="B866">
        <v>10</v>
      </c>
      <c r="C866" t="s">
        <v>170</v>
      </c>
      <c r="D866" t="s">
        <v>724</v>
      </c>
      <c r="E866" t="s">
        <v>106</v>
      </c>
      <c r="F866">
        <v>50</v>
      </c>
      <c r="G866" t="s">
        <v>126</v>
      </c>
      <c r="H866" t="s">
        <v>126</v>
      </c>
      <c r="I866" t="s">
        <v>106</v>
      </c>
      <c r="J866" t="s">
        <v>126</v>
      </c>
      <c r="K866" t="s">
        <v>126</v>
      </c>
      <c r="L866" t="s">
        <v>126</v>
      </c>
      <c r="M866" t="s">
        <v>1517</v>
      </c>
      <c r="N866" t="b">
        <v>0</v>
      </c>
    </row>
    <row r="867" spans="1:14">
      <c r="A867">
        <v>50</v>
      </c>
      <c r="B867">
        <v>11</v>
      </c>
      <c r="C867" t="s">
        <v>223</v>
      </c>
      <c r="D867" t="s">
        <v>724</v>
      </c>
      <c r="E867" t="s">
        <v>107</v>
      </c>
      <c r="F867">
        <v>50</v>
      </c>
      <c r="G867" t="s">
        <v>126</v>
      </c>
      <c r="H867" t="s">
        <v>126</v>
      </c>
      <c r="I867" t="s">
        <v>107</v>
      </c>
      <c r="J867" t="s">
        <v>126</v>
      </c>
      <c r="K867" t="s">
        <v>126</v>
      </c>
      <c r="L867" t="s">
        <v>126</v>
      </c>
      <c r="M867" t="s">
        <v>1518</v>
      </c>
      <c r="N867" t="b">
        <v>0</v>
      </c>
    </row>
    <row r="868" spans="1:14">
      <c r="A868">
        <v>50</v>
      </c>
      <c r="B868">
        <v>12</v>
      </c>
      <c r="C868" t="s">
        <v>195</v>
      </c>
      <c r="D868" t="s">
        <v>724</v>
      </c>
      <c r="E868" t="s">
        <v>108</v>
      </c>
      <c r="F868">
        <v>60</v>
      </c>
      <c r="G868" t="s">
        <v>126</v>
      </c>
      <c r="H868" t="s">
        <v>126</v>
      </c>
      <c r="I868" t="s">
        <v>108</v>
      </c>
      <c r="J868" t="s">
        <v>126</v>
      </c>
      <c r="K868" t="s">
        <v>126</v>
      </c>
      <c r="L868" t="s">
        <v>126</v>
      </c>
      <c r="M868" t="s">
        <v>1519</v>
      </c>
      <c r="N868" t="b">
        <v>0</v>
      </c>
    </row>
    <row r="869" spans="1:14">
      <c r="A869">
        <v>50</v>
      </c>
      <c r="B869">
        <v>13</v>
      </c>
      <c r="C869" t="s">
        <v>126</v>
      </c>
      <c r="D869" t="s">
        <v>724</v>
      </c>
      <c r="E869" t="s">
        <v>126</v>
      </c>
      <c r="F869">
        <v>0</v>
      </c>
      <c r="G869" t="s">
        <v>126</v>
      </c>
      <c r="H869" t="s">
        <v>126</v>
      </c>
      <c r="I869" t="s">
        <v>126</v>
      </c>
      <c r="J869" t="s">
        <v>126</v>
      </c>
      <c r="K869" t="s">
        <v>126</v>
      </c>
      <c r="L869" t="s">
        <v>126</v>
      </c>
      <c r="M869" t="s">
        <v>1520</v>
      </c>
      <c r="N869" t="b">
        <v>0</v>
      </c>
    </row>
    <row r="870" spans="1:14">
      <c r="A870">
        <v>50</v>
      </c>
      <c r="B870">
        <v>14</v>
      </c>
      <c r="C870" t="s">
        <v>126</v>
      </c>
      <c r="D870" t="s">
        <v>724</v>
      </c>
      <c r="E870" t="s">
        <v>126</v>
      </c>
      <c r="F870">
        <v>0</v>
      </c>
      <c r="G870" t="s">
        <v>126</v>
      </c>
      <c r="H870" t="s">
        <v>126</v>
      </c>
      <c r="I870" t="s">
        <v>126</v>
      </c>
      <c r="J870" t="s">
        <v>126</v>
      </c>
      <c r="K870" t="s">
        <v>126</v>
      </c>
      <c r="L870" t="s">
        <v>126</v>
      </c>
      <c r="M870" t="s">
        <v>1521</v>
      </c>
      <c r="N870" t="b">
        <v>0</v>
      </c>
    </row>
    <row r="871" spans="1:14">
      <c r="A871">
        <v>50</v>
      </c>
      <c r="B871">
        <v>15</v>
      </c>
      <c r="C871" t="s">
        <v>126</v>
      </c>
      <c r="D871" t="s">
        <v>724</v>
      </c>
      <c r="E871" t="s">
        <v>126</v>
      </c>
      <c r="F871">
        <v>0</v>
      </c>
      <c r="G871" t="s">
        <v>126</v>
      </c>
      <c r="H871" t="s">
        <v>126</v>
      </c>
      <c r="I871" t="s">
        <v>126</v>
      </c>
      <c r="J871" t="s">
        <v>126</v>
      </c>
      <c r="K871" t="s">
        <v>126</v>
      </c>
      <c r="L871" t="s">
        <v>126</v>
      </c>
      <c r="M871" t="s">
        <v>1522</v>
      </c>
      <c r="N871" t="b">
        <v>0</v>
      </c>
    </row>
    <row r="872" spans="1:14">
      <c r="A872">
        <v>50</v>
      </c>
      <c r="B872">
        <v>16</v>
      </c>
      <c r="C872" t="s">
        <v>126</v>
      </c>
      <c r="D872" t="s">
        <v>741</v>
      </c>
      <c r="E872" t="s">
        <v>126</v>
      </c>
      <c r="F872">
        <v>0</v>
      </c>
      <c r="G872" t="s">
        <v>126</v>
      </c>
      <c r="H872" t="s">
        <v>126</v>
      </c>
      <c r="I872" t="s">
        <v>126</v>
      </c>
      <c r="J872" t="s">
        <v>126</v>
      </c>
      <c r="K872" t="s">
        <v>126</v>
      </c>
      <c r="L872" t="s">
        <v>126</v>
      </c>
      <c r="M872" t="s">
        <v>1523</v>
      </c>
      <c r="N872" t="b">
        <v>0</v>
      </c>
    </row>
    <row r="873" spans="1:14">
      <c r="A873">
        <v>50</v>
      </c>
      <c r="B873">
        <v>17</v>
      </c>
      <c r="C873" t="s">
        <v>126</v>
      </c>
      <c r="D873" t="s">
        <v>741</v>
      </c>
      <c r="E873" t="s">
        <v>126</v>
      </c>
      <c r="F873">
        <v>0</v>
      </c>
      <c r="G873" t="s">
        <v>126</v>
      </c>
      <c r="H873" t="s">
        <v>126</v>
      </c>
      <c r="I873" t="s">
        <v>126</v>
      </c>
      <c r="J873" t="s">
        <v>126</v>
      </c>
      <c r="K873" t="s">
        <v>126</v>
      </c>
      <c r="L873" t="s">
        <v>126</v>
      </c>
      <c r="M873" t="s">
        <v>1524</v>
      </c>
      <c r="N873" t="b">
        <v>0</v>
      </c>
    </row>
    <row r="874" spans="1:14">
      <c r="A874">
        <v>50</v>
      </c>
      <c r="B874">
        <v>18</v>
      </c>
      <c r="C874" t="s">
        <v>126</v>
      </c>
      <c r="D874" t="s">
        <v>741</v>
      </c>
      <c r="E874" t="s">
        <v>126</v>
      </c>
      <c r="F874">
        <v>0</v>
      </c>
      <c r="G874" t="s">
        <v>126</v>
      </c>
      <c r="H874" t="s">
        <v>126</v>
      </c>
      <c r="I874" t="s">
        <v>126</v>
      </c>
      <c r="J874" t="s">
        <v>126</v>
      </c>
      <c r="K874" t="s">
        <v>126</v>
      </c>
      <c r="L874" t="s">
        <v>126</v>
      </c>
      <c r="M874" t="s">
        <v>1525</v>
      </c>
      <c r="N874" t="b">
        <v>0</v>
      </c>
    </row>
    <row r="875" spans="1:14">
      <c r="A875">
        <v>50</v>
      </c>
      <c r="B875">
        <v>19</v>
      </c>
      <c r="C875" t="s">
        <v>126</v>
      </c>
      <c r="D875" t="s">
        <v>741</v>
      </c>
      <c r="E875" t="s">
        <v>126</v>
      </c>
      <c r="F875">
        <v>0</v>
      </c>
      <c r="G875" t="s">
        <v>126</v>
      </c>
      <c r="H875" t="s">
        <v>126</v>
      </c>
      <c r="I875" t="s">
        <v>126</v>
      </c>
      <c r="J875" t="s">
        <v>126</v>
      </c>
      <c r="K875" t="s">
        <v>126</v>
      </c>
      <c r="L875" t="s">
        <v>126</v>
      </c>
      <c r="M875" t="s">
        <v>1526</v>
      </c>
      <c r="N875" t="b">
        <v>0</v>
      </c>
    </row>
    <row r="876" spans="1:14">
      <c r="A876">
        <v>50</v>
      </c>
      <c r="B876">
        <v>20</v>
      </c>
      <c r="C876" t="s">
        <v>126</v>
      </c>
      <c r="D876" t="s">
        <v>741</v>
      </c>
      <c r="E876" t="s">
        <v>126</v>
      </c>
      <c r="F876">
        <v>0</v>
      </c>
      <c r="G876" t="s">
        <v>126</v>
      </c>
      <c r="H876" t="s">
        <v>126</v>
      </c>
      <c r="I876" t="s">
        <v>126</v>
      </c>
      <c r="J876" t="s">
        <v>126</v>
      </c>
      <c r="K876" t="s">
        <v>126</v>
      </c>
      <c r="L876" t="s">
        <v>126</v>
      </c>
      <c r="M876" t="s">
        <v>1527</v>
      </c>
      <c r="N876" t="b">
        <v>0</v>
      </c>
    </row>
    <row r="877" spans="1:14">
      <c r="A877">
        <v>50</v>
      </c>
      <c r="B877">
        <v>21</v>
      </c>
      <c r="C877" t="s">
        <v>126</v>
      </c>
      <c r="D877" t="s">
        <v>741</v>
      </c>
      <c r="E877" t="s">
        <v>126</v>
      </c>
      <c r="F877">
        <v>0</v>
      </c>
      <c r="G877" t="s">
        <v>126</v>
      </c>
      <c r="H877" t="s">
        <v>126</v>
      </c>
      <c r="I877" t="s">
        <v>126</v>
      </c>
      <c r="J877" t="s">
        <v>126</v>
      </c>
      <c r="K877" t="s">
        <v>126</v>
      </c>
      <c r="L877" t="s">
        <v>126</v>
      </c>
      <c r="M877" t="s">
        <v>1528</v>
      </c>
      <c r="N877" t="b">
        <v>0</v>
      </c>
    </row>
    <row r="878" spans="1:14">
      <c r="A878">
        <v>50</v>
      </c>
      <c r="B878">
        <v>22</v>
      </c>
      <c r="C878" t="s">
        <v>126</v>
      </c>
      <c r="D878" t="s">
        <v>741</v>
      </c>
      <c r="E878" t="s">
        <v>126</v>
      </c>
      <c r="F878">
        <v>0</v>
      </c>
      <c r="G878" t="s">
        <v>126</v>
      </c>
      <c r="H878" t="s">
        <v>126</v>
      </c>
      <c r="I878" t="s">
        <v>126</v>
      </c>
      <c r="J878" t="s">
        <v>126</v>
      </c>
      <c r="K878" t="s">
        <v>126</v>
      </c>
      <c r="L878" t="s">
        <v>126</v>
      </c>
      <c r="M878" t="s">
        <v>1529</v>
      </c>
      <c r="N878" t="b">
        <v>0</v>
      </c>
    </row>
    <row r="879" spans="1:14">
      <c r="A879">
        <v>50</v>
      </c>
      <c r="B879">
        <v>23</v>
      </c>
      <c r="C879" t="s">
        <v>126</v>
      </c>
      <c r="D879" t="s">
        <v>741</v>
      </c>
      <c r="E879" t="s">
        <v>126</v>
      </c>
      <c r="F879">
        <v>0</v>
      </c>
      <c r="G879" t="s">
        <v>126</v>
      </c>
      <c r="H879" t="s">
        <v>126</v>
      </c>
      <c r="I879" t="s">
        <v>126</v>
      </c>
      <c r="J879" t="s">
        <v>126</v>
      </c>
      <c r="K879" t="s">
        <v>126</v>
      </c>
      <c r="L879" t="s">
        <v>126</v>
      </c>
      <c r="M879" t="s">
        <v>1530</v>
      </c>
      <c r="N879" t="b">
        <v>0</v>
      </c>
    </row>
    <row r="880" spans="1:14">
      <c r="A880">
        <v>50</v>
      </c>
      <c r="B880">
        <v>24</v>
      </c>
      <c r="C880" t="s">
        <v>126</v>
      </c>
      <c r="D880" t="s">
        <v>741</v>
      </c>
      <c r="E880" t="s">
        <v>126</v>
      </c>
      <c r="F880">
        <v>0</v>
      </c>
      <c r="G880" t="s">
        <v>126</v>
      </c>
      <c r="H880" t="s">
        <v>126</v>
      </c>
      <c r="I880" t="s">
        <v>126</v>
      </c>
      <c r="J880" t="s">
        <v>126</v>
      </c>
      <c r="K880" t="s">
        <v>126</v>
      </c>
      <c r="L880" t="s">
        <v>126</v>
      </c>
      <c r="M880" t="s">
        <v>1531</v>
      </c>
      <c r="N880" t="b">
        <v>0</v>
      </c>
    </row>
    <row r="881" spans="1:14">
      <c r="A881">
        <v>50</v>
      </c>
      <c r="B881">
        <v>25</v>
      </c>
      <c r="C881" t="s">
        <v>126</v>
      </c>
      <c r="D881" t="s">
        <v>741</v>
      </c>
      <c r="E881" t="s">
        <v>126</v>
      </c>
      <c r="F881">
        <v>0</v>
      </c>
      <c r="G881" t="s">
        <v>126</v>
      </c>
      <c r="H881" t="s">
        <v>126</v>
      </c>
      <c r="I881" t="s">
        <v>126</v>
      </c>
      <c r="J881" t="s">
        <v>126</v>
      </c>
      <c r="K881" t="s">
        <v>126</v>
      </c>
      <c r="L881" t="s">
        <v>126</v>
      </c>
      <c r="M881" t="s">
        <v>1532</v>
      </c>
      <c r="N881" t="b">
        <v>0</v>
      </c>
    </row>
    <row r="882" spans="1:14">
      <c r="A882">
        <v>50</v>
      </c>
      <c r="B882">
        <v>26</v>
      </c>
      <c r="C882" t="s">
        <v>126</v>
      </c>
      <c r="D882" t="s">
        <v>741</v>
      </c>
      <c r="E882" t="s">
        <v>126</v>
      </c>
      <c r="F882">
        <v>0</v>
      </c>
      <c r="G882" t="s">
        <v>126</v>
      </c>
      <c r="H882" t="s">
        <v>126</v>
      </c>
      <c r="I882" t="s">
        <v>126</v>
      </c>
      <c r="J882" t="s">
        <v>126</v>
      </c>
      <c r="K882" t="s">
        <v>126</v>
      </c>
      <c r="L882" t="s">
        <v>126</v>
      </c>
      <c r="M882" t="s">
        <v>1533</v>
      </c>
      <c r="N882" t="b">
        <v>0</v>
      </c>
    </row>
    <row r="883" spans="1:14">
      <c r="A883">
        <v>57</v>
      </c>
      <c r="B883">
        <v>0</v>
      </c>
      <c r="C883" t="s">
        <v>216</v>
      </c>
      <c r="D883" t="s">
        <v>724</v>
      </c>
      <c r="E883" t="s">
        <v>65</v>
      </c>
      <c r="F883">
        <v>60</v>
      </c>
      <c r="G883" t="s">
        <v>126</v>
      </c>
      <c r="H883" t="s">
        <v>126</v>
      </c>
      <c r="I883" t="s">
        <v>65</v>
      </c>
      <c r="J883" t="s">
        <v>126</v>
      </c>
      <c r="K883" t="s">
        <v>126</v>
      </c>
      <c r="L883" t="s">
        <v>126</v>
      </c>
      <c r="M883" t="s">
        <v>1534</v>
      </c>
      <c r="N883" t="b">
        <v>0</v>
      </c>
    </row>
    <row r="884" spans="1:14">
      <c r="A884">
        <v>57</v>
      </c>
      <c r="B884">
        <v>1</v>
      </c>
      <c r="C884" t="s">
        <v>217</v>
      </c>
      <c r="D884" t="s">
        <v>724</v>
      </c>
      <c r="E884" t="s">
        <v>77</v>
      </c>
      <c r="F884">
        <v>60</v>
      </c>
      <c r="G884" t="s">
        <v>126</v>
      </c>
      <c r="H884" t="s">
        <v>126</v>
      </c>
      <c r="I884" t="s">
        <v>77</v>
      </c>
      <c r="J884" t="s">
        <v>126</v>
      </c>
      <c r="K884" t="s">
        <v>126</v>
      </c>
      <c r="L884" t="s">
        <v>126</v>
      </c>
      <c r="M884" t="s">
        <v>1535</v>
      </c>
      <c r="N884" t="b">
        <v>0</v>
      </c>
    </row>
    <row r="885" spans="1:14">
      <c r="A885">
        <v>57</v>
      </c>
      <c r="B885">
        <v>2</v>
      </c>
      <c r="C885" t="s">
        <v>218</v>
      </c>
      <c r="D885" t="s">
        <v>724</v>
      </c>
      <c r="E885" t="s">
        <v>95</v>
      </c>
      <c r="F885">
        <v>40</v>
      </c>
      <c r="G885" t="s">
        <v>126</v>
      </c>
      <c r="H885" t="s">
        <v>126</v>
      </c>
      <c r="I885" t="s">
        <v>95</v>
      </c>
      <c r="J885" t="s">
        <v>126</v>
      </c>
      <c r="K885" t="s">
        <v>126</v>
      </c>
      <c r="L885" t="s">
        <v>126</v>
      </c>
      <c r="M885" t="s">
        <v>1536</v>
      </c>
      <c r="N885" t="b">
        <v>0</v>
      </c>
    </row>
    <row r="886" spans="1:14">
      <c r="A886">
        <v>57</v>
      </c>
      <c r="B886">
        <v>3</v>
      </c>
      <c r="C886" t="s">
        <v>219</v>
      </c>
      <c r="D886" t="s">
        <v>724</v>
      </c>
      <c r="E886" t="s">
        <v>101</v>
      </c>
      <c r="F886">
        <v>60</v>
      </c>
      <c r="G886" t="s">
        <v>126</v>
      </c>
      <c r="H886" t="s">
        <v>126</v>
      </c>
      <c r="I886" t="s">
        <v>101</v>
      </c>
      <c r="J886" t="s">
        <v>126</v>
      </c>
      <c r="K886" t="s">
        <v>126</v>
      </c>
      <c r="L886" t="s">
        <v>126</v>
      </c>
      <c r="M886" t="s">
        <v>1537</v>
      </c>
      <c r="N886" t="b">
        <v>0</v>
      </c>
    </row>
    <row r="887" spans="1:14">
      <c r="A887">
        <v>57</v>
      </c>
      <c r="B887">
        <v>4</v>
      </c>
      <c r="C887" t="s">
        <v>198</v>
      </c>
      <c r="D887" t="s">
        <v>724</v>
      </c>
      <c r="E887" t="s">
        <v>113</v>
      </c>
      <c r="F887">
        <v>50</v>
      </c>
      <c r="G887" t="s">
        <v>126</v>
      </c>
      <c r="H887" t="s">
        <v>126</v>
      </c>
      <c r="I887" t="s">
        <v>113</v>
      </c>
      <c r="J887" t="s">
        <v>126</v>
      </c>
      <c r="K887" t="s">
        <v>126</v>
      </c>
      <c r="L887" t="s">
        <v>126</v>
      </c>
      <c r="M887" t="s">
        <v>1538</v>
      </c>
      <c r="N887" t="b">
        <v>0</v>
      </c>
    </row>
    <row r="888" spans="1:14">
      <c r="A888">
        <v>57</v>
      </c>
      <c r="B888">
        <v>5</v>
      </c>
      <c r="C888" t="s">
        <v>220</v>
      </c>
      <c r="D888" t="s">
        <v>724</v>
      </c>
      <c r="E888" t="s">
        <v>68</v>
      </c>
      <c r="F888">
        <v>50</v>
      </c>
      <c r="G888" t="s">
        <v>126</v>
      </c>
      <c r="H888" t="s">
        <v>126</v>
      </c>
      <c r="I888" t="s">
        <v>68</v>
      </c>
      <c r="J888" t="s">
        <v>126</v>
      </c>
      <c r="K888" t="s">
        <v>126</v>
      </c>
      <c r="L888" t="s">
        <v>126</v>
      </c>
      <c r="M888" t="s">
        <v>1539</v>
      </c>
      <c r="N888" t="b">
        <v>0</v>
      </c>
    </row>
    <row r="889" spans="1:14">
      <c r="A889">
        <v>57</v>
      </c>
      <c r="B889">
        <v>6</v>
      </c>
      <c r="C889" t="s">
        <v>221</v>
      </c>
      <c r="D889" t="s">
        <v>724</v>
      </c>
      <c r="E889" t="s">
        <v>331</v>
      </c>
      <c r="F889">
        <v>60</v>
      </c>
      <c r="G889" t="s">
        <v>126</v>
      </c>
      <c r="H889" t="s">
        <v>548</v>
      </c>
      <c r="I889" t="s">
        <v>445</v>
      </c>
      <c r="J889" t="s">
        <v>126</v>
      </c>
      <c r="K889" t="s">
        <v>921</v>
      </c>
      <c r="L889" t="s">
        <v>922</v>
      </c>
      <c r="M889" t="s">
        <v>1540</v>
      </c>
      <c r="N889" t="b">
        <v>0</v>
      </c>
    </row>
    <row r="890" spans="1:14">
      <c r="A890">
        <v>57</v>
      </c>
      <c r="B890">
        <v>7</v>
      </c>
      <c r="C890" t="s">
        <v>167</v>
      </c>
      <c r="D890" t="s">
        <v>724</v>
      </c>
      <c r="E890" t="s">
        <v>74</v>
      </c>
      <c r="F890">
        <v>50</v>
      </c>
      <c r="G890" t="s">
        <v>126</v>
      </c>
      <c r="H890" t="s">
        <v>126</v>
      </c>
      <c r="I890" t="s">
        <v>74</v>
      </c>
      <c r="J890" t="s">
        <v>126</v>
      </c>
      <c r="K890" t="s">
        <v>126</v>
      </c>
      <c r="L890" t="s">
        <v>126</v>
      </c>
      <c r="M890" t="s">
        <v>1541</v>
      </c>
      <c r="N890" t="b">
        <v>0</v>
      </c>
    </row>
    <row r="891" spans="1:14">
      <c r="A891">
        <v>57</v>
      </c>
      <c r="B891">
        <v>8</v>
      </c>
      <c r="C891" t="s">
        <v>222</v>
      </c>
      <c r="D891" t="s">
        <v>724</v>
      </c>
      <c r="E891" t="s">
        <v>102</v>
      </c>
      <c r="F891">
        <v>50</v>
      </c>
      <c r="G891" t="s">
        <v>126</v>
      </c>
      <c r="H891" t="s">
        <v>126</v>
      </c>
      <c r="I891" t="s">
        <v>102</v>
      </c>
      <c r="J891" t="s">
        <v>126</v>
      </c>
      <c r="K891" t="s">
        <v>126</v>
      </c>
      <c r="L891" t="s">
        <v>126</v>
      </c>
      <c r="M891" t="s">
        <v>1542</v>
      </c>
      <c r="N891" t="b">
        <v>0</v>
      </c>
    </row>
    <row r="892" spans="1:14">
      <c r="A892">
        <v>57</v>
      </c>
      <c r="B892">
        <v>9</v>
      </c>
      <c r="C892" t="s">
        <v>170</v>
      </c>
      <c r="D892" t="s">
        <v>724</v>
      </c>
      <c r="E892" t="s">
        <v>106</v>
      </c>
      <c r="F892">
        <v>50</v>
      </c>
      <c r="G892" t="s">
        <v>126</v>
      </c>
      <c r="H892" t="s">
        <v>126</v>
      </c>
      <c r="I892" t="s">
        <v>106</v>
      </c>
      <c r="J892" t="s">
        <v>126</v>
      </c>
      <c r="K892" t="s">
        <v>126</v>
      </c>
      <c r="L892" t="s">
        <v>126</v>
      </c>
      <c r="M892" t="s">
        <v>1543</v>
      </c>
      <c r="N892" t="b">
        <v>0</v>
      </c>
    </row>
    <row r="893" spans="1:14">
      <c r="A893">
        <v>57</v>
      </c>
      <c r="B893">
        <v>10</v>
      </c>
      <c r="C893" t="s">
        <v>223</v>
      </c>
      <c r="D893" t="s">
        <v>724</v>
      </c>
      <c r="E893" t="s">
        <v>107</v>
      </c>
      <c r="F893">
        <v>50</v>
      </c>
      <c r="G893" t="s">
        <v>126</v>
      </c>
      <c r="H893" t="s">
        <v>126</v>
      </c>
      <c r="I893" t="s">
        <v>107</v>
      </c>
      <c r="J893" t="s">
        <v>126</v>
      </c>
      <c r="K893" t="s">
        <v>126</v>
      </c>
      <c r="L893" t="s">
        <v>126</v>
      </c>
      <c r="M893" t="s">
        <v>1544</v>
      </c>
      <c r="N893" t="b">
        <v>0</v>
      </c>
    </row>
    <row r="894" spans="1:14">
      <c r="A894">
        <v>57</v>
      </c>
      <c r="B894">
        <v>11</v>
      </c>
      <c r="C894" t="s">
        <v>195</v>
      </c>
      <c r="D894" t="s">
        <v>724</v>
      </c>
      <c r="E894" t="s">
        <v>108</v>
      </c>
      <c r="F894">
        <v>60</v>
      </c>
      <c r="G894" t="s">
        <v>126</v>
      </c>
      <c r="H894" t="s">
        <v>126</v>
      </c>
      <c r="I894" t="s">
        <v>108</v>
      </c>
      <c r="J894" t="s">
        <v>126</v>
      </c>
      <c r="K894" t="s">
        <v>126</v>
      </c>
      <c r="L894" t="s">
        <v>126</v>
      </c>
      <c r="M894" t="s">
        <v>1545</v>
      </c>
      <c r="N894" t="b">
        <v>0</v>
      </c>
    </row>
    <row r="895" spans="1:14">
      <c r="A895">
        <v>57</v>
      </c>
      <c r="B895">
        <v>12</v>
      </c>
      <c r="C895" t="s">
        <v>126</v>
      </c>
      <c r="D895" t="s">
        <v>724</v>
      </c>
      <c r="E895" t="s">
        <v>126</v>
      </c>
      <c r="F895">
        <v>0</v>
      </c>
      <c r="G895" t="s">
        <v>126</v>
      </c>
      <c r="H895" t="s">
        <v>126</v>
      </c>
      <c r="I895" t="s">
        <v>126</v>
      </c>
      <c r="J895" t="s">
        <v>126</v>
      </c>
      <c r="K895" t="s">
        <v>126</v>
      </c>
      <c r="L895" t="s">
        <v>126</v>
      </c>
      <c r="M895" t="s">
        <v>1546</v>
      </c>
      <c r="N895" t="b">
        <v>0</v>
      </c>
    </row>
    <row r="896" spans="1:14">
      <c r="A896">
        <v>57</v>
      </c>
      <c r="B896">
        <v>13</v>
      </c>
      <c r="C896" t="s">
        <v>126</v>
      </c>
      <c r="D896" t="s">
        <v>724</v>
      </c>
      <c r="E896" t="s">
        <v>126</v>
      </c>
      <c r="F896">
        <v>0</v>
      </c>
      <c r="G896" t="s">
        <v>126</v>
      </c>
      <c r="H896" t="s">
        <v>126</v>
      </c>
      <c r="I896" t="s">
        <v>126</v>
      </c>
      <c r="J896" t="s">
        <v>126</v>
      </c>
      <c r="K896" t="s">
        <v>126</v>
      </c>
      <c r="L896" t="s">
        <v>126</v>
      </c>
      <c r="M896" t="s">
        <v>1547</v>
      </c>
      <c r="N896" t="b">
        <v>0</v>
      </c>
    </row>
    <row r="897" spans="1:14">
      <c r="A897">
        <v>57</v>
      </c>
      <c r="B897">
        <v>14</v>
      </c>
      <c r="C897" t="s">
        <v>126</v>
      </c>
      <c r="D897" t="s">
        <v>724</v>
      </c>
      <c r="E897" t="s">
        <v>126</v>
      </c>
      <c r="F897">
        <v>0</v>
      </c>
      <c r="G897" t="s">
        <v>126</v>
      </c>
      <c r="H897" t="s">
        <v>126</v>
      </c>
      <c r="I897" t="s">
        <v>126</v>
      </c>
      <c r="J897" t="s">
        <v>126</v>
      </c>
      <c r="K897" t="s">
        <v>126</v>
      </c>
      <c r="L897" t="s">
        <v>126</v>
      </c>
      <c r="M897" t="s">
        <v>1548</v>
      </c>
      <c r="N897" t="b">
        <v>0</v>
      </c>
    </row>
    <row r="898" spans="1:14">
      <c r="A898">
        <v>57</v>
      </c>
      <c r="B898">
        <v>15</v>
      </c>
      <c r="C898" t="s">
        <v>126</v>
      </c>
      <c r="D898" t="s">
        <v>724</v>
      </c>
      <c r="E898" t="s">
        <v>126</v>
      </c>
      <c r="F898">
        <v>0</v>
      </c>
      <c r="G898" t="s">
        <v>126</v>
      </c>
      <c r="H898" t="s">
        <v>126</v>
      </c>
      <c r="I898" t="s">
        <v>126</v>
      </c>
      <c r="J898" t="s">
        <v>126</v>
      </c>
      <c r="K898" t="s">
        <v>126</v>
      </c>
      <c r="L898" t="s">
        <v>126</v>
      </c>
      <c r="M898" t="s">
        <v>1549</v>
      </c>
      <c r="N898" t="b">
        <v>0</v>
      </c>
    </row>
    <row r="899" spans="1:14">
      <c r="A899">
        <v>57</v>
      </c>
      <c r="B899">
        <v>16</v>
      </c>
      <c r="C899" t="s">
        <v>202</v>
      </c>
      <c r="D899" t="s">
        <v>741</v>
      </c>
      <c r="E899" t="s">
        <v>103</v>
      </c>
      <c r="F899">
        <v>60</v>
      </c>
      <c r="G899" t="s">
        <v>126</v>
      </c>
      <c r="H899" t="s">
        <v>126</v>
      </c>
      <c r="I899" t="s">
        <v>103</v>
      </c>
      <c r="J899" t="s">
        <v>126</v>
      </c>
      <c r="K899" t="s">
        <v>126</v>
      </c>
      <c r="L899" t="s">
        <v>126</v>
      </c>
      <c r="M899" t="s">
        <v>1550</v>
      </c>
      <c r="N899" t="b">
        <v>0</v>
      </c>
    </row>
    <row r="900" spans="1:14">
      <c r="A900">
        <v>57</v>
      </c>
      <c r="B900">
        <v>17</v>
      </c>
      <c r="C900" t="s">
        <v>360</v>
      </c>
      <c r="D900" t="s">
        <v>741</v>
      </c>
      <c r="E900" t="s">
        <v>100</v>
      </c>
      <c r="F900">
        <v>50</v>
      </c>
      <c r="G900" t="s">
        <v>126</v>
      </c>
      <c r="H900" t="s">
        <v>126</v>
      </c>
      <c r="I900" t="s">
        <v>100</v>
      </c>
      <c r="J900" t="s">
        <v>126</v>
      </c>
      <c r="K900" t="s">
        <v>126</v>
      </c>
      <c r="L900" t="s">
        <v>126</v>
      </c>
      <c r="M900" t="s">
        <v>1551</v>
      </c>
      <c r="N900" t="b">
        <v>0</v>
      </c>
    </row>
    <row r="901" spans="1:14">
      <c r="A901">
        <v>57</v>
      </c>
      <c r="B901">
        <v>18</v>
      </c>
      <c r="C901" t="s">
        <v>126</v>
      </c>
      <c r="D901" t="s">
        <v>741</v>
      </c>
      <c r="E901" t="s">
        <v>126</v>
      </c>
      <c r="F901">
        <v>0</v>
      </c>
      <c r="G901" t="s">
        <v>126</v>
      </c>
      <c r="H901" t="s">
        <v>126</v>
      </c>
      <c r="I901" t="s">
        <v>126</v>
      </c>
      <c r="J901" t="s">
        <v>126</v>
      </c>
      <c r="K901" t="s">
        <v>126</v>
      </c>
      <c r="L901" t="s">
        <v>126</v>
      </c>
      <c r="M901" t="s">
        <v>1552</v>
      </c>
      <c r="N901" t="b">
        <v>0</v>
      </c>
    </row>
    <row r="902" spans="1:14">
      <c r="A902">
        <v>57</v>
      </c>
      <c r="B902">
        <v>19</v>
      </c>
      <c r="C902" t="s">
        <v>126</v>
      </c>
      <c r="D902" t="s">
        <v>741</v>
      </c>
      <c r="E902" t="s">
        <v>126</v>
      </c>
      <c r="F902">
        <v>0</v>
      </c>
      <c r="G902" t="s">
        <v>126</v>
      </c>
      <c r="H902" t="s">
        <v>126</v>
      </c>
      <c r="I902" t="s">
        <v>126</v>
      </c>
      <c r="J902" t="s">
        <v>126</v>
      </c>
      <c r="K902" t="s">
        <v>126</v>
      </c>
      <c r="L902" t="s">
        <v>126</v>
      </c>
      <c r="M902" t="s">
        <v>1553</v>
      </c>
      <c r="N902" t="b">
        <v>0</v>
      </c>
    </row>
    <row r="903" spans="1:14">
      <c r="A903">
        <v>57</v>
      </c>
      <c r="B903">
        <v>20</v>
      </c>
      <c r="C903" t="s">
        <v>126</v>
      </c>
      <c r="D903" t="s">
        <v>741</v>
      </c>
      <c r="E903" t="s">
        <v>126</v>
      </c>
      <c r="F903">
        <v>0</v>
      </c>
      <c r="G903" t="s">
        <v>126</v>
      </c>
      <c r="H903" t="s">
        <v>126</v>
      </c>
      <c r="I903" t="s">
        <v>126</v>
      </c>
      <c r="J903" t="s">
        <v>126</v>
      </c>
      <c r="K903" t="s">
        <v>126</v>
      </c>
      <c r="L903" t="s">
        <v>126</v>
      </c>
      <c r="M903" t="s">
        <v>1554</v>
      </c>
      <c r="N903" t="b">
        <v>0</v>
      </c>
    </row>
    <row r="904" spans="1:14">
      <c r="A904">
        <v>57</v>
      </c>
      <c r="B904">
        <v>21</v>
      </c>
      <c r="C904" t="s">
        <v>126</v>
      </c>
      <c r="D904" t="s">
        <v>741</v>
      </c>
      <c r="E904" t="s">
        <v>126</v>
      </c>
      <c r="F904">
        <v>0</v>
      </c>
      <c r="G904" t="s">
        <v>126</v>
      </c>
      <c r="H904" t="s">
        <v>126</v>
      </c>
      <c r="I904" t="s">
        <v>126</v>
      </c>
      <c r="J904" t="s">
        <v>126</v>
      </c>
      <c r="K904" t="s">
        <v>126</v>
      </c>
      <c r="L904" t="s">
        <v>126</v>
      </c>
      <c r="M904" t="s">
        <v>1555</v>
      </c>
      <c r="N904" t="b">
        <v>0</v>
      </c>
    </row>
    <row r="905" spans="1:14">
      <c r="A905">
        <v>57</v>
      </c>
      <c r="B905">
        <v>22</v>
      </c>
      <c r="C905" t="s">
        <v>126</v>
      </c>
      <c r="D905" t="s">
        <v>741</v>
      </c>
      <c r="E905" t="s">
        <v>126</v>
      </c>
      <c r="F905">
        <v>0</v>
      </c>
      <c r="G905" t="s">
        <v>126</v>
      </c>
      <c r="H905" t="s">
        <v>126</v>
      </c>
      <c r="I905" t="s">
        <v>126</v>
      </c>
      <c r="J905" t="s">
        <v>126</v>
      </c>
      <c r="K905" t="s">
        <v>126</v>
      </c>
      <c r="L905" t="s">
        <v>126</v>
      </c>
      <c r="M905" t="s">
        <v>1556</v>
      </c>
      <c r="N905" t="b">
        <v>0</v>
      </c>
    </row>
    <row r="906" spans="1:14">
      <c r="A906">
        <v>57</v>
      </c>
      <c r="B906">
        <v>23</v>
      </c>
      <c r="C906" t="s">
        <v>126</v>
      </c>
      <c r="D906" t="s">
        <v>741</v>
      </c>
      <c r="E906" t="s">
        <v>126</v>
      </c>
      <c r="F906">
        <v>0</v>
      </c>
      <c r="G906" t="s">
        <v>126</v>
      </c>
      <c r="H906" t="s">
        <v>126</v>
      </c>
      <c r="I906" t="s">
        <v>126</v>
      </c>
      <c r="J906" t="s">
        <v>126</v>
      </c>
      <c r="K906" t="s">
        <v>126</v>
      </c>
      <c r="L906" t="s">
        <v>126</v>
      </c>
      <c r="M906" t="s">
        <v>1557</v>
      </c>
      <c r="N906" t="b">
        <v>0</v>
      </c>
    </row>
    <row r="907" spans="1:14">
      <c r="A907">
        <v>57</v>
      </c>
      <c r="B907">
        <v>24</v>
      </c>
      <c r="C907" t="s">
        <v>126</v>
      </c>
      <c r="D907" t="s">
        <v>741</v>
      </c>
      <c r="E907" t="s">
        <v>126</v>
      </c>
      <c r="F907">
        <v>0</v>
      </c>
      <c r="G907" t="s">
        <v>126</v>
      </c>
      <c r="H907" t="s">
        <v>126</v>
      </c>
      <c r="I907" t="s">
        <v>126</v>
      </c>
      <c r="J907" t="s">
        <v>126</v>
      </c>
      <c r="K907" t="s">
        <v>126</v>
      </c>
      <c r="L907" t="s">
        <v>126</v>
      </c>
      <c r="M907" t="s">
        <v>1558</v>
      </c>
      <c r="N907" t="b">
        <v>0</v>
      </c>
    </row>
    <row r="908" spans="1:14">
      <c r="A908">
        <v>57</v>
      </c>
      <c r="B908">
        <v>25</v>
      </c>
      <c r="C908" t="s">
        <v>126</v>
      </c>
      <c r="D908" t="s">
        <v>741</v>
      </c>
      <c r="E908" t="s">
        <v>126</v>
      </c>
      <c r="F908">
        <v>0</v>
      </c>
      <c r="G908" t="s">
        <v>126</v>
      </c>
      <c r="H908" t="s">
        <v>126</v>
      </c>
      <c r="I908" t="s">
        <v>126</v>
      </c>
      <c r="J908" t="s">
        <v>126</v>
      </c>
      <c r="K908" t="s">
        <v>126</v>
      </c>
      <c r="L908" t="s">
        <v>126</v>
      </c>
      <c r="M908" t="s">
        <v>1559</v>
      </c>
      <c r="N908" t="b">
        <v>0</v>
      </c>
    </row>
    <row r="909" spans="1:14">
      <c r="A909">
        <v>57</v>
      </c>
      <c r="B909">
        <v>26</v>
      </c>
      <c r="C909" t="s">
        <v>126</v>
      </c>
      <c r="D909" t="s">
        <v>741</v>
      </c>
      <c r="E909" t="s">
        <v>126</v>
      </c>
      <c r="F909">
        <v>0</v>
      </c>
      <c r="G909" t="s">
        <v>126</v>
      </c>
      <c r="H909" t="s">
        <v>126</v>
      </c>
      <c r="I909" t="s">
        <v>126</v>
      </c>
      <c r="J909" t="s">
        <v>126</v>
      </c>
      <c r="K909" t="s">
        <v>126</v>
      </c>
      <c r="L909" t="s">
        <v>126</v>
      </c>
      <c r="M909" t="s">
        <v>1560</v>
      </c>
      <c r="N909" t="b">
        <v>0</v>
      </c>
    </row>
    <row r="910" spans="1:14">
      <c r="A910">
        <v>59</v>
      </c>
      <c r="B910">
        <v>0</v>
      </c>
      <c r="C910" t="s">
        <v>216</v>
      </c>
      <c r="D910" t="s">
        <v>724</v>
      </c>
      <c r="E910" t="s">
        <v>65</v>
      </c>
      <c r="F910">
        <v>60</v>
      </c>
      <c r="G910" t="s">
        <v>126</v>
      </c>
      <c r="H910" t="s">
        <v>126</v>
      </c>
      <c r="I910" t="s">
        <v>65</v>
      </c>
      <c r="J910" t="s">
        <v>126</v>
      </c>
      <c r="K910" t="s">
        <v>126</v>
      </c>
      <c r="L910" t="s">
        <v>126</v>
      </c>
      <c r="M910" t="s">
        <v>1561</v>
      </c>
      <c r="N910" t="b">
        <v>0</v>
      </c>
    </row>
    <row r="911" spans="1:14">
      <c r="A911">
        <v>59</v>
      </c>
      <c r="B911">
        <v>1</v>
      </c>
      <c r="C911" t="s">
        <v>329</v>
      </c>
      <c r="D911" t="s">
        <v>724</v>
      </c>
      <c r="E911" t="s">
        <v>77</v>
      </c>
      <c r="F911">
        <v>40</v>
      </c>
      <c r="G911" t="s">
        <v>126</v>
      </c>
      <c r="H911" t="s">
        <v>126</v>
      </c>
      <c r="I911" t="s">
        <v>77</v>
      </c>
      <c r="J911" t="s">
        <v>126</v>
      </c>
      <c r="K911" t="s">
        <v>126</v>
      </c>
      <c r="L911" t="s">
        <v>126</v>
      </c>
      <c r="M911" t="s">
        <v>1562</v>
      </c>
      <c r="N911" t="b">
        <v>0</v>
      </c>
    </row>
    <row r="912" spans="1:14">
      <c r="A912">
        <v>59</v>
      </c>
      <c r="B912">
        <v>2</v>
      </c>
      <c r="C912" t="s">
        <v>268</v>
      </c>
      <c r="D912" t="s">
        <v>724</v>
      </c>
      <c r="E912" t="s">
        <v>83</v>
      </c>
      <c r="F912">
        <v>30</v>
      </c>
      <c r="G912" t="s">
        <v>126</v>
      </c>
      <c r="H912" t="s">
        <v>126</v>
      </c>
      <c r="I912" t="s">
        <v>83</v>
      </c>
      <c r="J912" t="s">
        <v>126</v>
      </c>
      <c r="K912" t="s">
        <v>126</v>
      </c>
      <c r="L912" t="s">
        <v>126</v>
      </c>
      <c r="M912" t="s">
        <v>1563</v>
      </c>
      <c r="N912" t="b">
        <v>0</v>
      </c>
    </row>
    <row r="913" spans="1:14">
      <c r="A913">
        <v>59</v>
      </c>
      <c r="B913">
        <v>3</v>
      </c>
      <c r="C913" t="s">
        <v>238</v>
      </c>
      <c r="D913" t="s">
        <v>724</v>
      </c>
      <c r="E913" t="s">
        <v>544</v>
      </c>
      <c r="F913">
        <v>40</v>
      </c>
      <c r="G913" t="s">
        <v>126</v>
      </c>
      <c r="H913" t="s">
        <v>547</v>
      </c>
      <c r="I913" t="s">
        <v>508</v>
      </c>
      <c r="J913" t="s">
        <v>126</v>
      </c>
      <c r="K913" t="s">
        <v>792</v>
      </c>
      <c r="L913" t="s">
        <v>793</v>
      </c>
      <c r="M913" t="s">
        <v>1564</v>
      </c>
      <c r="N913" t="b">
        <v>0</v>
      </c>
    </row>
    <row r="914" spans="1:14">
      <c r="A914">
        <v>59</v>
      </c>
      <c r="B914">
        <v>4</v>
      </c>
      <c r="C914" t="s">
        <v>239</v>
      </c>
      <c r="D914" t="s">
        <v>724</v>
      </c>
      <c r="E914" t="s">
        <v>544</v>
      </c>
      <c r="F914">
        <v>40</v>
      </c>
      <c r="G914" t="s">
        <v>126</v>
      </c>
      <c r="H914" t="s">
        <v>557</v>
      </c>
      <c r="I914" t="s">
        <v>486</v>
      </c>
      <c r="J914" t="s">
        <v>126</v>
      </c>
      <c r="K914" t="s">
        <v>795</v>
      </c>
      <c r="L914" t="s">
        <v>796</v>
      </c>
      <c r="M914" t="s">
        <v>1565</v>
      </c>
      <c r="N914" t="b">
        <v>0</v>
      </c>
    </row>
    <row r="915" spans="1:14">
      <c r="A915">
        <v>59</v>
      </c>
      <c r="B915">
        <v>5</v>
      </c>
      <c r="C915" t="s">
        <v>381</v>
      </c>
      <c r="D915" t="s">
        <v>724</v>
      </c>
      <c r="E915" t="s">
        <v>95</v>
      </c>
      <c r="F915">
        <v>60</v>
      </c>
      <c r="G915" t="s">
        <v>126</v>
      </c>
      <c r="H915" t="s">
        <v>126</v>
      </c>
      <c r="I915" t="s">
        <v>95</v>
      </c>
      <c r="J915" t="s">
        <v>126</v>
      </c>
      <c r="K915" t="s">
        <v>126</v>
      </c>
      <c r="L915" t="s">
        <v>126</v>
      </c>
      <c r="M915" t="s">
        <v>1566</v>
      </c>
      <c r="N915" t="b">
        <v>0</v>
      </c>
    </row>
    <row r="916" spans="1:14">
      <c r="A916">
        <v>59</v>
      </c>
      <c r="B916">
        <v>6</v>
      </c>
      <c r="C916" t="s">
        <v>382</v>
      </c>
      <c r="D916" t="s">
        <v>724</v>
      </c>
      <c r="E916" t="s">
        <v>331</v>
      </c>
      <c r="F916">
        <v>50</v>
      </c>
      <c r="G916" t="s">
        <v>126</v>
      </c>
      <c r="H916" t="s">
        <v>558</v>
      </c>
      <c r="I916" t="s">
        <v>477</v>
      </c>
      <c r="J916" t="s">
        <v>126</v>
      </c>
      <c r="K916" t="s">
        <v>921</v>
      </c>
      <c r="L916" t="s">
        <v>922</v>
      </c>
      <c r="M916" t="s">
        <v>1567</v>
      </c>
      <c r="N916" t="b">
        <v>0</v>
      </c>
    </row>
    <row r="917" spans="1:14">
      <c r="A917">
        <v>59</v>
      </c>
      <c r="B917">
        <v>7</v>
      </c>
      <c r="C917" t="s">
        <v>167</v>
      </c>
      <c r="D917" t="s">
        <v>724</v>
      </c>
      <c r="E917" t="s">
        <v>74</v>
      </c>
      <c r="F917">
        <v>50</v>
      </c>
      <c r="G917" t="s">
        <v>126</v>
      </c>
      <c r="H917" t="s">
        <v>126</v>
      </c>
      <c r="I917" t="s">
        <v>74</v>
      </c>
      <c r="J917" t="s">
        <v>126</v>
      </c>
      <c r="K917" t="s">
        <v>126</v>
      </c>
      <c r="L917" t="s">
        <v>126</v>
      </c>
      <c r="M917" t="s">
        <v>1568</v>
      </c>
      <c r="N917" t="b">
        <v>0</v>
      </c>
    </row>
    <row r="918" spans="1:14">
      <c r="A918">
        <v>59</v>
      </c>
      <c r="B918">
        <v>8</v>
      </c>
      <c r="C918" t="s">
        <v>383</v>
      </c>
      <c r="D918" t="s">
        <v>753</v>
      </c>
      <c r="E918" t="s">
        <v>358</v>
      </c>
      <c r="F918">
        <v>40</v>
      </c>
      <c r="G918" t="s">
        <v>760</v>
      </c>
      <c r="H918" t="s">
        <v>126</v>
      </c>
      <c r="I918" t="s">
        <v>126</v>
      </c>
      <c r="J918" t="s">
        <v>1163</v>
      </c>
      <c r="K918" t="s">
        <v>1164</v>
      </c>
      <c r="L918" t="s">
        <v>1165</v>
      </c>
      <c r="M918" t="s">
        <v>1569</v>
      </c>
      <c r="N918" t="b">
        <v>0</v>
      </c>
    </row>
    <row r="919" spans="1:14">
      <c r="A919">
        <v>59</v>
      </c>
      <c r="B919">
        <v>9</v>
      </c>
      <c r="C919" t="s">
        <v>270</v>
      </c>
      <c r="D919" t="s">
        <v>724</v>
      </c>
      <c r="E919" t="s">
        <v>545</v>
      </c>
      <c r="F919">
        <v>40</v>
      </c>
      <c r="G919" t="s">
        <v>126</v>
      </c>
      <c r="H919" t="s">
        <v>583</v>
      </c>
      <c r="I919" t="s">
        <v>496</v>
      </c>
      <c r="J919" t="s">
        <v>126</v>
      </c>
      <c r="K919" t="s">
        <v>801</v>
      </c>
      <c r="L919" t="s">
        <v>802</v>
      </c>
      <c r="M919" t="s">
        <v>1570</v>
      </c>
      <c r="N919" t="b">
        <v>0</v>
      </c>
    </row>
    <row r="920" spans="1:14">
      <c r="A920">
        <v>59</v>
      </c>
      <c r="B920">
        <v>10</v>
      </c>
      <c r="C920" t="s">
        <v>194</v>
      </c>
      <c r="D920" t="s">
        <v>724</v>
      </c>
      <c r="E920" t="s">
        <v>98</v>
      </c>
      <c r="F920">
        <v>50</v>
      </c>
      <c r="G920" t="s">
        <v>126</v>
      </c>
      <c r="H920" t="s">
        <v>126</v>
      </c>
      <c r="I920" t="s">
        <v>98</v>
      </c>
      <c r="J920" t="s">
        <v>126</v>
      </c>
      <c r="K920" t="s">
        <v>126</v>
      </c>
      <c r="L920" t="s">
        <v>126</v>
      </c>
      <c r="M920" t="s">
        <v>1571</v>
      </c>
      <c r="N920" t="b">
        <v>0</v>
      </c>
    </row>
    <row r="921" spans="1:14">
      <c r="A921">
        <v>59</v>
      </c>
      <c r="B921">
        <v>11</v>
      </c>
      <c r="C921" t="s">
        <v>292</v>
      </c>
      <c r="D921" t="s">
        <v>724</v>
      </c>
      <c r="E921" t="s">
        <v>107</v>
      </c>
      <c r="F921">
        <v>60</v>
      </c>
      <c r="G921" t="s">
        <v>126</v>
      </c>
      <c r="H921" t="s">
        <v>126</v>
      </c>
      <c r="I921" t="s">
        <v>107</v>
      </c>
      <c r="J921" t="s">
        <v>126</v>
      </c>
      <c r="K921" t="s">
        <v>126</v>
      </c>
      <c r="L921" t="s">
        <v>126</v>
      </c>
      <c r="M921" t="s">
        <v>1572</v>
      </c>
      <c r="N921" t="b">
        <v>0</v>
      </c>
    </row>
    <row r="922" spans="1:14">
      <c r="A922">
        <v>59</v>
      </c>
      <c r="B922">
        <v>12</v>
      </c>
      <c r="C922" t="s">
        <v>126</v>
      </c>
      <c r="D922" t="s">
        <v>724</v>
      </c>
      <c r="E922" t="s">
        <v>126</v>
      </c>
      <c r="F922">
        <v>0</v>
      </c>
      <c r="G922" t="s">
        <v>126</v>
      </c>
      <c r="H922" t="s">
        <v>126</v>
      </c>
      <c r="I922" t="s">
        <v>126</v>
      </c>
      <c r="J922" t="s">
        <v>126</v>
      </c>
      <c r="K922" t="s">
        <v>126</v>
      </c>
      <c r="L922" t="s">
        <v>126</v>
      </c>
      <c r="M922" t="s">
        <v>1573</v>
      </c>
      <c r="N922" t="b">
        <v>0</v>
      </c>
    </row>
    <row r="923" spans="1:14">
      <c r="A923">
        <v>59</v>
      </c>
      <c r="B923">
        <v>13</v>
      </c>
      <c r="C923" t="s">
        <v>126</v>
      </c>
      <c r="D923" t="s">
        <v>724</v>
      </c>
      <c r="E923" t="s">
        <v>126</v>
      </c>
      <c r="F923">
        <v>0</v>
      </c>
      <c r="G923" t="s">
        <v>126</v>
      </c>
      <c r="H923" t="s">
        <v>126</v>
      </c>
      <c r="I923" t="s">
        <v>126</v>
      </c>
      <c r="J923" t="s">
        <v>126</v>
      </c>
      <c r="K923" t="s">
        <v>126</v>
      </c>
      <c r="L923" t="s">
        <v>126</v>
      </c>
      <c r="M923" t="s">
        <v>1574</v>
      </c>
      <c r="N923" t="b">
        <v>0</v>
      </c>
    </row>
    <row r="924" spans="1:14">
      <c r="A924">
        <v>59</v>
      </c>
      <c r="B924">
        <v>14</v>
      </c>
      <c r="C924" t="s">
        <v>126</v>
      </c>
      <c r="D924" t="s">
        <v>724</v>
      </c>
      <c r="E924" t="s">
        <v>126</v>
      </c>
      <c r="F924">
        <v>0</v>
      </c>
      <c r="G924" t="s">
        <v>126</v>
      </c>
      <c r="H924" t="s">
        <v>126</v>
      </c>
      <c r="I924" t="s">
        <v>126</v>
      </c>
      <c r="J924" t="s">
        <v>126</v>
      </c>
      <c r="K924" t="s">
        <v>126</v>
      </c>
      <c r="L924" t="s">
        <v>126</v>
      </c>
      <c r="M924" t="s">
        <v>1575</v>
      </c>
      <c r="N924" t="b">
        <v>0</v>
      </c>
    </row>
    <row r="925" spans="1:14">
      <c r="A925">
        <v>59</v>
      </c>
      <c r="B925">
        <v>15</v>
      </c>
      <c r="C925" t="s">
        <v>126</v>
      </c>
      <c r="D925" t="s">
        <v>724</v>
      </c>
      <c r="E925" t="s">
        <v>126</v>
      </c>
      <c r="F925">
        <v>0</v>
      </c>
      <c r="G925" t="s">
        <v>126</v>
      </c>
      <c r="H925" t="s">
        <v>126</v>
      </c>
      <c r="I925" t="s">
        <v>126</v>
      </c>
      <c r="J925" t="s">
        <v>126</v>
      </c>
      <c r="K925" t="s">
        <v>126</v>
      </c>
      <c r="L925" t="s">
        <v>126</v>
      </c>
      <c r="M925" t="s">
        <v>1576</v>
      </c>
      <c r="N925" t="b">
        <v>0</v>
      </c>
    </row>
    <row r="926" spans="1:14">
      <c r="A926">
        <v>59</v>
      </c>
      <c r="B926">
        <v>16</v>
      </c>
      <c r="C926" t="s">
        <v>126</v>
      </c>
      <c r="D926" t="s">
        <v>741</v>
      </c>
      <c r="E926" t="s">
        <v>126</v>
      </c>
      <c r="F926">
        <v>0</v>
      </c>
      <c r="G926" t="s">
        <v>126</v>
      </c>
      <c r="H926" t="s">
        <v>126</v>
      </c>
      <c r="I926" t="s">
        <v>126</v>
      </c>
      <c r="J926" t="s">
        <v>126</v>
      </c>
      <c r="K926" t="s">
        <v>126</v>
      </c>
      <c r="L926" t="s">
        <v>126</v>
      </c>
      <c r="M926" t="s">
        <v>1577</v>
      </c>
      <c r="N926" t="b">
        <v>0</v>
      </c>
    </row>
    <row r="927" spans="1:14">
      <c r="A927">
        <v>59</v>
      </c>
      <c r="B927">
        <v>17</v>
      </c>
      <c r="C927" t="s">
        <v>126</v>
      </c>
      <c r="D927" t="s">
        <v>741</v>
      </c>
      <c r="E927" t="s">
        <v>126</v>
      </c>
      <c r="F927">
        <v>0</v>
      </c>
      <c r="G927" t="s">
        <v>126</v>
      </c>
      <c r="H927" t="s">
        <v>126</v>
      </c>
      <c r="I927" t="s">
        <v>126</v>
      </c>
      <c r="J927" t="s">
        <v>126</v>
      </c>
      <c r="K927" t="s">
        <v>126</v>
      </c>
      <c r="L927" t="s">
        <v>126</v>
      </c>
      <c r="M927" t="s">
        <v>1578</v>
      </c>
      <c r="N927" t="b">
        <v>0</v>
      </c>
    </row>
    <row r="928" spans="1:14">
      <c r="A928">
        <v>59</v>
      </c>
      <c r="B928">
        <v>18</v>
      </c>
      <c r="C928" t="s">
        <v>126</v>
      </c>
      <c r="D928" t="s">
        <v>741</v>
      </c>
      <c r="E928" t="s">
        <v>126</v>
      </c>
      <c r="F928">
        <v>0</v>
      </c>
      <c r="G928" t="s">
        <v>126</v>
      </c>
      <c r="H928" t="s">
        <v>126</v>
      </c>
      <c r="I928" t="s">
        <v>126</v>
      </c>
      <c r="J928" t="s">
        <v>126</v>
      </c>
      <c r="K928" t="s">
        <v>126</v>
      </c>
      <c r="L928" t="s">
        <v>126</v>
      </c>
      <c r="M928" t="s">
        <v>1579</v>
      </c>
      <c r="N928" t="b">
        <v>0</v>
      </c>
    </row>
    <row r="929" spans="1:14">
      <c r="A929">
        <v>59</v>
      </c>
      <c r="B929">
        <v>19</v>
      </c>
      <c r="C929" t="s">
        <v>126</v>
      </c>
      <c r="D929" t="s">
        <v>741</v>
      </c>
      <c r="E929" t="s">
        <v>126</v>
      </c>
      <c r="F929">
        <v>0</v>
      </c>
      <c r="G929" t="s">
        <v>126</v>
      </c>
      <c r="H929" t="s">
        <v>126</v>
      </c>
      <c r="I929" t="s">
        <v>126</v>
      </c>
      <c r="J929" t="s">
        <v>126</v>
      </c>
      <c r="K929" t="s">
        <v>126</v>
      </c>
      <c r="L929" t="s">
        <v>126</v>
      </c>
      <c r="M929" t="s">
        <v>1580</v>
      </c>
      <c r="N929" t="b">
        <v>0</v>
      </c>
    </row>
    <row r="930" spans="1:14">
      <c r="A930">
        <v>59</v>
      </c>
      <c r="B930">
        <v>20</v>
      </c>
      <c r="C930" t="s">
        <v>126</v>
      </c>
      <c r="D930" t="s">
        <v>741</v>
      </c>
      <c r="E930" t="s">
        <v>126</v>
      </c>
      <c r="F930">
        <v>0</v>
      </c>
      <c r="G930" t="s">
        <v>126</v>
      </c>
      <c r="H930" t="s">
        <v>126</v>
      </c>
      <c r="I930" t="s">
        <v>126</v>
      </c>
      <c r="J930" t="s">
        <v>126</v>
      </c>
      <c r="K930" t="s">
        <v>126</v>
      </c>
      <c r="L930" t="s">
        <v>126</v>
      </c>
      <c r="M930" t="s">
        <v>1581</v>
      </c>
      <c r="N930" t="b">
        <v>0</v>
      </c>
    </row>
    <row r="931" spans="1:14">
      <c r="A931">
        <v>59</v>
      </c>
      <c r="B931">
        <v>21</v>
      </c>
      <c r="C931" t="s">
        <v>126</v>
      </c>
      <c r="D931" t="s">
        <v>741</v>
      </c>
      <c r="E931" t="s">
        <v>126</v>
      </c>
      <c r="F931">
        <v>0</v>
      </c>
      <c r="G931" t="s">
        <v>126</v>
      </c>
      <c r="H931" t="s">
        <v>126</v>
      </c>
      <c r="I931" t="s">
        <v>126</v>
      </c>
      <c r="J931" t="s">
        <v>126</v>
      </c>
      <c r="K931" t="s">
        <v>126</v>
      </c>
      <c r="L931" t="s">
        <v>126</v>
      </c>
      <c r="M931" t="s">
        <v>1582</v>
      </c>
      <c r="N931" t="b">
        <v>0</v>
      </c>
    </row>
    <row r="932" spans="1:14">
      <c r="A932">
        <v>59</v>
      </c>
      <c r="B932">
        <v>22</v>
      </c>
      <c r="C932" t="s">
        <v>126</v>
      </c>
      <c r="D932" t="s">
        <v>741</v>
      </c>
      <c r="E932" t="s">
        <v>126</v>
      </c>
      <c r="F932">
        <v>0</v>
      </c>
      <c r="G932" t="s">
        <v>126</v>
      </c>
      <c r="H932" t="s">
        <v>126</v>
      </c>
      <c r="I932" t="s">
        <v>126</v>
      </c>
      <c r="J932" t="s">
        <v>126</v>
      </c>
      <c r="K932" t="s">
        <v>126</v>
      </c>
      <c r="L932" t="s">
        <v>126</v>
      </c>
      <c r="M932" t="s">
        <v>1583</v>
      </c>
      <c r="N932" t="b">
        <v>0</v>
      </c>
    </row>
    <row r="933" spans="1:14">
      <c r="A933">
        <v>59</v>
      </c>
      <c r="B933">
        <v>23</v>
      </c>
      <c r="C933" t="s">
        <v>126</v>
      </c>
      <c r="D933" t="s">
        <v>741</v>
      </c>
      <c r="E933" t="s">
        <v>126</v>
      </c>
      <c r="F933">
        <v>0</v>
      </c>
      <c r="G933" t="s">
        <v>126</v>
      </c>
      <c r="H933" t="s">
        <v>126</v>
      </c>
      <c r="I933" t="s">
        <v>126</v>
      </c>
      <c r="J933" t="s">
        <v>126</v>
      </c>
      <c r="K933" t="s">
        <v>126</v>
      </c>
      <c r="L933" t="s">
        <v>126</v>
      </c>
      <c r="M933" t="s">
        <v>1584</v>
      </c>
      <c r="N933" t="b">
        <v>0</v>
      </c>
    </row>
    <row r="934" spans="1:14">
      <c r="A934">
        <v>59</v>
      </c>
      <c r="B934">
        <v>24</v>
      </c>
      <c r="C934" t="s">
        <v>126</v>
      </c>
      <c r="D934" t="s">
        <v>741</v>
      </c>
      <c r="E934" t="s">
        <v>126</v>
      </c>
      <c r="F934">
        <v>0</v>
      </c>
      <c r="G934" t="s">
        <v>126</v>
      </c>
      <c r="H934" t="s">
        <v>126</v>
      </c>
      <c r="I934" t="s">
        <v>126</v>
      </c>
      <c r="J934" t="s">
        <v>126</v>
      </c>
      <c r="K934" t="s">
        <v>126</v>
      </c>
      <c r="L934" t="s">
        <v>126</v>
      </c>
      <c r="M934" t="s">
        <v>1585</v>
      </c>
      <c r="N934" t="b">
        <v>0</v>
      </c>
    </row>
    <row r="935" spans="1:14">
      <c r="A935">
        <v>59</v>
      </c>
      <c r="B935">
        <v>25</v>
      </c>
      <c r="C935" t="s">
        <v>126</v>
      </c>
      <c r="D935" t="s">
        <v>741</v>
      </c>
      <c r="E935" t="s">
        <v>126</v>
      </c>
      <c r="F935">
        <v>0</v>
      </c>
      <c r="G935" t="s">
        <v>126</v>
      </c>
      <c r="H935" t="s">
        <v>126</v>
      </c>
      <c r="I935" t="s">
        <v>126</v>
      </c>
      <c r="J935" t="s">
        <v>126</v>
      </c>
      <c r="K935" t="s">
        <v>126</v>
      </c>
      <c r="L935" t="s">
        <v>126</v>
      </c>
      <c r="M935" t="s">
        <v>1586</v>
      </c>
      <c r="N935" t="b">
        <v>0</v>
      </c>
    </row>
    <row r="936" spans="1:14">
      <c r="A936">
        <v>59</v>
      </c>
      <c r="B936">
        <v>26</v>
      </c>
      <c r="C936" t="s">
        <v>126</v>
      </c>
      <c r="D936" t="s">
        <v>741</v>
      </c>
      <c r="E936" t="s">
        <v>126</v>
      </c>
      <c r="F936">
        <v>0</v>
      </c>
      <c r="G936" t="s">
        <v>126</v>
      </c>
      <c r="H936" t="s">
        <v>126</v>
      </c>
      <c r="I936" t="s">
        <v>126</v>
      </c>
      <c r="J936" t="s">
        <v>126</v>
      </c>
      <c r="K936" t="s">
        <v>126</v>
      </c>
      <c r="L936" t="s">
        <v>126</v>
      </c>
      <c r="M936" t="s">
        <v>1587</v>
      </c>
      <c r="N936" t="b">
        <v>0</v>
      </c>
    </row>
    <row r="937" spans="1:14">
      <c r="A937">
        <v>60</v>
      </c>
      <c r="B937">
        <v>0</v>
      </c>
      <c r="C937" t="s">
        <v>186</v>
      </c>
      <c r="D937" t="s">
        <v>724</v>
      </c>
      <c r="E937" t="s">
        <v>65</v>
      </c>
      <c r="F937">
        <v>50</v>
      </c>
      <c r="G937" t="s">
        <v>126</v>
      </c>
      <c r="H937" t="s">
        <v>126</v>
      </c>
      <c r="I937" t="s">
        <v>65</v>
      </c>
      <c r="J937" t="s">
        <v>126</v>
      </c>
      <c r="K937" t="s">
        <v>126</v>
      </c>
      <c r="L937" t="s">
        <v>126</v>
      </c>
      <c r="M937" t="s">
        <v>1588</v>
      </c>
      <c r="N937" t="b">
        <v>0</v>
      </c>
    </row>
    <row r="938" spans="1:14">
      <c r="A938">
        <v>60</v>
      </c>
      <c r="B938">
        <v>1</v>
      </c>
      <c r="C938" t="s">
        <v>226</v>
      </c>
      <c r="D938" t="s">
        <v>724</v>
      </c>
      <c r="E938" t="s">
        <v>77</v>
      </c>
      <c r="F938">
        <v>50</v>
      </c>
      <c r="G938" t="s">
        <v>126</v>
      </c>
      <c r="H938" t="s">
        <v>126</v>
      </c>
      <c r="I938" t="s">
        <v>77</v>
      </c>
      <c r="J938" t="s">
        <v>126</v>
      </c>
      <c r="K938" t="s">
        <v>126</v>
      </c>
      <c r="L938" t="s">
        <v>126</v>
      </c>
      <c r="M938" t="s">
        <v>1589</v>
      </c>
      <c r="N938" t="b">
        <v>0</v>
      </c>
    </row>
    <row r="939" spans="1:14">
      <c r="A939">
        <v>60</v>
      </c>
      <c r="B939">
        <v>2</v>
      </c>
      <c r="C939" t="s">
        <v>158</v>
      </c>
      <c r="D939" t="s">
        <v>724</v>
      </c>
      <c r="E939" t="s">
        <v>83</v>
      </c>
      <c r="F939">
        <v>40</v>
      </c>
      <c r="G939" t="s">
        <v>126</v>
      </c>
      <c r="H939" t="s">
        <v>126</v>
      </c>
      <c r="I939" t="s">
        <v>83</v>
      </c>
      <c r="J939" t="s">
        <v>126</v>
      </c>
      <c r="K939" t="s">
        <v>126</v>
      </c>
      <c r="L939" t="s">
        <v>126</v>
      </c>
      <c r="M939" t="s">
        <v>1590</v>
      </c>
      <c r="N939" t="b">
        <v>0</v>
      </c>
    </row>
    <row r="940" spans="1:14">
      <c r="A940">
        <v>60</v>
      </c>
      <c r="B940">
        <v>3</v>
      </c>
      <c r="C940" t="s">
        <v>229</v>
      </c>
      <c r="D940" t="s">
        <v>724</v>
      </c>
      <c r="E940" t="s">
        <v>101</v>
      </c>
      <c r="F940">
        <v>40</v>
      </c>
      <c r="G940" t="s">
        <v>126</v>
      </c>
      <c r="H940" t="s">
        <v>126</v>
      </c>
      <c r="I940" t="s">
        <v>101</v>
      </c>
      <c r="J940" t="s">
        <v>126</v>
      </c>
      <c r="K940" t="s">
        <v>126</v>
      </c>
      <c r="L940" t="s">
        <v>126</v>
      </c>
      <c r="M940" t="s">
        <v>1591</v>
      </c>
      <c r="N940" t="b">
        <v>0</v>
      </c>
    </row>
    <row r="941" spans="1:14">
      <c r="A941">
        <v>60</v>
      </c>
      <c r="B941">
        <v>4</v>
      </c>
      <c r="C941" t="s">
        <v>202</v>
      </c>
      <c r="D941" t="s">
        <v>724</v>
      </c>
      <c r="E941" t="s">
        <v>103</v>
      </c>
      <c r="F941">
        <v>60</v>
      </c>
      <c r="G941" t="s">
        <v>126</v>
      </c>
      <c r="H941" t="s">
        <v>126</v>
      </c>
      <c r="I941" t="s">
        <v>103</v>
      </c>
      <c r="J941" t="s">
        <v>126</v>
      </c>
      <c r="K941" t="s">
        <v>126</v>
      </c>
      <c r="L941" t="s">
        <v>126</v>
      </c>
      <c r="M941" t="s">
        <v>1592</v>
      </c>
      <c r="N941" t="b">
        <v>0</v>
      </c>
    </row>
    <row r="942" spans="1:14">
      <c r="A942">
        <v>60</v>
      </c>
      <c r="B942">
        <v>5</v>
      </c>
      <c r="C942" t="s">
        <v>254</v>
      </c>
      <c r="D942" t="s">
        <v>724</v>
      </c>
      <c r="E942" t="s">
        <v>115</v>
      </c>
      <c r="F942">
        <v>40</v>
      </c>
      <c r="G942" t="s">
        <v>126</v>
      </c>
      <c r="H942" t="s">
        <v>126</v>
      </c>
      <c r="I942" t="s">
        <v>115</v>
      </c>
      <c r="J942" t="s">
        <v>126</v>
      </c>
      <c r="K942" t="s">
        <v>126</v>
      </c>
      <c r="L942" t="s">
        <v>126</v>
      </c>
      <c r="M942" t="s">
        <v>1593</v>
      </c>
      <c r="N942" t="b">
        <v>0</v>
      </c>
    </row>
    <row r="943" spans="1:14">
      <c r="A943">
        <v>60</v>
      </c>
      <c r="B943">
        <v>6</v>
      </c>
      <c r="C943" t="s">
        <v>262</v>
      </c>
      <c r="D943" t="s">
        <v>724</v>
      </c>
      <c r="E943" t="s">
        <v>66</v>
      </c>
      <c r="F943">
        <v>40</v>
      </c>
      <c r="G943" t="s">
        <v>126</v>
      </c>
      <c r="H943" t="s">
        <v>126</v>
      </c>
      <c r="I943" t="s">
        <v>66</v>
      </c>
      <c r="J943" t="s">
        <v>126</v>
      </c>
      <c r="K943" t="s">
        <v>126</v>
      </c>
      <c r="L943" t="s">
        <v>126</v>
      </c>
      <c r="M943" t="s">
        <v>1594</v>
      </c>
      <c r="N943" t="b">
        <v>0</v>
      </c>
    </row>
    <row r="944" spans="1:14">
      <c r="A944">
        <v>60</v>
      </c>
      <c r="B944">
        <v>7</v>
      </c>
      <c r="C944" t="s">
        <v>193</v>
      </c>
      <c r="D944" t="s">
        <v>724</v>
      </c>
      <c r="E944" t="s">
        <v>78</v>
      </c>
      <c r="F944">
        <v>50</v>
      </c>
      <c r="G944" t="s">
        <v>126</v>
      </c>
      <c r="H944" t="s">
        <v>126</v>
      </c>
      <c r="I944" t="s">
        <v>78</v>
      </c>
      <c r="J944" t="s">
        <v>126</v>
      </c>
      <c r="K944" t="s">
        <v>126</v>
      </c>
      <c r="L944" t="s">
        <v>126</v>
      </c>
      <c r="M944" t="s">
        <v>1595</v>
      </c>
      <c r="N944" t="b">
        <v>0</v>
      </c>
    </row>
    <row r="945" spans="1:14">
      <c r="A945">
        <v>60</v>
      </c>
      <c r="B945">
        <v>8</v>
      </c>
      <c r="C945" t="s">
        <v>213</v>
      </c>
      <c r="D945" t="s">
        <v>724</v>
      </c>
      <c r="E945" t="s">
        <v>84</v>
      </c>
      <c r="F945">
        <v>40</v>
      </c>
      <c r="G945" t="s">
        <v>126</v>
      </c>
      <c r="H945" t="s">
        <v>126</v>
      </c>
      <c r="I945" t="s">
        <v>84</v>
      </c>
      <c r="J945" t="s">
        <v>126</v>
      </c>
      <c r="K945" t="s">
        <v>126</v>
      </c>
      <c r="L945" t="s">
        <v>126</v>
      </c>
      <c r="M945" t="s">
        <v>1596</v>
      </c>
      <c r="N945" t="b">
        <v>0</v>
      </c>
    </row>
    <row r="946" spans="1:14">
      <c r="A946">
        <v>60</v>
      </c>
      <c r="B946">
        <v>9</v>
      </c>
      <c r="C946" t="s">
        <v>263</v>
      </c>
      <c r="D946" t="s">
        <v>724</v>
      </c>
      <c r="E946" t="s">
        <v>545</v>
      </c>
      <c r="F946">
        <v>40</v>
      </c>
      <c r="G946" t="s">
        <v>126</v>
      </c>
      <c r="H946" t="s">
        <v>555</v>
      </c>
      <c r="I946" t="s">
        <v>332</v>
      </c>
      <c r="J946" t="s">
        <v>126</v>
      </c>
      <c r="K946" t="s">
        <v>801</v>
      </c>
      <c r="L946" t="s">
        <v>802</v>
      </c>
      <c r="M946" t="s">
        <v>1597</v>
      </c>
      <c r="N946" t="b">
        <v>0</v>
      </c>
    </row>
    <row r="947" spans="1:14">
      <c r="A947">
        <v>60</v>
      </c>
      <c r="B947">
        <v>10</v>
      </c>
      <c r="C947" t="s">
        <v>170</v>
      </c>
      <c r="D947" t="s">
        <v>724</v>
      </c>
      <c r="E947" t="s">
        <v>106</v>
      </c>
      <c r="F947">
        <v>50</v>
      </c>
      <c r="G947" t="s">
        <v>126</v>
      </c>
      <c r="H947" t="s">
        <v>126</v>
      </c>
      <c r="I947" t="s">
        <v>106</v>
      </c>
      <c r="J947" t="s">
        <v>126</v>
      </c>
      <c r="K947" t="s">
        <v>126</v>
      </c>
      <c r="L947" t="s">
        <v>126</v>
      </c>
      <c r="M947" t="s">
        <v>1598</v>
      </c>
      <c r="N947" t="b">
        <v>0</v>
      </c>
    </row>
    <row r="948" spans="1:14">
      <c r="A948">
        <v>60</v>
      </c>
      <c r="B948">
        <v>11</v>
      </c>
      <c r="C948" t="s">
        <v>126</v>
      </c>
      <c r="D948" t="s">
        <v>724</v>
      </c>
      <c r="E948" t="s">
        <v>126</v>
      </c>
      <c r="F948">
        <v>0</v>
      </c>
      <c r="G948" t="s">
        <v>126</v>
      </c>
      <c r="H948" t="s">
        <v>126</v>
      </c>
      <c r="I948" t="s">
        <v>126</v>
      </c>
      <c r="J948" t="s">
        <v>126</v>
      </c>
      <c r="K948" t="s">
        <v>126</v>
      </c>
      <c r="L948" t="s">
        <v>126</v>
      </c>
      <c r="M948" t="s">
        <v>1599</v>
      </c>
      <c r="N948" t="b">
        <v>0</v>
      </c>
    </row>
    <row r="949" spans="1:14">
      <c r="A949">
        <v>60</v>
      </c>
      <c r="B949">
        <v>12</v>
      </c>
      <c r="C949" t="s">
        <v>126</v>
      </c>
      <c r="D949" t="s">
        <v>724</v>
      </c>
      <c r="E949" t="s">
        <v>126</v>
      </c>
      <c r="F949">
        <v>0</v>
      </c>
      <c r="G949" t="s">
        <v>126</v>
      </c>
      <c r="H949" t="s">
        <v>126</v>
      </c>
      <c r="I949" t="s">
        <v>126</v>
      </c>
      <c r="J949" t="s">
        <v>126</v>
      </c>
      <c r="K949" t="s">
        <v>126</v>
      </c>
      <c r="L949" t="s">
        <v>126</v>
      </c>
      <c r="M949" t="s">
        <v>1600</v>
      </c>
      <c r="N949" t="b">
        <v>0</v>
      </c>
    </row>
    <row r="950" spans="1:14">
      <c r="A950">
        <v>60</v>
      </c>
      <c r="B950">
        <v>13</v>
      </c>
      <c r="C950" t="s">
        <v>126</v>
      </c>
      <c r="D950" t="s">
        <v>724</v>
      </c>
      <c r="E950" t="s">
        <v>126</v>
      </c>
      <c r="F950">
        <v>0</v>
      </c>
      <c r="G950" t="s">
        <v>126</v>
      </c>
      <c r="H950" t="s">
        <v>126</v>
      </c>
      <c r="I950" t="s">
        <v>126</v>
      </c>
      <c r="J950" t="s">
        <v>126</v>
      </c>
      <c r="K950" t="s">
        <v>126</v>
      </c>
      <c r="L950" t="s">
        <v>126</v>
      </c>
      <c r="M950" t="s">
        <v>1601</v>
      </c>
      <c r="N950" t="b">
        <v>0</v>
      </c>
    </row>
    <row r="951" spans="1:14">
      <c r="A951">
        <v>60</v>
      </c>
      <c r="B951">
        <v>14</v>
      </c>
      <c r="C951" t="s">
        <v>126</v>
      </c>
      <c r="D951" t="s">
        <v>724</v>
      </c>
      <c r="E951" t="s">
        <v>126</v>
      </c>
      <c r="F951">
        <v>0</v>
      </c>
      <c r="G951" t="s">
        <v>126</v>
      </c>
      <c r="H951" t="s">
        <v>126</v>
      </c>
      <c r="I951" t="s">
        <v>126</v>
      </c>
      <c r="J951" t="s">
        <v>126</v>
      </c>
      <c r="K951" t="s">
        <v>126</v>
      </c>
      <c r="L951" t="s">
        <v>126</v>
      </c>
      <c r="M951" t="s">
        <v>1602</v>
      </c>
      <c r="N951" t="b">
        <v>0</v>
      </c>
    </row>
    <row r="952" spans="1:14">
      <c r="A952">
        <v>60</v>
      </c>
      <c r="B952">
        <v>15</v>
      </c>
      <c r="C952" t="s">
        <v>126</v>
      </c>
      <c r="D952" t="s">
        <v>724</v>
      </c>
      <c r="E952" t="s">
        <v>126</v>
      </c>
      <c r="F952">
        <v>0</v>
      </c>
      <c r="G952" t="s">
        <v>126</v>
      </c>
      <c r="H952" t="s">
        <v>126</v>
      </c>
      <c r="I952" t="s">
        <v>126</v>
      </c>
      <c r="J952" t="s">
        <v>126</v>
      </c>
      <c r="K952" t="s">
        <v>126</v>
      </c>
      <c r="L952" t="s">
        <v>126</v>
      </c>
      <c r="M952" t="s">
        <v>1603</v>
      </c>
      <c r="N952" t="b">
        <v>0</v>
      </c>
    </row>
    <row r="953" spans="1:14">
      <c r="A953">
        <v>60</v>
      </c>
      <c r="B953">
        <v>16</v>
      </c>
      <c r="C953" t="s">
        <v>264</v>
      </c>
      <c r="D953" t="s">
        <v>741</v>
      </c>
      <c r="E953" t="s">
        <v>99</v>
      </c>
      <c r="F953">
        <v>60</v>
      </c>
      <c r="G953" t="s">
        <v>126</v>
      </c>
      <c r="H953" t="s">
        <v>126</v>
      </c>
      <c r="I953" t="s">
        <v>99</v>
      </c>
      <c r="J953" t="s">
        <v>126</v>
      </c>
      <c r="K953" t="s">
        <v>126</v>
      </c>
      <c r="L953" t="s">
        <v>126</v>
      </c>
      <c r="M953" t="s">
        <v>1604</v>
      </c>
      <c r="N953" t="b">
        <v>0</v>
      </c>
    </row>
    <row r="954" spans="1:14">
      <c r="A954">
        <v>60</v>
      </c>
      <c r="B954">
        <v>17</v>
      </c>
      <c r="C954" t="s">
        <v>212</v>
      </c>
      <c r="D954" t="s">
        <v>741</v>
      </c>
      <c r="E954" t="s">
        <v>109</v>
      </c>
      <c r="F954">
        <v>40</v>
      </c>
      <c r="G954" t="s">
        <v>126</v>
      </c>
      <c r="H954" t="s">
        <v>126</v>
      </c>
      <c r="I954" t="s">
        <v>109</v>
      </c>
      <c r="J954" t="s">
        <v>126</v>
      </c>
      <c r="K954" t="s">
        <v>126</v>
      </c>
      <c r="L954" t="s">
        <v>126</v>
      </c>
      <c r="M954" t="s">
        <v>1605</v>
      </c>
      <c r="N954" t="b">
        <v>0</v>
      </c>
    </row>
    <row r="955" spans="1:14">
      <c r="A955">
        <v>60</v>
      </c>
      <c r="B955">
        <v>18</v>
      </c>
      <c r="C955" t="s">
        <v>167</v>
      </c>
      <c r="D955" t="s">
        <v>741</v>
      </c>
      <c r="E955" t="s">
        <v>74</v>
      </c>
      <c r="F955">
        <v>50</v>
      </c>
      <c r="G955" t="s">
        <v>126</v>
      </c>
      <c r="H955" t="s">
        <v>126</v>
      </c>
      <c r="I955" t="s">
        <v>74</v>
      </c>
      <c r="J955" t="s">
        <v>126</v>
      </c>
      <c r="K955" t="s">
        <v>126</v>
      </c>
      <c r="L955" t="s">
        <v>126</v>
      </c>
      <c r="M955" t="s">
        <v>1606</v>
      </c>
      <c r="N955" t="b">
        <v>0</v>
      </c>
    </row>
    <row r="956" spans="1:14">
      <c r="A956">
        <v>60</v>
      </c>
      <c r="B956">
        <v>19</v>
      </c>
      <c r="C956" t="s">
        <v>265</v>
      </c>
      <c r="D956" t="s">
        <v>741</v>
      </c>
      <c r="E956" t="s">
        <v>91</v>
      </c>
      <c r="F956">
        <v>50</v>
      </c>
      <c r="G956" t="s">
        <v>126</v>
      </c>
      <c r="H956" t="s">
        <v>126</v>
      </c>
      <c r="I956" t="s">
        <v>91</v>
      </c>
      <c r="J956" t="s">
        <v>126</v>
      </c>
      <c r="K956" t="s">
        <v>126</v>
      </c>
      <c r="L956" t="s">
        <v>126</v>
      </c>
      <c r="M956" t="s">
        <v>1607</v>
      </c>
      <c r="N956" t="b">
        <v>0</v>
      </c>
    </row>
    <row r="957" spans="1:14">
      <c r="A957">
        <v>60</v>
      </c>
      <c r="B957">
        <v>20</v>
      </c>
      <c r="C957" t="s">
        <v>169</v>
      </c>
      <c r="D957" t="s">
        <v>741</v>
      </c>
      <c r="E957" t="s">
        <v>98</v>
      </c>
      <c r="F957">
        <v>60</v>
      </c>
      <c r="G957" t="s">
        <v>126</v>
      </c>
      <c r="H957" t="s">
        <v>126</v>
      </c>
      <c r="I957" t="s">
        <v>98</v>
      </c>
      <c r="J957" t="s">
        <v>126</v>
      </c>
      <c r="K957" t="s">
        <v>126</v>
      </c>
      <c r="L957" t="s">
        <v>126</v>
      </c>
      <c r="M957" t="s">
        <v>1608</v>
      </c>
      <c r="N957" t="b">
        <v>0</v>
      </c>
    </row>
    <row r="958" spans="1:14">
      <c r="A958">
        <v>60</v>
      </c>
      <c r="B958">
        <v>21</v>
      </c>
      <c r="C958" t="s">
        <v>126</v>
      </c>
      <c r="D958" t="s">
        <v>741</v>
      </c>
      <c r="E958" t="s">
        <v>126</v>
      </c>
      <c r="F958">
        <v>0</v>
      </c>
      <c r="G958" t="s">
        <v>126</v>
      </c>
      <c r="H958" t="s">
        <v>126</v>
      </c>
      <c r="I958" t="s">
        <v>126</v>
      </c>
      <c r="J958" t="s">
        <v>126</v>
      </c>
      <c r="K958" t="s">
        <v>126</v>
      </c>
      <c r="L958" t="s">
        <v>126</v>
      </c>
      <c r="M958" t="s">
        <v>1609</v>
      </c>
      <c r="N958" t="b">
        <v>0</v>
      </c>
    </row>
    <row r="959" spans="1:14">
      <c r="A959">
        <v>60</v>
      </c>
      <c r="B959">
        <v>22</v>
      </c>
      <c r="C959" t="s">
        <v>126</v>
      </c>
      <c r="D959" t="s">
        <v>741</v>
      </c>
      <c r="E959" t="s">
        <v>126</v>
      </c>
      <c r="F959">
        <v>0</v>
      </c>
      <c r="G959" t="s">
        <v>126</v>
      </c>
      <c r="H959" t="s">
        <v>126</v>
      </c>
      <c r="I959" t="s">
        <v>126</v>
      </c>
      <c r="J959" t="s">
        <v>126</v>
      </c>
      <c r="K959" t="s">
        <v>126</v>
      </c>
      <c r="L959" t="s">
        <v>126</v>
      </c>
      <c r="M959" t="s">
        <v>1610</v>
      </c>
      <c r="N959" t="b">
        <v>0</v>
      </c>
    </row>
    <row r="960" spans="1:14">
      <c r="A960">
        <v>60</v>
      </c>
      <c r="B960">
        <v>23</v>
      </c>
      <c r="C960" t="s">
        <v>126</v>
      </c>
      <c r="D960" t="s">
        <v>741</v>
      </c>
      <c r="E960" t="s">
        <v>126</v>
      </c>
      <c r="F960">
        <v>0</v>
      </c>
      <c r="G960" t="s">
        <v>126</v>
      </c>
      <c r="H960" t="s">
        <v>126</v>
      </c>
      <c r="I960" t="s">
        <v>126</v>
      </c>
      <c r="J960" t="s">
        <v>126</v>
      </c>
      <c r="K960" t="s">
        <v>126</v>
      </c>
      <c r="L960" t="s">
        <v>126</v>
      </c>
      <c r="M960" t="s">
        <v>1611</v>
      </c>
      <c r="N960" t="b">
        <v>0</v>
      </c>
    </row>
    <row r="961" spans="1:14">
      <c r="A961">
        <v>60</v>
      </c>
      <c r="B961">
        <v>24</v>
      </c>
      <c r="C961" t="s">
        <v>126</v>
      </c>
      <c r="D961" t="s">
        <v>741</v>
      </c>
      <c r="E961" t="s">
        <v>126</v>
      </c>
      <c r="F961">
        <v>0</v>
      </c>
      <c r="G961" t="s">
        <v>126</v>
      </c>
      <c r="H961" t="s">
        <v>126</v>
      </c>
      <c r="I961" t="s">
        <v>126</v>
      </c>
      <c r="J961" t="s">
        <v>126</v>
      </c>
      <c r="K961" t="s">
        <v>126</v>
      </c>
      <c r="L961" t="s">
        <v>126</v>
      </c>
      <c r="M961" t="s">
        <v>1612</v>
      </c>
      <c r="N961" t="b">
        <v>0</v>
      </c>
    </row>
    <row r="962" spans="1:14">
      <c r="A962">
        <v>60</v>
      </c>
      <c r="B962">
        <v>25</v>
      </c>
      <c r="C962" t="s">
        <v>126</v>
      </c>
      <c r="D962" t="s">
        <v>741</v>
      </c>
      <c r="E962" t="s">
        <v>126</v>
      </c>
      <c r="F962">
        <v>0</v>
      </c>
      <c r="G962" t="s">
        <v>126</v>
      </c>
      <c r="H962" t="s">
        <v>126</v>
      </c>
      <c r="I962" t="s">
        <v>126</v>
      </c>
      <c r="J962" t="s">
        <v>126</v>
      </c>
      <c r="K962" t="s">
        <v>126</v>
      </c>
      <c r="L962" t="s">
        <v>126</v>
      </c>
      <c r="M962" t="s">
        <v>1613</v>
      </c>
      <c r="N962" t="b">
        <v>0</v>
      </c>
    </row>
    <row r="963" spans="1:14">
      <c r="A963">
        <v>60</v>
      </c>
      <c r="B963">
        <v>26</v>
      </c>
      <c r="C963" t="s">
        <v>126</v>
      </c>
      <c r="D963" t="s">
        <v>741</v>
      </c>
      <c r="E963" t="s">
        <v>126</v>
      </c>
      <c r="F963">
        <v>0</v>
      </c>
      <c r="G963" t="s">
        <v>126</v>
      </c>
      <c r="H963" t="s">
        <v>126</v>
      </c>
      <c r="I963" t="s">
        <v>126</v>
      </c>
      <c r="J963" t="s">
        <v>126</v>
      </c>
      <c r="K963" t="s">
        <v>126</v>
      </c>
      <c r="L963" t="s">
        <v>126</v>
      </c>
      <c r="M963" t="s">
        <v>1614</v>
      </c>
      <c r="N963" t="b">
        <v>0</v>
      </c>
    </row>
    <row r="964" spans="1:14">
      <c r="A964">
        <v>61</v>
      </c>
      <c r="B964">
        <v>0</v>
      </c>
      <c r="C964" t="s">
        <v>186</v>
      </c>
      <c r="D964" t="s">
        <v>724</v>
      </c>
      <c r="E964" t="s">
        <v>65</v>
      </c>
      <c r="F964">
        <v>50</v>
      </c>
      <c r="G964" t="s">
        <v>126</v>
      </c>
      <c r="H964" t="s">
        <v>126</v>
      </c>
      <c r="I964" t="s">
        <v>65</v>
      </c>
      <c r="J964" t="s">
        <v>126</v>
      </c>
      <c r="K964" t="s">
        <v>126</v>
      </c>
      <c r="L964" t="s">
        <v>126</v>
      </c>
      <c r="M964" t="s">
        <v>1615</v>
      </c>
      <c r="N964" t="b">
        <v>0</v>
      </c>
    </row>
    <row r="965" spans="1:14">
      <c r="A965">
        <v>61</v>
      </c>
      <c r="B965">
        <v>1</v>
      </c>
      <c r="C965" t="s">
        <v>217</v>
      </c>
      <c r="D965" t="s">
        <v>724</v>
      </c>
      <c r="E965" t="s">
        <v>77</v>
      </c>
      <c r="F965">
        <v>60</v>
      </c>
      <c r="G965" t="s">
        <v>126</v>
      </c>
      <c r="H965" t="s">
        <v>126</v>
      </c>
      <c r="I965" t="s">
        <v>77</v>
      </c>
      <c r="J965" t="s">
        <v>126</v>
      </c>
      <c r="K965" t="s">
        <v>126</v>
      </c>
      <c r="L965" t="s">
        <v>126</v>
      </c>
      <c r="M965" t="s">
        <v>1616</v>
      </c>
      <c r="N965" t="b">
        <v>0</v>
      </c>
    </row>
    <row r="966" spans="1:14">
      <c r="A966">
        <v>61</v>
      </c>
      <c r="B966">
        <v>2</v>
      </c>
      <c r="C966" t="s">
        <v>218</v>
      </c>
      <c r="D966" t="s">
        <v>724</v>
      </c>
      <c r="E966" t="s">
        <v>95</v>
      </c>
      <c r="F966">
        <v>40</v>
      </c>
      <c r="G966" t="s">
        <v>126</v>
      </c>
      <c r="H966" t="s">
        <v>126</v>
      </c>
      <c r="I966" t="s">
        <v>95</v>
      </c>
      <c r="J966" t="s">
        <v>126</v>
      </c>
      <c r="K966" t="s">
        <v>126</v>
      </c>
      <c r="L966" t="s">
        <v>126</v>
      </c>
      <c r="M966" t="s">
        <v>1617</v>
      </c>
      <c r="N966" t="b">
        <v>0</v>
      </c>
    </row>
    <row r="967" spans="1:14">
      <c r="A967">
        <v>61</v>
      </c>
      <c r="B967">
        <v>3</v>
      </c>
      <c r="C967" t="s">
        <v>219</v>
      </c>
      <c r="D967" t="s">
        <v>724</v>
      </c>
      <c r="E967" t="s">
        <v>101</v>
      </c>
      <c r="F967">
        <v>60</v>
      </c>
      <c r="G967" t="s">
        <v>126</v>
      </c>
      <c r="H967" t="s">
        <v>126</v>
      </c>
      <c r="I967" t="s">
        <v>101</v>
      </c>
      <c r="J967" t="s">
        <v>126</v>
      </c>
      <c r="K967" t="s">
        <v>126</v>
      </c>
      <c r="L967" t="s">
        <v>126</v>
      </c>
      <c r="M967" t="s">
        <v>1618</v>
      </c>
      <c r="N967" t="b">
        <v>0</v>
      </c>
    </row>
    <row r="968" spans="1:14">
      <c r="A968">
        <v>61</v>
      </c>
      <c r="B968">
        <v>4</v>
      </c>
      <c r="C968" t="s">
        <v>198</v>
      </c>
      <c r="D968" t="s">
        <v>724</v>
      </c>
      <c r="E968" t="s">
        <v>113</v>
      </c>
      <c r="F968">
        <v>50</v>
      </c>
      <c r="G968" t="s">
        <v>126</v>
      </c>
      <c r="H968" t="s">
        <v>126</v>
      </c>
      <c r="I968" t="s">
        <v>113</v>
      </c>
      <c r="J968" t="s">
        <v>126</v>
      </c>
      <c r="K968" t="s">
        <v>126</v>
      </c>
      <c r="L968" t="s">
        <v>126</v>
      </c>
      <c r="M968" t="s">
        <v>1619</v>
      </c>
      <c r="N968" t="b">
        <v>0</v>
      </c>
    </row>
    <row r="969" spans="1:14">
      <c r="A969">
        <v>61</v>
      </c>
      <c r="B969">
        <v>5</v>
      </c>
      <c r="C969" t="s">
        <v>220</v>
      </c>
      <c r="D969" t="s">
        <v>724</v>
      </c>
      <c r="E969" t="s">
        <v>68</v>
      </c>
      <c r="F969">
        <v>50</v>
      </c>
      <c r="G969" t="s">
        <v>126</v>
      </c>
      <c r="H969" t="s">
        <v>126</v>
      </c>
      <c r="I969" t="s">
        <v>68</v>
      </c>
      <c r="J969" t="s">
        <v>126</v>
      </c>
      <c r="K969" t="s">
        <v>126</v>
      </c>
      <c r="L969" t="s">
        <v>126</v>
      </c>
      <c r="M969" t="s">
        <v>1620</v>
      </c>
      <c r="N969" t="b">
        <v>0</v>
      </c>
    </row>
    <row r="970" spans="1:14">
      <c r="A970">
        <v>61</v>
      </c>
      <c r="B970">
        <v>6</v>
      </c>
      <c r="C970" t="s">
        <v>221</v>
      </c>
      <c r="D970" t="s">
        <v>724</v>
      </c>
      <c r="E970" t="s">
        <v>331</v>
      </c>
      <c r="F970">
        <v>60</v>
      </c>
      <c r="G970" t="s">
        <v>126</v>
      </c>
      <c r="H970" t="s">
        <v>548</v>
      </c>
      <c r="I970" t="s">
        <v>445</v>
      </c>
      <c r="J970" t="s">
        <v>126</v>
      </c>
      <c r="K970" t="s">
        <v>921</v>
      </c>
      <c r="L970" t="s">
        <v>922</v>
      </c>
      <c r="M970" t="s">
        <v>1621</v>
      </c>
      <c r="N970" t="b">
        <v>0</v>
      </c>
    </row>
    <row r="971" spans="1:14">
      <c r="A971">
        <v>61</v>
      </c>
      <c r="B971">
        <v>7</v>
      </c>
      <c r="C971" t="s">
        <v>167</v>
      </c>
      <c r="D971" t="s">
        <v>724</v>
      </c>
      <c r="E971" t="s">
        <v>74</v>
      </c>
      <c r="F971">
        <v>50</v>
      </c>
      <c r="G971" t="s">
        <v>126</v>
      </c>
      <c r="H971" t="s">
        <v>126</v>
      </c>
      <c r="I971" t="s">
        <v>74</v>
      </c>
      <c r="J971" t="s">
        <v>126</v>
      </c>
      <c r="K971" t="s">
        <v>126</v>
      </c>
      <c r="L971" t="s">
        <v>126</v>
      </c>
      <c r="M971" t="s">
        <v>1622</v>
      </c>
      <c r="N971" t="b">
        <v>0</v>
      </c>
    </row>
    <row r="972" spans="1:14">
      <c r="A972">
        <v>61</v>
      </c>
      <c r="B972">
        <v>8</v>
      </c>
      <c r="C972" t="s">
        <v>388</v>
      </c>
      <c r="D972" t="s">
        <v>724</v>
      </c>
      <c r="E972" t="s">
        <v>358</v>
      </c>
      <c r="F972">
        <v>40</v>
      </c>
      <c r="G972" t="s">
        <v>126</v>
      </c>
      <c r="H972" t="s">
        <v>563</v>
      </c>
      <c r="I972" t="s">
        <v>1623</v>
      </c>
      <c r="J972" t="s">
        <v>126</v>
      </c>
      <c r="K972" t="s">
        <v>1164</v>
      </c>
      <c r="L972" t="s">
        <v>1165</v>
      </c>
      <c r="M972" t="s">
        <v>1624</v>
      </c>
      <c r="N972" t="b">
        <v>0</v>
      </c>
    </row>
    <row r="973" spans="1:14">
      <c r="A973">
        <v>61</v>
      </c>
      <c r="B973">
        <v>9</v>
      </c>
      <c r="C973" t="s">
        <v>222</v>
      </c>
      <c r="D973" t="s">
        <v>724</v>
      </c>
      <c r="E973" t="s">
        <v>102</v>
      </c>
      <c r="F973">
        <v>50</v>
      </c>
      <c r="G973" t="s">
        <v>126</v>
      </c>
      <c r="H973" t="s">
        <v>126</v>
      </c>
      <c r="I973" t="s">
        <v>102</v>
      </c>
      <c r="J973" t="s">
        <v>126</v>
      </c>
      <c r="K973" t="s">
        <v>126</v>
      </c>
      <c r="L973" t="s">
        <v>126</v>
      </c>
      <c r="M973" t="s">
        <v>1625</v>
      </c>
      <c r="N973" t="b">
        <v>0</v>
      </c>
    </row>
    <row r="974" spans="1:14">
      <c r="A974">
        <v>61</v>
      </c>
      <c r="B974">
        <v>10</v>
      </c>
      <c r="C974" t="s">
        <v>389</v>
      </c>
      <c r="D974" t="s">
        <v>724</v>
      </c>
      <c r="E974" t="s">
        <v>106</v>
      </c>
      <c r="F974">
        <v>60</v>
      </c>
      <c r="G974" t="s">
        <v>126</v>
      </c>
      <c r="H974" t="s">
        <v>126</v>
      </c>
      <c r="I974" t="s">
        <v>106</v>
      </c>
      <c r="J974" t="s">
        <v>126</v>
      </c>
      <c r="K974" t="s">
        <v>126</v>
      </c>
      <c r="L974" t="s">
        <v>126</v>
      </c>
      <c r="M974" t="s">
        <v>1626</v>
      </c>
      <c r="N974" t="b">
        <v>0</v>
      </c>
    </row>
    <row r="975" spans="1:14">
      <c r="A975">
        <v>61</v>
      </c>
      <c r="B975">
        <v>11</v>
      </c>
      <c r="C975" t="s">
        <v>292</v>
      </c>
      <c r="D975" t="s">
        <v>724</v>
      </c>
      <c r="E975" t="s">
        <v>107</v>
      </c>
      <c r="F975">
        <v>60</v>
      </c>
      <c r="G975" t="s">
        <v>126</v>
      </c>
      <c r="H975" t="s">
        <v>126</v>
      </c>
      <c r="I975" t="s">
        <v>107</v>
      </c>
      <c r="J975" t="s">
        <v>126</v>
      </c>
      <c r="K975" t="s">
        <v>126</v>
      </c>
      <c r="L975" t="s">
        <v>126</v>
      </c>
      <c r="M975" t="s">
        <v>1627</v>
      </c>
      <c r="N975" t="b">
        <v>0</v>
      </c>
    </row>
    <row r="976" spans="1:14">
      <c r="A976">
        <v>61</v>
      </c>
      <c r="B976">
        <v>12</v>
      </c>
      <c r="C976" t="s">
        <v>195</v>
      </c>
      <c r="D976" t="s">
        <v>724</v>
      </c>
      <c r="E976" t="s">
        <v>108</v>
      </c>
      <c r="F976">
        <v>60</v>
      </c>
      <c r="G976" t="s">
        <v>126</v>
      </c>
      <c r="H976" t="s">
        <v>126</v>
      </c>
      <c r="I976" t="s">
        <v>108</v>
      </c>
      <c r="J976" t="s">
        <v>126</v>
      </c>
      <c r="K976" t="s">
        <v>126</v>
      </c>
      <c r="L976" t="s">
        <v>126</v>
      </c>
      <c r="M976" t="s">
        <v>1628</v>
      </c>
      <c r="N976" t="b">
        <v>0</v>
      </c>
    </row>
    <row r="977" spans="1:14">
      <c r="A977">
        <v>61</v>
      </c>
      <c r="B977">
        <v>13</v>
      </c>
      <c r="C977" t="s">
        <v>126</v>
      </c>
      <c r="D977" t="s">
        <v>724</v>
      </c>
      <c r="E977" t="s">
        <v>126</v>
      </c>
      <c r="F977">
        <v>0</v>
      </c>
      <c r="G977" t="s">
        <v>126</v>
      </c>
      <c r="H977" t="s">
        <v>126</v>
      </c>
      <c r="I977" t="s">
        <v>126</v>
      </c>
      <c r="J977" t="s">
        <v>126</v>
      </c>
      <c r="K977" t="s">
        <v>126</v>
      </c>
      <c r="L977" t="s">
        <v>126</v>
      </c>
      <c r="M977" t="s">
        <v>1629</v>
      </c>
      <c r="N977" t="b">
        <v>0</v>
      </c>
    </row>
    <row r="978" spans="1:14">
      <c r="A978">
        <v>61</v>
      </c>
      <c r="B978">
        <v>14</v>
      </c>
      <c r="C978" t="s">
        <v>126</v>
      </c>
      <c r="D978" t="s">
        <v>724</v>
      </c>
      <c r="E978" t="s">
        <v>126</v>
      </c>
      <c r="F978">
        <v>0</v>
      </c>
      <c r="G978" t="s">
        <v>126</v>
      </c>
      <c r="H978" t="s">
        <v>126</v>
      </c>
      <c r="I978" t="s">
        <v>126</v>
      </c>
      <c r="J978" t="s">
        <v>126</v>
      </c>
      <c r="K978" t="s">
        <v>126</v>
      </c>
      <c r="L978" t="s">
        <v>126</v>
      </c>
      <c r="M978" t="s">
        <v>1630</v>
      </c>
      <c r="N978" t="b">
        <v>0</v>
      </c>
    </row>
    <row r="979" spans="1:14">
      <c r="A979">
        <v>61</v>
      </c>
      <c r="B979">
        <v>15</v>
      </c>
      <c r="C979" t="s">
        <v>126</v>
      </c>
      <c r="D979" t="s">
        <v>724</v>
      </c>
      <c r="E979" t="s">
        <v>126</v>
      </c>
      <c r="F979">
        <v>0</v>
      </c>
      <c r="G979" t="s">
        <v>126</v>
      </c>
      <c r="H979" t="s">
        <v>126</v>
      </c>
      <c r="I979" t="s">
        <v>126</v>
      </c>
      <c r="J979" t="s">
        <v>126</v>
      </c>
      <c r="K979" t="s">
        <v>126</v>
      </c>
      <c r="L979" t="s">
        <v>126</v>
      </c>
      <c r="M979" t="s">
        <v>1631</v>
      </c>
      <c r="N979" t="b">
        <v>0</v>
      </c>
    </row>
    <row r="980" spans="1:14">
      <c r="A980">
        <v>61</v>
      </c>
      <c r="B980">
        <v>16</v>
      </c>
      <c r="C980" t="s">
        <v>126</v>
      </c>
      <c r="D980" t="s">
        <v>741</v>
      </c>
      <c r="E980" t="s">
        <v>126</v>
      </c>
      <c r="F980">
        <v>0</v>
      </c>
      <c r="G980" t="s">
        <v>126</v>
      </c>
      <c r="H980" t="s">
        <v>126</v>
      </c>
      <c r="I980" t="s">
        <v>126</v>
      </c>
      <c r="J980" t="s">
        <v>126</v>
      </c>
      <c r="K980" t="s">
        <v>126</v>
      </c>
      <c r="L980" t="s">
        <v>126</v>
      </c>
      <c r="M980" t="s">
        <v>1632</v>
      </c>
      <c r="N980" t="b">
        <v>0</v>
      </c>
    </row>
    <row r="981" spans="1:14">
      <c r="A981">
        <v>61</v>
      </c>
      <c r="B981">
        <v>17</v>
      </c>
      <c r="C981" t="s">
        <v>126</v>
      </c>
      <c r="D981" t="s">
        <v>741</v>
      </c>
      <c r="E981" t="s">
        <v>126</v>
      </c>
      <c r="F981">
        <v>0</v>
      </c>
      <c r="G981" t="s">
        <v>126</v>
      </c>
      <c r="H981" t="s">
        <v>126</v>
      </c>
      <c r="I981" t="s">
        <v>126</v>
      </c>
      <c r="J981" t="s">
        <v>126</v>
      </c>
      <c r="K981" t="s">
        <v>126</v>
      </c>
      <c r="L981" t="s">
        <v>126</v>
      </c>
      <c r="M981" t="s">
        <v>1633</v>
      </c>
      <c r="N981" t="b">
        <v>0</v>
      </c>
    </row>
    <row r="982" spans="1:14">
      <c r="A982">
        <v>61</v>
      </c>
      <c r="B982">
        <v>18</v>
      </c>
      <c r="C982" t="s">
        <v>126</v>
      </c>
      <c r="D982" t="s">
        <v>741</v>
      </c>
      <c r="E982" t="s">
        <v>126</v>
      </c>
      <c r="F982">
        <v>0</v>
      </c>
      <c r="G982" t="s">
        <v>126</v>
      </c>
      <c r="H982" t="s">
        <v>126</v>
      </c>
      <c r="I982" t="s">
        <v>126</v>
      </c>
      <c r="J982" t="s">
        <v>126</v>
      </c>
      <c r="K982" t="s">
        <v>126</v>
      </c>
      <c r="L982" t="s">
        <v>126</v>
      </c>
      <c r="M982" t="s">
        <v>1634</v>
      </c>
      <c r="N982" t="b">
        <v>0</v>
      </c>
    </row>
    <row r="983" spans="1:14">
      <c r="A983">
        <v>61</v>
      </c>
      <c r="B983">
        <v>19</v>
      </c>
      <c r="C983" t="s">
        <v>126</v>
      </c>
      <c r="D983" t="s">
        <v>741</v>
      </c>
      <c r="E983" t="s">
        <v>126</v>
      </c>
      <c r="F983">
        <v>0</v>
      </c>
      <c r="G983" t="s">
        <v>126</v>
      </c>
      <c r="H983" t="s">
        <v>126</v>
      </c>
      <c r="I983" t="s">
        <v>126</v>
      </c>
      <c r="J983" t="s">
        <v>126</v>
      </c>
      <c r="K983" t="s">
        <v>126</v>
      </c>
      <c r="L983" t="s">
        <v>126</v>
      </c>
      <c r="M983" t="s">
        <v>1635</v>
      </c>
      <c r="N983" t="b">
        <v>0</v>
      </c>
    </row>
    <row r="984" spans="1:14">
      <c r="A984">
        <v>61</v>
      </c>
      <c r="B984">
        <v>20</v>
      </c>
      <c r="C984" t="s">
        <v>126</v>
      </c>
      <c r="D984" t="s">
        <v>741</v>
      </c>
      <c r="E984" t="s">
        <v>126</v>
      </c>
      <c r="F984">
        <v>0</v>
      </c>
      <c r="G984" t="s">
        <v>126</v>
      </c>
      <c r="H984" t="s">
        <v>126</v>
      </c>
      <c r="I984" t="s">
        <v>126</v>
      </c>
      <c r="J984" t="s">
        <v>126</v>
      </c>
      <c r="K984" t="s">
        <v>126</v>
      </c>
      <c r="L984" t="s">
        <v>126</v>
      </c>
      <c r="M984" t="s">
        <v>1636</v>
      </c>
      <c r="N984" t="b">
        <v>0</v>
      </c>
    </row>
    <row r="985" spans="1:14">
      <c r="A985">
        <v>61</v>
      </c>
      <c r="B985">
        <v>21</v>
      </c>
      <c r="C985" t="s">
        <v>126</v>
      </c>
      <c r="D985" t="s">
        <v>741</v>
      </c>
      <c r="E985" t="s">
        <v>126</v>
      </c>
      <c r="F985">
        <v>0</v>
      </c>
      <c r="G985" t="s">
        <v>126</v>
      </c>
      <c r="H985" t="s">
        <v>126</v>
      </c>
      <c r="I985" t="s">
        <v>126</v>
      </c>
      <c r="J985" t="s">
        <v>126</v>
      </c>
      <c r="K985" t="s">
        <v>126</v>
      </c>
      <c r="L985" t="s">
        <v>126</v>
      </c>
      <c r="M985" t="s">
        <v>1637</v>
      </c>
      <c r="N985" t="b">
        <v>0</v>
      </c>
    </row>
    <row r="986" spans="1:14">
      <c r="A986">
        <v>61</v>
      </c>
      <c r="B986">
        <v>22</v>
      </c>
      <c r="C986" t="s">
        <v>126</v>
      </c>
      <c r="D986" t="s">
        <v>741</v>
      </c>
      <c r="E986" t="s">
        <v>126</v>
      </c>
      <c r="F986">
        <v>0</v>
      </c>
      <c r="G986" t="s">
        <v>126</v>
      </c>
      <c r="H986" t="s">
        <v>126</v>
      </c>
      <c r="I986" t="s">
        <v>126</v>
      </c>
      <c r="J986" t="s">
        <v>126</v>
      </c>
      <c r="K986" t="s">
        <v>126</v>
      </c>
      <c r="L986" t="s">
        <v>126</v>
      </c>
      <c r="M986" t="s">
        <v>1638</v>
      </c>
      <c r="N986" t="b">
        <v>0</v>
      </c>
    </row>
    <row r="987" spans="1:14">
      <c r="A987">
        <v>61</v>
      </c>
      <c r="B987">
        <v>23</v>
      </c>
      <c r="C987" t="s">
        <v>126</v>
      </c>
      <c r="D987" t="s">
        <v>741</v>
      </c>
      <c r="E987" t="s">
        <v>126</v>
      </c>
      <c r="F987">
        <v>0</v>
      </c>
      <c r="G987" t="s">
        <v>126</v>
      </c>
      <c r="H987" t="s">
        <v>126</v>
      </c>
      <c r="I987" t="s">
        <v>126</v>
      </c>
      <c r="J987" t="s">
        <v>126</v>
      </c>
      <c r="K987" t="s">
        <v>126</v>
      </c>
      <c r="L987" t="s">
        <v>126</v>
      </c>
      <c r="M987" t="s">
        <v>1639</v>
      </c>
      <c r="N987" t="b">
        <v>0</v>
      </c>
    </row>
    <row r="988" spans="1:14">
      <c r="A988">
        <v>61</v>
      </c>
      <c r="B988">
        <v>24</v>
      </c>
      <c r="C988" t="s">
        <v>126</v>
      </c>
      <c r="D988" t="s">
        <v>741</v>
      </c>
      <c r="E988" t="s">
        <v>126</v>
      </c>
      <c r="F988">
        <v>0</v>
      </c>
      <c r="G988" t="s">
        <v>126</v>
      </c>
      <c r="H988" t="s">
        <v>126</v>
      </c>
      <c r="I988" t="s">
        <v>126</v>
      </c>
      <c r="J988" t="s">
        <v>126</v>
      </c>
      <c r="K988" t="s">
        <v>126</v>
      </c>
      <c r="L988" t="s">
        <v>126</v>
      </c>
      <c r="M988" t="s">
        <v>1640</v>
      </c>
      <c r="N988" t="b">
        <v>0</v>
      </c>
    </row>
    <row r="989" spans="1:14">
      <c r="A989">
        <v>61</v>
      </c>
      <c r="B989">
        <v>25</v>
      </c>
      <c r="C989" t="s">
        <v>126</v>
      </c>
      <c r="D989" t="s">
        <v>741</v>
      </c>
      <c r="E989" t="s">
        <v>126</v>
      </c>
      <c r="F989">
        <v>0</v>
      </c>
      <c r="G989" t="s">
        <v>126</v>
      </c>
      <c r="H989" t="s">
        <v>126</v>
      </c>
      <c r="I989" t="s">
        <v>126</v>
      </c>
      <c r="J989" t="s">
        <v>126</v>
      </c>
      <c r="K989" t="s">
        <v>126</v>
      </c>
      <c r="L989" t="s">
        <v>126</v>
      </c>
      <c r="M989" t="s">
        <v>1641</v>
      </c>
      <c r="N989" t="b">
        <v>0</v>
      </c>
    </row>
    <row r="990" spans="1:14">
      <c r="A990">
        <v>61</v>
      </c>
      <c r="B990">
        <v>26</v>
      </c>
      <c r="C990" t="s">
        <v>126</v>
      </c>
      <c r="D990" t="s">
        <v>741</v>
      </c>
      <c r="E990" t="s">
        <v>126</v>
      </c>
      <c r="F990">
        <v>0</v>
      </c>
      <c r="G990" t="s">
        <v>126</v>
      </c>
      <c r="H990" t="s">
        <v>126</v>
      </c>
      <c r="I990" t="s">
        <v>126</v>
      </c>
      <c r="J990" t="s">
        <v>126</v>
      </c>
      <c r="K990" t="s">
        <v>126</v>
      </c>
      <c r="L990" t="s">
        <v>126</v>
      </c>
      <c r="M990" t="s">
        <v>1642</v>
      </c>
      <c r="N990" t="b">
        <v>0</v>
      </c>
    </row>
    <row r="991" spans="1:14">
      <c r="A991">
        <v>62</v>
      </c>
      <c r="B991">
        <v>0</v>
      </c>
      <c r="C991" t="s">
        <v>216</v>
      </c>
      <c r="D991" t="s">
        <v>724</v>
      </c>
      <c r="E991" t="s">
        <v>65</v>
      </c>
      <c r="F991">
        <v>60</v>
      </c>
      <c r="G991" t="s">
        <v>126</v>
      </c>
      <c r="H991" t="s">
        <v>126</v>
      </c>
      <c r="I991" t="s">
        <v>65</v>
      </c>
      <c r="J991" t="s">
        <v>126</v>
      </c>
      <c r="K991" t="s">
        <v>126</v>
      </c>
      <c r="L991" t="s">
        <v>126</v>
      </c>
      <c r="M991" t="s">
        <v>1643</v>
      </c>
      <c r="N991" t="b">
        <v>0</v>
      </c>
    </row>
    <row r="992" spans="1:14">
      <c r="A992">
        <v>62</v>
      </c>
      <c r="B992">
        <v>1</v>
      </c>
      <c r="C992" t="s">
        <v>217</v>
      </c>
      <c r="D992" t="s">
        <v>724</v>
      </c>
      <c r="E992" t="s">
        <v>77</v>
      </c>
      <c r="F992">
        <v>60</v>
      </c>
      <c r="G992" t="s">
        <v>126</v>
      </c>
      <c r="H992" t="s">
        <v>126</v>
      </c>
      <c r="I992" t="s">
        <v>77</v>
      </c>
      <c r="J992" t="s">
        <v>126</v>
      </c>
      <c r="K992" t="s">
        <v>126</v>
      </c>
      <c r="L992" t="s">
        <v>126</v>
      </c>
      <c r="M992" t="s">
        <v>1644</v>
      </c>
      <c r="N992" t="b">
        <v>0</v>
      </c>
    </row>
    <row r="993" spans="1:14">
      <c r="A993">
        <v>62</v>
      </c>
      <c r="B993">
        <v>2</v>
      </c>
      <c r="C993" t="s">
        <v>218</v>
      </c>
      <c r="D993" t="s">
        <v>724</v>
      </c>
      <c r="E993" t="s">
        <v>95</v>
      </c>
      <c r="F993">
        <v>40</v>
      </c>
      <c r="G993" t="s">
        <v>126</v>
      </c>
      <c r="H993" t="s">
        <v>126</v>
      </c>
      <c r="I993" t="s">
        <v>95</v>
      </c>
      <c r="J993" t="s">
        <v>126</v>
      </c>
      <c r="K993" t="s">
        <v>126</v>
      </c>
      <c r="L993" t="s">
        <v>126</v>
      </c>
      <c r="M993" t="s">
        <v>1645</v>
      </c>
      <c r="N993" t="b">
        <v>0</v>
      </c>
    </row>
    <row r="994" spans="1:14">
      <c r="A994">
        <v>62</v>
      </c>
      <c r="B994">
        <v>3</v>
      </c>
      <c r="C994" t="s">
        <v>305</v>
      </c>
      <c r="D994" t="s">
        <v>724</v>
      </c>
      <c r="E994" t="s">
        <v>97</v>
      </c>
      <c r="F994">
        <v>50</v>
      </c>
      <c r="G994" t="s">
        <v>126</v>
      </c>
      <c r="H994" t="s">
        <v>126</v>
      </c>
      <c r="I994" t="s">
        <v>97</v>
      </c>
      <c r="J994" t="s">
        <v>126</v>
      </c>
      <c r="K994" t="s">
        <v>126</v>
      </c>
      <c r="L994" t="s">
        <v>126</v>
      </c>
      <c r="M994" t="s">
        <v>1646</v>
      </c>
      <c r="N994" t="b">
        <v>0</v>
      </c>
    </row>
    <row r="995" spans="1:14">
      <c r="A995">
        <v>62</v>
      </c>
      <c r="B995">
        <v>4</v>
      </c>
      <c r="C995" t="s">
        <v>219</v>
      </c>
      <c r="D995" t="s">
        <v>724</v>
      </c>
      <c r="E995" t="s">
        <v>101</v>
      </c>
      <c r="F995">
        <v>60</v>
      </c>
      <c r="G995" t="s">
        <v>126</v>
      </c>
      <c r="H995" t="s">
        <v>126</v>
      </c>
      <c r="I995" t="s">
        <v>101</v>
      </c>
      <c r="J995" t="s">
        <v>126</v>
      </c>
      <c r="K995" t="s">
        <v>126</v>
      </c>
      <c r="L995" t="s">
        <v>126</v>
      </c>
      <c r="M995" t="s">
        <v>1647</v>
      </c>
      <c r="N995" t="b">
        <v>0</v>
      </c>
    </row>
    <row r="996" spans="1:14">
      <c r="A996">
        <v>62</v>
      </c>
      <c r="B996">
        <v>5</v>
      </c>
      <c r="C996" t="s">
        <v>198</v>
      </c>
      <c r="D996" t="s">
        <v>724</v>
      </c>
      <c r="E996" t="s">
        <v>113</v>
      </c>
      <c r="F996">
        <v>50</v>
      </c>
      <c r="G996" t="s">
        <v>126</v>
      </c>
      <c r="H996" t="s">
        <v>126</v>
      </c>
      <c r="I996" t="s">
        <v>113</v>
      </c>
      <c r="J996" t="s">
        <v>126</v>
      </c>
      <c r="K996" t="s">
        <v>126</v>
      </c>
      <c r="L996" t="s">
        <v>126</v>
      </c>
      <c r="M996" t="s">
        <v>1648</v>
      </c>
      <c r="N996" t="b">
        <v>0</v>
      </c>
    </row>
    <row r="997" spans="1:14">
      <c r="A997">
        <v>62</v>
      </c>
      <c r="B997">
        <v>6</v>
      </c>
      <c r="C997" t="s">
        <v>220</v>
      </c>
      <c r="D997" t="s">
        <v>724</v>
      </c>
      <c r="E997" t="s">
        <v>68</v>
      </c>
      <c r="F997">
        <v>50</v>
      </c>
      <c r="G997" t="s">
        <v>126</v>
      </c>
      <c r="H997" t="s">
        <v>126</v>
      </c>
      <c r="I997" t="s">
        <v>68</v>
      </c>
      <c r="J997" t="s">
        <v>126</v>
      </c>
      <c r="K997" t="s">
        <v>126</v>
      </c>
      <c r="L997" t="s">
        <v>126</v>
      </c>
      <c r="M997" t="s">
        <v>1649</v>
      </c>
      <c r="N997" t="b">
        <v>0</v>
      </c>
    </row>
    <row r="998" spans="1:14">
      <c r="A998">
        <v>62</v>
      </c>
      <c r="B998">
        <v>7</v>
      </c>
      <c r="C998" t="s">
        <v>221</v>
      </c>
      <c r="D998" t="s">
        <v>724</v>
      </c>
      <c r="E998" t="s">
        <v>331</v>
      </c>
      <c r="F998">
        <v>60</v>
      </c>
      <c r="G998" t="s">
        <v>126</v>
      </c>
      <c r="H998" t="s">
        <v>548</v>
      </c>
      <c r="I998" t="s">
        <v>445</v>
      </c>
      <c r="J998" t="s">
        <v>126</v>
      </c>
      <c r="K998" t="s">
        <v>921</v>
      </c>
      <c r="L998" t="s">
        <v>922</v>
      </c>
      <c r="M998" t="s">
        <v>1650</v>
      </c>
      <c r="N998" t="b">
        <v>0</v>
      </c>
    </row>
    <row r="999" spans="1:14">
      <c r="A999">
        <v>62</v>
      </c>
      <c r="B999">
        <v>8</v>
      </c>
      <c r="C999" t="s">
        <v>355</v>
      </c>
      <c r="D999" t="s">
        <v>724</v>
      </c>
      <c r="E999" t="s">
        <v>74</v>
      </c>
      <c r="F999">
        <v>60</v>
      </c>
      <c r="G999" t="s">
        <v>126</v>
      </c>
      <c r="H999" t="s">
        <v>126</v>
      </c>
      <c r="I999" t="s">
        <v>74</v>
      </c>
      <c r="J999" t="s">
        <v>126</v>
      </c>
      <c r="K999" t="s">
        <v>126</v>
      </c>
      <c r="L999" t="s">
        <v>126</v>
      </c>
      <c r="M999" t="s">
        <v>1651</v>
      </c>
      <c r="N999" t="b">
        <v>0</v>
      </c>
    </row>
    <row r="1000" spans="1:14">
      <c r="A1000">
        <v>62</v>
      </c>
      <c r="B1000">
        <v>9</v>
      </c>
      <c r="C1000" t="s">
        <v>391</v>
      </c>
      <c r="D1000" t="s">
        <v>724</v>
      </c>
      <c r="E1000" t="s">
        <v>102</v>
      </c>
      <c r="F1000">
        <v>60</v>
      </c>
      <c r="G1000" t="s">
        <v>126</v>
      </c>
      <c r="H1000" t="s">
        <v>126</v>
      </c>
      <c r="I1000" t="s">
        <v>102</v>
      </c>
      <c r="J1000" t="s">
        <v>126</v>
      </c>
      <c r="K1000" t="s">
        <v>126</v>
      </c>
      <c r="L1000" t="s">
        <v>126</v>
      </c>
      <c r="M1000" t="s">
        <v>1652</v>
      </c>
      <c r="N1000" t="b">
        <v>0</v>
      </c>
    </row>
    <row r="1001" spans="1:14">
      <c r="A1001">
        <v>62</v>
      </c>
      <c r="B1001">
        <v>10</v>
      </c>
      <c r="C1001" t="s">
        <v>389</v>
      </c>
      <c r="D1001" t="s">
        <v>724</v>
      </c>
      <c r="E1001" t="s">
        <v>106</v>
      </c>
      <c r="F1001">
        <v>60</v>
      </c>
      <c r="G1001" t="s">
        <v>126</v>
      </c>
      <c r="H1001" t="s">
        <v>126</v>
      </c>
      <c r="I1001" t="s">
        <v>106</v>
      </c>
      <c r="J1001" t="s">
        <v>126</v>
      </c>
      <c r="K1001" t="s">
        <v>126</v>
      </c>
      <c r="L1001" t="s">
        <v>126</v>
      </c>
      <c r="M1001" t="s">
        <v>1653</v>
      </c>
      <c r="N1001" t="b">
        <v>0</v>
      </c>
    </row>
    <row r="1002" spans="1:14">
      <c r="A1002">
        <v>62</v>
      </c>
      <c r="B1002">
        <v>11</v>
      </c>
      <c r="C1002" t="s">
        <v>223</v>
      </c>
      <c r="D1002" t="s">
        <v>724</v>
      </c>
      <c r="E1002" t="s">
        <v>107</v>
      </c>
      <c r="F1002">
        <v>50</v>
      </c>
      <c r="G1002" t="s">
        <v>126</v>
      </c>
      <c r="H1002" t="s">
        <v>126</v>
      </c>
      <c r="I1002" t="s">
        <v>107</v>
      </c>
      <c r="J1002" t="s">
        <v>126</v>
      </c>
      <c r="K1002" t="s">
        <v>126</v>
      </c>
      <c r="L1002" t="s">
        <v>126</v>
      </c>
      <c r="M1002" t="s">
        <v>1654</v>
      </c>
      <c r="N1002" t="b">
        <v>0</v>
      </c>
    </row>
    <row r="1003" spans="1:14">
      <c r="A1003">
        <v>62</v>
      </c>
      <c r="B1003">
        <v>12</v>
      </c>
      <c r="C1003" t="s">
        <v>195</v>
      </c>
      <c r="D1003" t="s">
        <v>724</v>
      </c>
      <c r="E1003" t="s">
        <v>108</v>
      </c>
      <c r="F1003">
        <v>60</v>
      </c>
      <c r="G1003" t="s">
        <v>126</v>
      </c>
      <c r="H1003" t="s">
        <v>126</v>
      </c>
      <c r="I1003" t="s">
        <v>108</v>
      </c>
      <c r="J1003" t="s">
        <v>126</v>
      </c>
      <c r="K1003" t="s">
        <v>126</v>
      </c>
      <c r="L1003" t="s">
        <v>126</v>
      </c>
      <c r="M1003" t="s">
        <v>757</v>
      </c>
      <c r="N1003" t="b">
        <v>0</v>
      </c>
    </row>
    <row r="1004" spans="1:14">
      <c r="A1004">
        <v>62</v>
      </c>
      <c r="B1004">
        <v>13</v>
      </c>
      <c r="C1004" t="s">
        <v>126</v>
      </c>
      <c r="D1004" t="s">
        <v>724</v>
      </c>
      <c r="E1004" t="s">
        <v>126</v>
      </c>
      <c r="F1004">
        <v>0</v>
      </c>
      <c r="G1004" t="s">
        <v>126</v>
      </c>
      <c r="H1004" t="s">
        <v>126</v>
      </c>
      <c r="I1004" t="s">
        <v>126</v>
      </c>
      <c r="J1004" t="s">
        <v>126</v>
      </c>
      <c r="K1004" t="s">
        <v>126</v>
      </c>
      <c r="L1004" t="s">
        <v>126</v>
      </c>
      <c r="M1004" t="s">
        <v>1655</v>
      </c>
      <c r="N1004" t="b">
        <v>0</v>
      </c>
    </row>
    <row r="1005" spans="1:14">
      <c r="A1005">
        <v>62</v>
      </c>
      <c r="B1005">
        <v>14</v>
      </c>
      <c r="C1005" t="s">
        <v>126</v>
      </c>
      <c r="D1005" t="s">
        <v>724</v>
      </c>
      <c r="E1005" t="s">
        <v>126</v>
      </c>
      <c r="F1005">
        <v>0</v>
      </c>
      <c r="G1005" t="s">
        <v>126</v>
      </c>
      <c r="H1005" t="s">
        <v>126</v>
      </c>
      <c r="I1005" t="s">
        <v>126</v>
      </c>
      <c r="J1005" t="s">
        <v>126</v>
      </c>
      <c r="K1005" t="s">
        <v>126</v>
      </c>
      <c r="L1005" t="s">
        <v>126</v>
      </c>
      <c r="M1005" t="s">
        <v>1656</v>
      </c>
      <c r="N1005" t="b">
        <v>0</v>
      </c>
    </row>
    <row r="1006" spans="1:14">
      <c r="A1006">
        <v>62</v>
      </c>
      <c r="B1006">
        <v>15</v>
      </c>
      <c r="C1006" t="s">
        <v>126</v>
      </c>
      <c r="D1006" t="s">
        <v>724</v>
      </c>
      <c r="E1006" t="s">
        <v>126</v>
      </c>
      <c r="F1006">
        <v>0</v>
      </c>
      <c r="G1006" t="s">
        <v>126</v>
      </c>
      <c r="H1006" t="s">
        <v>126</v>
      </c>
      <c r="I1006" t="s">
        <v>126</v>
      </c>
      <c r="J1006" t="s">
        <v>126</v>
      </c>
      <c r="K1006" t="s">
        <v>126</v>
      </c>
      <c r="L1006" t="s">
        <v>126</v>
      </c>
      <c r="M1006" t="s">
        <v>1657</v>
      </c>
      <c r="N1006" t="b">
        <v>0</v>
      </c>
    </row>
    <row r="1007" spans="1:14">
      <c r="A1007">
        <v>62</v>
      </c>
      <c r="B1007">
        <v>16</v>
      </c>
      <c r="C1007" t="s">
        <v>126</v>
      </c>
      <c r="D1007" t="s">
        <v>741</v>
      </c>
      <c r="E1007" t="s">
        <v>126</v>
      </c>
      <c r="F1007">
        <v>0</v>
      </c>
      <c r="G1007" t="s">
        <v>126</v>
      </c>
      <c r="H1007" t="s">
        <v>126</v>
      </c>
      <c r="I1007" t="s">
        <v>126</v>
      </c>
      <c r="J1007" t="s">
        <v>126</v>
      </c>
      <c r="K1007" t="s">
        <v>126</v>
      </c>
      <c r="L1007" t="s">
        <v>126</v>
      </c>
      <c r="M1007" t="s">
        <v>1658</v>
      </c>
      <c r="N1007" t="b">
        <v>0</v>
      </c>
    </row>
    <row r="1008" spans="1:14">
      <c r="A1008">
        <v>62</v>
      </c>
      <c r="B1008">
        <v>17</v>
      </c>
      <c r="C1008" t="s">
        <v>126</v>
      </c>
      <c r="D1008" t="s">
        <v>741</v>
      </c>
      <c r="E1008" t="s">
        <v>126</v>
      </c>
      <c r="F1008">
        <v>0</v>
      </c>
      <c r="G1008" t="s">
        <v>126</v>
      </c>
      <c r="H1008" t="s">
        <v>126</v>
      </c>
      <c r="I1008" t="s">
        <v>126</v>
      </c>
      <c r="J1008" t="s">
        <v>126</v>
      </c>
      <c r="K1008" t="s">
        <v>126</v>
      </c>
      <c r="L1008" t="s">
        <v>126</v>
      </c>
      <c r="M1008" t="s">
        <v>1659</v>
      </c>
      <c r="N1008" t="b">
        <v>0</v>
      </c>
    </row>
    <row r="1009" spans="1:14">
      <c r="A1009">
        <v>62</v>
      </c>
      <c r="B1009">
        <v>18</v>
      </c>
      <c r="C1009" t="s">
        <v>126</v>
      </c>
      <c r="D1009" t="s">
        <v>741</v>
      </c>
      <c r="E1009" t="s">
        <v>126</v>
      </c>
      <c r="F1009">
        <v>0</v>
      </c>
      <c r="G1009" t="s">
        <v>126</v>
      </c>
      <c r="H1009" t="s">
        <v>126</v>
      </c>
      <c r="I1009" t="s">
        <v>126</v>
      </c>
      <c r="J1009" t="s">
        <v>126</v>
      </c>
      <c r="K1009" t="s">
        <v>126</v>
      </c>
      <c r="L1009" t="s">
        <v>126</v>
      </c>
      <c r="M1009" t="s">
        <v>1660</v>
      </c>
      <c r="N1009" t="b">
        <v>0</v>
      </c>
    </row>
    <row r="1010" spans="1:14">
      <c r="A1010">
        <v>62</v>
      </c>
      <c r="B1010">
        <v>19</v>
      </c>
      <c r="C1010" t="s">
        <v>126</v>
      </c>
      <c r="D1010" t="s">
        <v>741</v>
      </c>
      <c r="E1010" t="s">
        <v>126</v>
      </c>
      <c r="F1010">
        <v>0</v>
      </c>
      <c r="G1010" t="s">
        <v>126</v>
      </c>
      <c r="H1010" t="s">
        <v>126</v>
      </c>
      <c r="I1010" t="s">
        <v>126</v>
      </c>
      <c r="J1010" t="s">
        <v>126</v>
      </c>
      <c r="K1010" t="s">
        <v>126</v>
      </c>
      <c r="L1010" t="s">
        <v>126</v>
      </c>
      <c r="M1010" t="s">
        <v>1661</v>
      </c>
      <c r="N1010" t="b">
        <v>0</v>
      </c>
    </row>
    <row r="1011" spans="1:14">
      <c r="A1011">
        <v>62</v>
      </c>
      <c r="B1011">
        <v>20</v>
      </c>
      <c r="C1011" t="s">
        <v>126</v>
      </c>
      <c r="D1011" t="s">
        <v>741</v>
      </c>
      <c r="E1011" t="s">
        <v>126</v>
      </c>
      <c r="F1011">
        <v>0</v>
      </c>
      <c r="G1011" t="s">
        <v>126</v>
      </c>
      <c r="H1011" t="s">
        <v>126</v>
      </c>
      <c r="I1011" t="s">
        <v>126</v>
      </c>
      <c r="J1011" t="s">
        <v>126</v>
      </c>
      <c r="K1011" t="s">
        <v>126</v>
      </c>
      <c r="L1011" t="s">
        <v>126</v>
      </c>
      <c r="M1011" t="s">
        <v>1662</v>
      </c>
      <c r="N1011" t="b">
        <v>0</v>
      </c>
    </row>
    <row r="1012" spans="1:14">
      <c r="A1012">
        <v>62</v>
      </c>
      <c r="B1012">
        <v>21</v>
      </c>
      <c r="C1012" t="s">
        <v>126</v>
      </c>
      <c r="D1012" t="s">
        <v>741</v>
      </c>
      <c r="E1012" t="s">
        <v>126</v>
      </c>
      <c r="F1012">
        <v>0</v>
      </c>
      <c r="G1012" t="s">
        <v>126</v>
      </c>
      <c r="H1012" t="s">
        <v>126</v>
      </c>
      <c r="I1012" t="s">
        <v>126</v>
      </c>
      <c r="J1012" t="s">
        <v>126</v>
      </c>
      <c r="K1012" t="s">
        <v>126</v>
      </c>
      <c r="L1012" t="s">
        <v>126</v>
      </c>
      <c r="M1012" t="s">
        <v>1663</v>
      </c>
      <c r="N1012" t="b">
        <v>0</v>
      </c>
    </row>
    <row r="1013" spans="1:14">
      <c r="A1013">
        <v>62</v>
      </c>
      <c r="B1013">
        <v>22</v>
      </c>
      <c r="C1013" t="s">
        <v>126</v>
      </c>
      <c r="D1013" t="s">
        <v>741</v>
      </c>
      <c r="E1013" t="s">
        <v>126</v>
      </c>
      <c r="F1013">
        <v>0</v>
      </c>
      <c r="G1013" t="s">
        <v>126</v>
      </c>
      <c r="H1013" t="s">
        <v>126</v>
      </c>
      <c r="I1013" t="s">
        <v>126</v>
      </c>
      <c r="J1013" t="s">
        <v>126</v>
      </c>
      <c r="K1013" t="s">
        <v>126</v>
      </c>
      <c r="L1013" t="s">
        <v>126</v>
      </c>
      <c r="M1013" t="s">
        <v>1664</v>
      </c>
      <c r="N1013" t="b">
        <v>0</v>
      </c>
    </row>
    <row r="1014" spans="1:14">
      <c r="A1014">
        <v>62</v>
      </c>
      <c r="B1014">
        <v>23</v>
      </c>
      <c r="C1014" t="s">
        <v>126</v>
      </c>
      <c r="D1014" t="s">
        <v>741</v>
      </c>
      <c r="E1014" t="s">
        <v>126</v>
      </c>
      <c r="F1014">
        <v>0</v>
      </c>
      <c r="G1014" t="s">
        <v>126</v>
      </c>
      <c r="H1014" t="s">
        <v>126</v>
      </c>
      <c r="I1014" t="s">
        <v>126</v>
      </c>
      <c r="J1014" t="s">
        <v>126</v>
      </c>
      <c r="K1014" t="s">
        <v>126</v>
      </c>
      <c r="L1014" t="s">
        <v>126</v>
      </c>
      <c r="M1014" t="s">
        <v>1665</v>
      </c>
      <c r="N1014" t="b">
        <v>0</v>
      </c>
    </row>
    <row r="1015" spans="1:14">
      <c r="A1015">
        <v>62</v>
      </c>
      <c r="B1015">
        <v>24</v>
      </c>
      <c r="C1015" t="s">
        <v>126</v>
      </c>
      <c r="D1015" t="s">
        <v>741</v>
      </c>
      <c r="E1015" t="s">
        <v>126</v>
      </c>
      <c r="F1015">
        <v>0</v>
      </c>
      <c r="G1015" t="s">
        <v>126</v>
      </c>
      <c r="H1015" t="s">
        <v>126</v>
      </c>
      <c r="I1015" t="s">
        <v>126</v>
      </c>
      <c r="J1015" t="s">
        <v>126</v>
      </c>
      <c r="K1015" t="s">
        <v>126</v>
      </c>
      <c r="L1015" t="s">
        <v>126</v>
      </c>
      <c r="M1015" t="s">
        <v>1666</v>
      </c>
      <c r="N1015" t="b">
        <v>0</v>
      </c>
    </row>
    <row r="1016" spans="1:14">
      <c r="A1016">
        <v>62</v>
      </c>
      <c r="B1016">
        <v>25</v>
      </c>
      <c r="C1016" t="s">
        <v>126</v>
      </c>
      <c r="D1016" t="s">
        <v>741</v>
      </c>
      <c r="E1016" t="s">
        <v>126</v>
      </c>
      <c r="F1016">
        <v>0</v>
      </c>
      <c r="G1016" t="s">
        <v>126</v>
      </c>
      <c r="H1016" t="s">
        <v>126</v>
      </c>
      <c r="I1016" t="s">
        <v>126</v>
      </c>
      <c r="J1016" t="s">
        <v>126</v>
      </c>
      <c r="K1016" t="s">
        <v>126</v>
      </c>
      <c r="L1016" t="s">
        <v>126</v>
      </c>
      <c r="M1016" t="s">
        <v>1667</v>
      </c>
      <c r="N1016" t="b">
        <v>0</v>
      </c>
    </row>
    <row r="1017" spans="1:14">
      <c r="A1017">
        <v>62</v>
      </c>
      <c r="B1017">
        <v>26</v>
      </c>
      <c r="C1017" t="s">
        <v>126</v>
      </c>
      <c r="D1017" t="s">
        <v>741</v>
      </c>
      <c r="E1017" t="s">
        <v>126</v>
      </c>
      <c r="F1017">
        <v>0</v>
      </c>
      <c r="G1017" t="s">
        <v>126</v>
      </c>
      <c r="H1017" t="s">
        <v>126</v>
      </c>
      <c r="I1017" t="s">
        <v>126</v>
      </c>
      <c r="J1017" t="s">
        <v>126</v>
      </c>
      <c r="K1017" t="s">
        <v>126</v>
      </c>
      <c r="L1017" t="s">
        <v>126</v>
      </c>
      <c r="M1017" t="s">
        <v>1668</v>
      </c>
      <c r="N1017" t="b">
        <v>0</v>
      </c>
    </row>
    <row r="1018" spans="1:14">
      <c r="A1018">
        <v>63</v>
      </c>
      <c r="B1018">
        <v>0</v>
      </c>
      <c r="C1018" t="s">
        <v>393</v>
      </c>
      <c r="D1018" t="s">
        <v>753</v>
      </c>
      <c r="E1018" t="s">
        <v>543</v>
      </c>
      <c r="F1018">
        <v>50</v>
      </c>
      <c r="G1018" t="s">
        <v>1669</v>
      </c>
      <c r="H1018" t="s">
        <v>126</v>
      </c>
      <c r="I1018" t="s">
        <v>126</v>
      </c>
      <c r="J1018" t="s">
        <v>1670</v>
      </c>
      <c r="K1018" t="s">
        <v>1103</v>
      </c>
      <c r="L1018" t="s">
        <v>1056</v>
      </c>
      <c r="M1018" t="s">
        <v>1671</v>
      </c>
      <c r="N1018" t="b">
        <v>0</v>
      </c>
    </row>
    <row r="1019" spans="1:14">
      <c r="A1019">
        <v>63</v>
      </c>
      <c r="B1019">
        <v>1</v>
      </c>
      <c r="C1019" t="s">
        <v>217</v>
      </c>
      <c r="D1019" t="s">
        <v>724</v>
      </c>
      <c r="E1019" t="s">
        <v>77</v>
      </c>
      <c r="F1019">
        <v>60</v>
      </c>
      <c r="G1019" t="s">
        <v>126</v>
      </c>
      <c r="H1019" t="s">
        <v>126</v>
      </c>
      <c r="I1019" t="s">
        <v>77</v>
      </c>
      <c r="J1019" t="s">
        <v>126</v>
      </c>
      <c r="K1019" t="s">
        <v>126</v>
      </c>
      <c r="L1019" t="s">
        <v>126</v>
      </c>
      <c r="M1019" t="s">
        <v>1672</v>
      </c>
      <c r="N1019" t="b">
        <v>0</v>
      </c>
    </row>
    <row r="1020" spans="1:14">
      <c r="A1020">
        <v>63</v>
      </c>
      <c r="B1020">
        <v>2</v>
      </c>
      <c r="C1020" t="s">
        <v>179</v>
      </c>
      <c r="D1020" t="s">
        <v>724</v>
      </c>
      <c r="E1020" t="s">
        <v>83</v>
      </c>
      <c r="F1020">
        <v>50</v>
      </c>
      <c r="G1020" t="s">
        <v>126</v>
      </c>
      <c r="H1020" t="s">
        <v>126</v>
      </c>
      <c r="I1020" t="s">
        <v>83</v>
      </c>
      <c r="J1020" t="s">
        <v>126</v>
      </c>
      <c r="K1020" t="s">
        <v>126</v>
      </c>
      <c r="L1020" t="s">
        <v>126</v>
      </c>
      <c r="M1020" t="s">
        <v>1673</v>
      </c>
      <c r="N1020" t="b">
        <v>0</v>
      </c>
    </row>
    <row r="1021" spans="1:14">
      <c r="A1021">
        <v>63</v>
      </c>
      <c r="B1021">
        <v>3</v>
      </c>
      <c r="C1021" t="s">
        <v>394</v>
      </c>
      <c r="D1021" t="s">
        <v>724</v>
      </c>
      <c r="E1021" t="s">
        <v>87</v>
      </c>
      <c r="F1021">
        <v>30</v>
      </c>
      <c r="G1021" t="s">
        <v>126</v>
      </c>
      <c r="H1021" t="s">
        <v>126</v>
      </c>
      <c r="I1021" t="s">
        <v>87</v>
      </c>
      <c r="J1021" t="s">
        <v>126</v>
      </c>
      <c r="K1021" t="s">
        <v>126</v>
      </c>
      <c r="L1021" t="s">
        <v>126</v>
      </c>
      <c r="M1021" t="s">
        <v>1674</v>
      </c>
      <c r="N1021" t="b">
        <v>0</v>
      </c>
    </row>
    <row r="1022" spans="1:14">
      <c r="A1022">
        <v>63</v>
      </c>
      <c r="B1022">
        <v>4</v>
      </c>
      <c r="C1022" t="s">
        <v>395</v>
      </c>
      <c r="D1022" t="s">
        <v>724</v>
      </c>
      <c r="E1022" t="s">
        <v>544</v>
      </c>
      <c r="F1022">
        <v>30</v>
      </c>
      <c r="G1022" t="s">
        <v>126</v>
      </c>
      <c r="H1022" t="s">
        <v>1675</v>
      </c>
      <c r="I1022" t="s">
        <v>370</v>
      </c>
      <c r="J1022" t="s">
        <v>126</v>
      </c>
      <c r="K1022" t="s">
        <v>792</v>
      </c>
      <c r="L1022" t="s">
        <v>793</v>
      </c>
      <c r="M1022" t="s">
        <v>1676</v>
      </c>
      <c r="N1022" t="b">
        <v>0</v>
      </c>
    </row>
    <row r="1023" spans="1:14">
      <c r="A1023">
        <v>63</v>
      </c>
      <c r="B1023">
        <v>5</v>
      </c>
      <c r="C1023" t="s">
        <v>229</v>
      </c>
      <c r="D1023" t="s">
        <v>724</v>
      </c>
      <c r="E1023" t="s">
        <v>101</v>
      </c>
      <c r="F1023">
        <v>40</v>
      </c>
      <c r="G1023" t="s">
        <v>126</v>
      </c>
      <c r="H1023" t="s">
        <v>126</v>
      </c>
      <c r="I1023" t="s">
        <v>101</v>
      </c>
      <c r="J1023" t="s">
        <v>126</v>
      </c>
      <c r="K1023" t="s">
        <v>126</v>
      </c>
      <c r="L1023" t="s">
        <v>126</v>
      </c>
      <c r="M1023" t="s">
        <v>1677</v>
      </c>
      <c r="N1023" t="b">
        <v>0</v>
      </c>
    </row>
    <row r="1024" spans="1:14">
      <c r="A1024">
        <v>63</v>
      </c>
      <c r="B1024">
        <v>6</v>
      </c>
      <c r="C1024" t="s">
        <v>246</v>
      </c>
      <c r="D1024" t="s">
        <v>724</v>
      </c>
      <c r="E1024" t="s">
        <v>114</v>
      </c>
      <c r="F1024">
        <v>40</v>
      </c>
      <c r="G1024" t="s">
        <v>126</v>
      </c>
      <c r="H1024" t="s">
        <v>126</v>
      </c>
      <c r="I1024" t="s">
        <v>114</v>
      </c>
      <c r="J1024" t="s">
        <v>126</v>
      </c>
      <c r="K1024" t="s">
        <v>126</v>
      </c>
      <c r="L1024" t="s">
        <v>126</v>
      </c>
      <c r="M1024" t="s">
        <v>1678</v>
      </c>
      <c r="N1024" t="b">
        <v>0</v>
      </c>
    </row>
    <row r="1025" spans="1:14">
      <c r="A1025">
        <v>63</v>
      </c>
      <c r="B1025">
        <v>7</v>
      </c>
      <c r="C1025" t="s">
        <v>166</v>
      </c>
      <c r="D1025" t="s">
        <v>724</v>
      </c>
      <c r="E1025" t="s">
        <v>115</v>
      </c>
      <c r="F1025">
        <v>50</v>
      </c>
      <c r="G1025" t="s">
        <v>126</v>
      </c>
      <c r="H1025" t="s">
        <v>126</v>
      </c>
      <c r="I1025" t="s">
        <v>115</v>
      </c>
      <c r="J1025" t="s">
        <v>126</v>
      </c>
      <c r="K1025" t="s">
        <v>126</v>
      </c>
      <c r="L1025" t="s">
        <v>126</v>
      </c>
      <c r="M1025" t="s">
        <v>1679</v>
      </c>
      <c r="N1025" t="b">
        <v>0</v>
      </c>
    </row>
    <row r="1026" spans="1:14">
      <c r="A1026">
        <v>63</v>
      </c>
      <c r="B1026">
        <v>8</v>
      </c>
      <c r="C1026" t="s">
        <v>231</v>
      </c>
      <c r="D1026" t="s">
        <v>724</v>
      </c>
      <c r="E1026" t="s">
        <v>68</v>
      </c>
      <c r="F1026">
        <v>40</v>
      </c>
      <c r="G1026" t="s">
        <v>126</v>
      </c>
      <c r="H1026" t="s">
        <v>126</v>
      </c>
      <c r="I1026" t="s">
        <v>68</v>
      </c>
      <c r="J1026" t="s">
        <v>126</v>
      </c>
      <c r="K1026" t="s">
        <v>126</v>
      </c>
      <c r="L1026" t="s">
        <v>126</v>
      </c>
      <c r="M1026" t="s">
        <v>1680</v>
      </c>
      <c r="N1026" t="b">
        <v>0</v>
      </c>
    </row>
    <row r="1027" spans="1:14">
      <c r="A1027">
        <v>63</v>
      </c>
      <c r="B1027">
        <v>9</v>
      </c>
      <c r="C1027" t="s">
        <v>193</v>
      </c>
      <c r="D1027" t="s">
        <v>724</v>
      </c>
      <c r="E1027" t="s">
        <v>78</v>
      </c>
      <c r="F1027">
        <v>50</v>
      </c>
      <c r="G1027" t="s">
        <v>126</v>
      </c>
      <c r="H1027" t="s">
        <v>126</v>
      </c>
      <c r="I1027" t="s">
        <v>78</v>
      </c>
      <c r="J1027" t="s">
        <v>126</v>
      </c>
      <c r="K1027" t="s">
        <v>126</v>
      </c>
      <c r="L1027" t="s">
        <v>126</v>
      </c>
      <c r="M1027" t="s">
        <v>1681</v>
      </c>
      <c r="N1027" t="b">
        <v>0</v>
      </c>
    </row>
    <row r="1028" spans="1:14">
      <c r="A1028">
        <v>63</v>
      </c>
      <c r="B1028">
        <v>10</v>
      </c>
      <c r="C1028" t="s">
        <v>396</v>
      </c>
      <c r="D1028" t="s">
        <v>724</v>
      </c>
      <c r="E1028" t="s">
        <v>106</v>
      </c>
      <c r="F1028">
        <v>40</v>
      </c>
      <c r="G1028" t="s">
        <v>126</v>
      </c>
      <c r="H1028" t="s">
        <v>126</v>
      </c>
      <c r="I1028" t="s">
        <v>106</v>
      </c>
      <c r="J1028" t="s">
        <v>126</v>
      </c>
      <c r="K1028" t="s">
        <v>126</v>
      </c>
      <c r="L1028" t="s">
        <v>126</v>
      </c>
      <c r="M1028" t="s">
        <v>1682</v>
      </c>
      <c r="N1028" t="b">
        <v>0</v>
      </c>
    </row>
    <row r="1029" spans="1:14">
      <c r="A1029">
        <v>63</v>
      </c>
      <c r="B1029">
        <v>11</v>
      </c>
      <c r="C1029" t="s">
        <v>232</v>
      </c>
      <c r="D1029" t="s">
        <v>724</v>
      </c>
      <c r="E1029" t="s">
        <v>108</v>
      </c>
      <c r="F1029">
        <v>50</v>
      </c>
      <c r="G1029" t="s">
        <v>126</v>
      </c>
      <c r="H1029" t="s">
        <v>126</v>
      </c>
      <c r="I1029" t="s">
        <v>108</v>
      </c>
      <c r="J1029" t="s">
        <v>126</v>
      </c>
      <c r="K1029" t="s">
        <v>126</v>
      </c>
      <c r="L1029" t="s">
        <v>126</v>
      </c>
      <c r="M1029" t="s">
        <v>1683</v>
      </c>
      <c r="N1029" t="b">
        <v>0</v>
      </c>
    </row>
    <row r="1030" spans="1:14">
      <c r="A1030">
        <v>63</v>
      </c>
      <c r="B1030">
        <v>12</v>
      </c>
      <c r="C1030" t="s">
        <v>126</v>
      </c>
      <c r="D1030" t="s">
        <v>724</v>
      </c>
      <c r="E1030" t="s">
        <v>126</v>
      </c>
      <c r="F1030">
        <v>0</v>
      </c>
      <c r="G1030" t="s">
        <v>126</v>
      </c>
      <c r="H1030" t="s">
        <v>126</v>
      </c>
      <c r="I1030" t="s">
        <v>126</v>
      </c>
      <c r="J1030" t="s">
        <v>126</v>
      </c>
      <c r="K1030" t="s">
        <v>126</v>
      </c>
      <c r="L1030" t="s">
        <v>126</v>
      </c>
      <c r="M1030" t="s">
        <v>1684</v>
      </c>
      <c r="N1030" t="b">
        <v>0</v>
      </c>
    </row>
    <row r="1031" spans="1:14">
      <c r="A1031">
        <v>63</v>
      </c>
      <c r="B1031">
        <v>13</v>
      </c>
      <c r="C1031" t="s">
        <v>126</v>
      </c>
      <c r="D1031" t="s">
        <v>724</v>
      </c>
      <c r="E1031" t="s">
        <v>126</v>
      </c>
      <c r="F1031">
        <v>0</v>
      </c>
      <c r="G1031" t="s">
        <v>126</v>
      </c>
      <c r="H1031" t="s">
        <v>126</v>
      </c>
      <c r="I1031" t="s">
        <v>126</v>
      </c>
      <c r="J1031" t="s">
        <v>126</v>
      </c>
      <c r="K1031" t="s">
        <v>126</v>
      </c>
      <c r="L1031" t="s">
        <v>126</v>
      </c>
      <c r="M1031" t="s">
        <v>1685</v>
      </c>
      <c r="N1031" t="b">
        <v>0</v>
      </c>
    </row>
    <row r="1032" spans="1:14">
      <c r="A1032">
        <v>63</v>
      </c>
      <c r="B1032">
        <v>14</v>
      </c>
      <c r="C1032" t="s">
        <v>126</v>
      </c>
      <c r="D1032" t="s">
        <v>724</v>
      </c>
      <c r="E1032" t="s">
        <v>126</v>
      </c>
      <c r="F1032">
        <v>0</v>
      </c>
      <c r="G1032" t="s">
        <v>126</v>
      </c>
      <c r="H1032" t="s">
        <v>126</v>
      </c>
      <c r="I1032" t="s">
        <v>126</v>
      </c>
      <c r="J1032" t="s">
        <v>126</v>
      </c>
      <c r="K1032" t="s">
        <v>126</v>
      </c>
      <c r="L1032" t="s">
        <v>126</v>
      </c>
      <c r="M1032" t="s">
        <v>1686</v>
      </c>
      <c r="N1032" t="b">
        <v>0</v>
      </c>
    </row>
    <row r="1033" spans="1:14">
      <c r="A1033">
        <v>63</v>
      </c>
      <c r="B1033">
        <v>15</v>
      </c>
      <c r="C1033" t="s">
        <v>126</v>
      </c>
      <c r="D1033" t="s">
        <v>724</v>
      </c>
      <c r="E1033" t="s">
        <v>126</v>
      </c>
      <c r="F1033">
        <v>0</v>
      </c>
      <c r="G1033" t="s">
        <v>126</v>
      </c>
      <c r="H1033" t="s">
        <v>126</v>
      </c>
      <c r="I1033" t="s">
        <v>126</v>
      </c>
      <c r="J1033" t="s">
        <v>126</v>
      </c>
      <c r="K1033" t="s">
        <v>126</v>
      </c>
      <c r="L1033" t="s">
        <v>126</v>
      </c>
      <c r="M1033" t="s">
        <v>1687</v>
      </c>
      <c r="N1033" t="b">
        <v>0</v>
      </c>
    </row>
    <row r="1034" spans="1:14">
      <c r="A1034">
        <v>63</v>
      </c>
      <c r="B1034">
        <v>16</v>
      </c>
      <c r="C1034" t="s">
        <v>397</v>
      </c>
      <c r="D1034" t="s">
        <v>741</v>
      </c>
      <c r="E1034" t="s">
        <v>543</v>
      </c>
      <c r="F1034">
        <v>50</v>
      </c>
      <c r="G1034" t="s">
        <v>760</v>
      </c>
      <c r="H1034" t="s">
        <v>126</v>
      </c>
      <c r="I1034" t="s">
        <v>126</v>
      </c>
      <c r="J1034" t="s">
        <v>1102</v>
      </c>
      <c r="K1034" t="s">
        <v>1121</v>
      </c>
      <c r="L1034" t="s">
        <v>1082</v>
      </c>
      <c r="M1034" t="s">
        <v>1688</v>
      </c>
      <c r="N1034" t="b">
        <v>0</v>
      </c>
    </row>
    <row r="1035" spans="1:14">
      <c r="A1035">
        <v>63</v>
      </c>
      <c r="B1035">
        <v>17</v>
      </c>
      <c r="C1035" t="s">
        <v>159</v>
      </c>
      <c r="D1035" t="s">
        <v>741</v>
      </c>
      <c r="E1035" t="s">
        <v>297</v>
      </c>
      <c r="F1035">
        <v>50</v>
      </c>
      <c r="G1035" t="s">
        <v>760</v>
      </c>
      <c r="H1035" t="s">
        <v>126</v>
      </c>
      <c r="I1035" t="s">
        <v>126</v>
      </c>
      <c r="J1035" t="s">
        <v>761</v>
      </c>
      <c r="K1035" t="s">
        <v>762</v>
      </c>
      <c r="L1035" t="s">
        <v>763</v>
      </c>
      <c r="M1035" t="s">
        <v>1689</v>
      </c>
      <c r="N1035" t="b">
        <v>0</v>
      </c>
    </row>
    <row r="1036" spans="1:14">
      <c r="A1036">
        <v>63</v>
      </c>
      <c r="B1036">
        <v>18</v>
      </c>
      <c r="C1036" t="s">
        <v>273</v>
      </c>
      <c r="D1036" t="s">
        <v>741</v>
      </c>
      <c r="E1036" t="s">
        <v>331</v>
      </c>
      <c r="F1036">
        <v>50</v>
      </c>
      <c r="G1036" t="s">
        <v>760</v>
      </c>
      <c r="H1036" t="s">
        <v>126</v>
      </c>
      <c r="I1036" t="s">
        <v>126</v>
      </c>
      <c r="J1036" t="s">
        <v>1128</v>
      </c>
      <c r="K1036" t="s">
        <v>921</v>
      </c>
      <c r="L1036" t="s">
        <v>922</v>
      </c>
      <c r="M1036" t="s">
        <v>1690</v>
      </c>
      <c r="N1036" t="b">
        <v>0</v>
      </c>
    </row>
    <row r="1037" spans="1:14">
      <c r="A1037">
        <v>63</v>
      </c>
      <c r="B1037">
        <v>19</v>
      </c>
      <c r="C1037" t="s">
        <v>126</v>
      </c>
      <c r="D1037" t="s">
        <v>741</v>
      </c>
      <c r="E1037" t="s">
        <v>126</v>
      </c>
      <c r="F1037">
        <v>0</v>
      </c>
      <c r="G1037" t="s">
        <v>126</v>
      </c>
      <c r="H1037" t="s">
        <v>126</v>
      </c>
      <c r="I1037" t="s">
        <v>126</v>
      </c>
      <c r="J1037" t="s">
        <v>126</v>
      </c>
      <c r="K1037" t="s">
        <v>126</v>
      </c>
      <c r="L1037" t="s">
        <v>126</v>
      </c>
      <c r="M1037" t="s">
        <v>1691</v>
      </c>
      <c r="N1037" t="b">
        <v>0</v>
      </c>
    </row>
    <row r="1038" spans="1:14">
      <c r="A1038">
        <v>63</v>
      </c>
      <c r="B1038">
        <v>20</v>
      </c>
      <c r="C1038" t="s">
        <v>126</v>
      </c>
      <c r="D1038" t="s">
        <v>741</v>
      </c>
      <c r="E1038" t="s">
        <v>126</v>
      </c>
      <c r="F1038">
        <v>0</v>
      </c>
      <c r="G1038" t="s">
        <v>126</v>
      </c>
      <c r="H1038" t="s">
        <v>126</v>
      </c>
      <c r="I1038" t="s">
        <v>126</v>
      </c>
      <c r="J1038" t="s">
        <v>126</v>
      </c>
      <c r="K1038" t="s">
        <v>126</v>
      </c>
      <c r="L1038" t="s">
        <v>126</v>
      </c>
      <c r="M1038" t="s">
        <v>1692</v>
      </c>
      <c r="N1038" t="b">
        <v>0</v>
      </c>
    </row>
    <row r="1039" spans="1:14">
      <c r="A1039">
        <v>63</v>
      </c>
      <c r="B1039">
        <v>21</v>
      </c>
      <c r="C1039" t="s">
        <v>126</v>
      </c>
      <c r="D1039" t="s">
        <v>741</v>
      </c>
      <c r="E1039" t="s">
        <v>126</v>
      </c>
      <c r="F1039">
        <v>0</v>
      </c>
      <c r="G1039" t="s">
        <v>126</v>
      </c>
      <c r="H1039" t="s">
        <v>126</v>
      </c>
      <c r="I1039" t="s">
        <v>126</v>
      </c>
      <c r="J1039" t="s">
        <v>126</v>
      </c>
      <c r="K1039" t="s">
        <v>126</v>
      </c>
      <c r="L1039" t="s">
        <v>126</v>
      </c>
      <c r="M1039" t="s">
        <v>1693</v>
      </c>
      <c r="N1039" t="b">
        <v>0</v>
      </c>
    </row>
    <row r="1040" spans="1:14">
      <c r="A1040">
        <v>63</v>
      </c>
      <c r="B1040">
        <v>22</v>
      </c>
      <c r="C1040" t="s">
        <v>126</v>
      </c>
      <c r="D1040" t="s">
        <v>741</v>
      </c>
      <c r="E1040" t="s">
        <v>126</v>
      </c>
      <c r="F1040">
        <v>0</v>
      </c>
      <c r="G1040" t="s">
        <v>126</v>
      </c>
      <c r="H1040" t="s">
        <v>126</v>
      </c>
      <c r="I1040" t="s">
        <v>126</v>
      </c>
      <c r="J1040" t="s">
        <v>126</v>
      </c>
      <c r="K1040" t="s">
        <v>126</v>
      </c>
      <c r="L1040" t="s">
        <v>126</v>
      </c>
      <c r="M1040" t="s">
        <v>1694</v>
      </c>
      <c r="N1040" t="b">
        <v>0</v>
      </c>
    </row>
    <row r="1041" spans="1:14">
      <c r="A1041">
        <v>63</v>
      </c>
      <c r="B1041">
        <v>23</v>
      </c>
      <c r="C1041" t="s">
        <v>126</v>
      </c>
      <c r="D1041" t="s">
        <v>741</v>
      </c>
      <c r="E1041" t="s">
        <v>126</v>
      </c>
      <c r="F1041">
        <v>0</v>
      </c>
      <c r="G1041" t="s">
        <v>126</v>
      </c>
      <c r="H1041" t="s">
        <v>126</v>
      </c>
      <c r="I1041" t="s">
        <v>126</v>
      </c>
      <c r="J1041" t="s">
        <v>126</v>
      </c>
      <c r="K1041" t="s">
        <v>126</v>
      </c>
      <c r="L1041" t="s">
        <v>126</v>
      </c>
      <c r="M1041" t="s">
        <v>1695</v>
      </c>
      <c r="N1041" t="b">
        <v>0</v>
      </c>
    </row>
    <row r="1042" spans="1:14">
      <c r="A1042">
        <v>63</v>
      </c>
      <c r="B1042">
        <v>24</v>
      </c>
      <c r="C1042" t="s">
        <v>126</v>
      </c>
      <c r="D1042" t="s">
        <v>741</v>
      </c>
      <c r="E1042" t="s">
        <v>126</v>
      </c>
      <c r="F1042">
        <v>0</v>
      </c>
      <c r="G1042" t="s">
        <v>126</v>
      </c>
      <c r="H1042" t="s">
        <v>126</v>
      </c>
      <c r="I1042" t="s">
        <v>126</v>
      </c>
      <c r="J1042" t="s">
        <v>126</v>
      </c>
      <c r="K1042" t="s">
        <v>126</v>
      </c>
      <c r="L1042" t="s">
        <v>126</v>
      </c>
      <c r="M1042" t="s">
        <v>1696</v>
      </c>
      <c r="N1042" t="b">
        <v>0</v>
      </c>
    </row>
    <row r="1043" spans="1:14">
      <c r="A1043">
        <v>63</v>
      </c>
      <c r="B1043">
        <v>25</v>
      </c>
      <c r="C1043" t="s">
        <v>126</v>
      </c>
      <c r="D1043" t="s">
        <v>741</v>
      </c>
      <c r="E1043" t="s">
        <v>126</v>
      </c>
      <c r="F1043">
        <v>0</v>
      </c>
      <c r="G1043" t="s">
        <v>126</v>
      </c>
      <c r="H1043" t="s">
        <v>126</v>
      </c>
      <c r="I1043" t="s">
        <v>126</v>
      </c>
      <c r="J1043" t="s">
        <v>126</v>
      </c>
      <c r="K1043" t="s">
        <v>126</v>
      </c>
      <c r="L1043" t="s">
        <v>126</v>
      </c>
      <c r="M1043" t="s">
        <v>1697</v>
      </c>
      <c r="N1043" t="b">
        <v>0</v>
      </c>
    </row>
    <row r="1044" spans="1:14">
      <c r="A1044">
        <v>63</v>
      </c>
      <c r="B1044">
        <v>26</v>
      </c>
      <c r="C1044" t="s">
        <v>126</v>
      </c>
      <c r="D1044" t="s">
        <v>741</v>
      </c>
      <c r="E1044" t="s">
        <v>126</v>
      </c>
      <c r="F1044">
        <v>0</v>
      </c>
      <c r="G1044" t="s">
        <v>126</v>
      </c>
      <c r="H1044" t="s">
        <v>126</v>
      </c>
      <c r="I1044" t="s">
        <v>126</v>
      </c>
      <c r="J1044" t="s">
        <v>126</v>
      </c>
      <c r="K1044" t="s">
        <v>126</v>
      </c>
      <c r="L1044" t="s">
        <v>126</v>
      </c>
      <c r="M1044" t="s">
        <v>1698</v>
      </c>
      <c r="N1044" t="b">
        <v>0</v>
      </c>
    </row>
    <row r="1045" spans="1:14">
      <c r="A1045">
        <v>64</v>
      </c>
      <c r="B1045">
        <v>0</v>
      </c>
      <c r="C1045" t="s">
        <v>216</v>
      </c>
      <c r="D1045" t="s">
        <v>724</v>
      </c>
      <c r="E1045" t="s">
        <v>65</v>
      </c>
      <c r="F1045">
        <v>60</v>
      </c>
      <c r="G1045" t="s">
        <v>126</v>
      </c>
      <c r="H1045" t="s">
        <v>126</v>
      </c>
      <c r="I1045" t="s">
        <v>65</v>
      </c>
      <c r="J1045" t="s">
        <v>126</v>
      </c>
      <c r="K1045" t="s">
        <v>126</v>
      </c>
      <c r="L1045" t="s">
        <v>126</v>
      </c>
      <c r="M1045" t="s">
        <v>1699</v>
      </c>
      <c r="N1045" t="b">
        <v>0</v>
      </c>
    </row>
    <row r="1046" spans="1:14">
      <c r="A1046">
        <v>64</v>
      </c>
      <c r="B1046">
        <v>1</v>
      </c>
      <c r="C1046" t="s">
        <v>217</v>
      </c>
      <c r="D1046" t="s">
        <v>724</v>
      </c>
      <c r="E1046" t="s">
        <v>77</v>
      </c>
      <c r="F1046">
        <v>60</v>
      </c>
      <c r="G1046" t="s">
        <v>126</v>
      </c>
      <c r="H1046" t="s">
        <v>126</v>
      </c>
      <c r="I1046" t="s">
        <v>77</v>
      </c>
      <c r="J1046" t="s">
        <v>126</v>
      </c>
      <c r="K1046" t="s">
        <v>126</v>
      </c>
      <c r="L1046" t="s">
        <v>126</v>
      </c>
      <c r="M1046" t="s">
        <v>1700</v>
      </c>
      <c r="N1046" t="b">
        <v>0</v>
      </c>
    </row>
    <row r="1047" spans="1:14">
      <c r="A1047">
        <v>64</v>
      </c>
      <c r="B1047">
        <v>2</v>
      </c>
      <c r="C1047" t="s">
        <v>268</v>
      </c>
      <c r="D1047" t="s">
        <v>724</v>
      </c>
      <c r="E1047" t="s">
        <v>83</v>
      </c>
      <c r="F1047">
        <v>30</v>
      </c>
      <c r="G1047" t="s">
        <v>126</v>
      </c>
      <c r="H1047" t="s">
        <v>126</v>
      </c>
      <c r="I1047" t="s">
        <v>83</v>
      </c>
      <c r="J1047" t="s">
        <v>126</v>
      </c>
      <c r="K1047" t="s">
        <v>126</v>
      </c>
      <c r="L1047" t="s">
        <v>126</v>
      </c>
      <c r="M1047" t="s">
        <v>1701</v>
      </c>
      <c r="N1047" t="b">
        <v>0</v>
      </c>
    </row>
    <row r="1048" spans="1:14">
      <c r="A1048">
        <v>64</v>
      </c>
      <c r="B1048">
        <v>3</v>
      </c>
      <c r="C1048" t="s">
        <v>218</v>
      </c>
      <c r="D1048" t="s">
        <v>724</v>
      </c>
      <c r="E1048" t="s">
        <v>95</v>
      </c>
      <c r="F1048">
        <v>40</v>
      </c>
      <c r="G1048" t="s">
        <v>126</v>
      </c>
      <c r="H1048" t="s">
        <v>126</v>
      </c>
      <c r="I1048" t="s">
        <v>95</v>
      </c>
      <c r="J1048" t="s">
        <v>126</v>
      </c>
      <c r="K1048" t="s">
        <v>126</v>
      </c>
      <c r="L1048" t="s">
        <v>126</v>
      </c>
      <c r="M1048" t="s">
        <v>1702</v>
      </c>
      <c r="N1048" t="b">
        <v>0</v>
      </c>
    </row>
    <row r="1049" spans="1:14">
      <c r="A1049">
        <v>64</v>
      </c>
      <c r="B1049">
        <v>4</v>
      </c>
      <c r="C1049" t="s">
        <v>305</v>
      </c>
      <c r="D1049" t="s">
        <v>724</v>
      </c>
      <c r="E1049" t="s">
        <v>97</v>
      </c>
      <c r="F1049">
        <v>50</v>
      </c>
      <c r="G1049" t="s">
        <v>126</v>
      </c>
      <c r="H1049" t="s">
        <v>126</v>
      </c>
      <c r="I1049" t="s">
        <v>97</v>
      </c>
      <c r="J1049" t="s">
        <v>126</v>
      </c>
      <c r="K1049" t="s">
        <v>126</v>
      </c>
      <c r="L1049" t="s">
        <v>126</v>
      </c>
      <c r="M1049" t="s">
        <v>1703</v>
      </c>
      <c r="N1049" t="b">
        <v>0</v>
      </c>
    </row>
    <row r="1050" spans="1:14">
      <c r="A1050">
        <v>64</v>
      </c>
      <c r="B1050">
        <v>5</v>
      </c>
      <c r="C1050" t="s">
        <v>251</v>
      </c>
      <c r="D1050" t="s">
        <v>724</v>
      </c>
      <c r="E1050" t="s">
        <v>99</v>
      </c>
      <c r="F1050">
        <v>40</v>
      </c>
      <c r="G1050" t="s">
        <v>126</v>
      </c>
      <c r="H1050" t="s">
        <v>126</v>
      </c>
      <c r="I1050" t="s">
        <v>99</v>
      </c>
      <c r="J1050" t="s">
        <v>126</v>
      </c>
      <c r="K1050" t="s">
        <v>126</v>
      </c>
      <c r="L1050" t="s">
        <v>126</v>
      </c>
      <c r="M1050" t="s">
        <v>1704</v>
      </c>
      <c r="N1050" t="b">
        <v>0</v>
      </c>
    </row>
    <row r="1051" spans="1:14">
      <c r="A1051">
        <v>64</v>
      </c>
      <c r="B1051">
        <v>6</v>
      </c>
      <c r="C1051" t="s">
        <v>219</v>
      </c>
      <c r="D1051" t="s">
        <v>724</v>
      </c>
      <c r="E1051" t="s">
        <v>101</v>
      </c>
      <c r="F1051">
        <v>60</v>
      </c>
      <c r="G1051" t="s">
        <v>126</v>
      </c>
      <c r="H1051" t="s">
        <v>126</v>
      </c>
      <c r="I1051" t="s">
        <v>101</v>
      </c>
      <c r="J1051" t="s">
        <v>126</v>
      </c>
      <c r="K1051" t="s">
        <v>126</v>
      </c>
      <c r="L1051" t="s">
        <v>126</v>
      </c>
      <c r="M1051" t="s">
        <v>1705</v>
      </c>
      <c r="N1051" t="b">
        <v>0</v>
      </c>
    </row>
    <row r="1052" spans="1:14">
      <c r="A1052">
        <v>64</v>
      </c>
      <c r="B1052">
        <v>7</v>
      </c>
      <c r="C1052" t="s">
        <v>275</v>
      </c>
      <c r="D1052" t="s">
        <v>724</v>
      </c>
      <c r="E1052" t="s">
        <v>103</v>
      </c>
      <c r="F1052">
        <v>30</v>
      </c>
      <c r="G1052" t="s">
        <v>126</v>
      </c>
      <c r="H1052" t="s">
        <v>126</v>
      </c>
      <c r="I1052" t="s">
        <v>103</v>
      </c>
      <c r="J1052" t="s">
        <v>126</v>
      </c>
      <c r="K1052" t="s">
        <v>126</v>
      </c>
      <c r="L1052" t="s">
        <v>126</v>
      </c>
      <c r="M1052" t="s">
        <v>1706</v>
      </c>
      <c r="N1052" t="b">
        <v>0</v>
      </c>
    </row>
    <row r="1053" spans="1:14">
      <c r="A1053">
        <v>64</v>
      </c>
      <c r="B1053">
        <v>8</v>
      </c>
      <c r="C1053" t="s">
        <v>160</v>
      </c>
      <c r="D1053" t="s">
        <v>753</v>
      </c>
      <c r="E1053" t="s">
        <v>297</v>
      </c>
      <c r="F1053">
        <v>40</v>
      </c>
      <c r="G1053" t="s">
        <v>760</v>
      </c>
      <c r="H1053" t="s">
        <v>126</v>
      </c>
      <c r="I1053" t="s">
        <v>126</v>
      </c>
      <c r="J1053" t="s">
        <v>761</v>
      </c>
      <c r="K1053" t="s">
        <v>762</v>
      </c>
      <c r="L1053" t="s">
        <v>763</v>
      </c>
      <c r="M1053" t="s">
        <v>1707</v>
      </c>
      <c r="N1053" t="b">
        <v>0</v>
      </c>
    </row>
    <row r="1054" spans="1:14">
      <c r="A1054">
        <v>64</v>
      </c>
      <c r="B1054">
        <v>9</v>
      </c>
      <c r="C1054" t="s">
        <v>181</v>
      </c>
      <c r="D1054" t="s">
        <v>724</v>
      </c>
      <c r="E1054" t="s">
        <v>112</v>
      </c>
      <c r="F1054">
        <v>50</v>
      </c>
      <c r="G1054" t="s">
        <v>126</v>
      </c>
      <c r="H1054" t="s">
        <v>126</v>
      </c>
      <c r="I1054" t="s">
        <v>112</v>
      </c>
      <c r="J1054" t="s">
        <v>126</v>
      </c>
      <c r="K1054" t="s">
        <v>126</v>
      </c>
      <c r="L1054" t="s">
        <v>126</v>
      </c>
      <c r="M1054" t="s">
        <v>1708</v>
      </c>
      <c r="N1054" t="b">
        <v>0</v>
      </c>
    </row>
    <row r="1055" spans="1:14">
      <c r="A1055">
        <v>64</v>
      </c>
      <c r="B1055">
        <v>10</v>
      </c>
      <c r="C1055" t="s">
        <v>198</v>
      </c>
      <c r="D1055" t="s">
        <v>724</v>
      </c>
      <c r="E1055" t="s">
        <v>113</v>
      </c>
      <c r="F1055">
        <v>50</v>
      </c>
      <c r="G1055" t="s">
        <v>126</v>
      </c>
      <c r="H1055" t="s">
        <v>126</v>
      </c>
      <c r="I1055" t="s">
        <v>113</v>
      </c>
      <c r="J1055" t="s">
        <v>126</v>
      </c>
      <c r="K1055" t="s">
        <v>126</v>
      </c>
      <c r="L1055" t="s">
        <v>126</v>
      </c>
      <c r="M1055" t="s">
        <v>1709</v>
      </c>
      <c r="N1055" t="b">
        <v>0</v>
      </c>
    </row>
    <row r="1056" spans="1:14">
      <c r="A1056">
        <v>64</v>
      </c>
      <c r="B1056">
        <v>11</v>
      </c>
      <c r="C1056" t="s">
        <v>288</v>
      </c>
      <c r="D1056" t="s">
        <v>724</v>
      </c>
      <c r="E1056" t="s">
        <v>331</v>
      </c>
      <c r="F1056">
        <v>40</v>
      </c>
      <c r="G1056" t="s">
        <v>126</v>
      </c>
      <c r="H1056" t="s">
        <v>548</v>
      </c>
      <c r="I1056" t="s">
        <v>445</v>
      </c>
      <c r="J1056" t="s">
        <v>126</v>
      </c>
      <c r="K1056" t="s">
        <v>921</v>
      </c>
      <c r="L1056" t="s">
        <v>922</v>
      </c>
      <c r="M1056" t="s">
        <v>1710</v>
      </c>
      <c r="N1056" t="b">
        <v>0</v>
      </c>
    </row>
    <row r="1057" spans="1:14">
      <c r="A1057">
        <v>64</v>
      </c>
      <c r="B1057">
        <v>12</v>
      </c>
      <c r="C1057" t="s">
        <v>276</v>
      </c>
      <c r="D1057" t="s">
        <v>724</v>
      </c>
      <c r="E1057" t="s">
        <v>74</v>
      </c>
      <c r="F1057">
        <v>40</v>
      </c>
      <c r="G1057" t="s">
        <v>126</v>
      </c>
      <c r="H1057" t="s">
        <v>126</v>
      </c>
      <c r="I1057" t="s">
        <v>74</v>
      </c>
      <c r="J1057" t="s">
        <v>126</v>
      </c>
      <c r="K1057" t="s">
        <v>126</v>
      </c>
      <c r="L1057" t="s">
        <v>126</v>
      </c>
      <c r="M1057" t="s">
        <v>1711</v>
      </c>
      <c r="N1057" t="b">
        <v>0</v>
      </c>
    </row>
    <row r="1058" spans="1:14">
      <c r="A1058">
        <v>64</v>
      </c>
      <c r="B1058">
        <v>13</v>
      </c>
      <c r="C1058" t="s">
        <v>289</v>
      </c>
      <c r="D1058" t="s">
        <v>724</v>
      </c>
      <c r="E1058" t="s">
        <v>78</v>
      </c>
      <c r="F1058">
        <v>30</v>
      </c>
      <c r="G1058" t="s">
        <v>126</v>
      </c>
      <c r="H1058" t="s">
        <v>126</v>
      </c>
      <c r="I1058" t="s">
        <v>78</v>
      </c>
      <c r="J1058" t="s">
        <v>126</v>
      </c>
      <c r="K1058" t="s">
        <v>126</v>
      </c>
      <c r="L1058" t="s">
        <v>126</v>
      </c>
      <c r="M1058" t="s">
        <v>1712</v>
      </c>
      <c r="N1058" t="b">
        <v>0</v>
      </c>
    </row>
    <row r="1059" spans="1:14">
      <c r="A1059">
        <v>64</v>
      </c>
      <c r="B1059">
        <v>14</v>
      </c>
      <c r="C1059" t="s">
        <v>292</v>
      </c>
      <c r="D1059" t="s">
        <v>724</v>
      </c>
      <c r="E1059" t="s">
        <v>107</v>
      </c>
      <c r="F1059">
        <v>60</v>
      </c>
      <c r="G1059" t="s">
        <v>126</v>
      </c>
      <c r="H1059" t="s">
        <v>126</v>
      </c>
      <c r="I1059" t="s">
        <v>107</v>
      </c>
      <c r="J1059" t="s">
        <v>126</v>
      </c>
      <c r="K1059" t="s">
        <v>126</v>
      </c>
      <c r="L1059" t="s">
        <v>126</v>
      </c>
      <c r="M1059" t="s">
        <v>1713</v>
      </c>
      <c r="N1059" t="b">
        <v>0</v>
      </c>
    </row>
    <row r="1060" spans="1:14">
      <c r="A1060">
        <v>64</v>
      </c>
      <c r="B1060">
        <v>15</v>
      </c>
      <c r="C1060" t="s">
        <v>232</v>
      </c>
      <c r="D1060" t="s">
        <v>724</v>
      </c>
      <c r="E1060" t="s">
        <v>108</v>
      </c>
      <c r="F1060">
        <v>50</v>
      </c>
      <c r="G1060" t="s">
        <v>126</v>
      </c>
      <c r="H1060" t="s">
        <v>126</v>
      </c>
      <c r="I1060" t="s">
        <v>108</v>
      </c>
      <c r="J1060" t="s">
        <v>126</v>
      </c>
      <c r="K1060" t="s">
        <v>126</v>
      </c>
      <c r="L1060" t="s">
        <v>126</v>
      </c>
      <c r="M1060" t="s">
        <v>1714</v>
      </c>
      <c r="N1060" t="b">
        <v>0</v>
      </c>
    </row>
    <row r="1061" spans="1:14">
      <c r="A1061">
        <v>64</v>
      </c>
      <c r="B1061">
        <v>16</v>
      </c>
      <c r="C1061" t="s">
        <v>126</v>
      </c>
      <c r="D1061" t="s">
        <v>741</v>
      </c>
      <c r="E1061" t="s">
        <v>126</v>
      </c>
      <c r="F1061">
        <v>0</v>
      </c>
      <c r="G1061" t="s">
        <v>126</v>
      </c>
      <c r="H1061" t="s">
        <v>126</v>
      </c>
      <c r="I1061" t="s">
        <v>126</v>
      </c>
      <c r="J1061" t="s">
        <v>126</v>
      </c>
      <c r="K1061" t="s">
        <v>126</v>
      </c>
      <c r="L1061" t="s">
        <v>126</v>
      </c>
      <c r="M1061" t="s">
        <v>1715</v>
      </c>
      <c r="N1061" t="b">
        <v>0</v>
      </c>
    </row>
    <row r="1062" spans="1:14">
      <c r="A1062">
        <v>64</v>
      </c>
      <c r="B1062">
        <v>17</v>
      </c>
      <c r="C1062" t="s">
        <v>126</v>
      </c>
      <c r="D1062" t="s">
        <v>741</v>
      </c>
      <c r="E1062" t="s">
        <v>126</v>
      </c>
      <c r="F1062">
        <v>0</v>
      </c>
      <c r="G1062" t="s">
        <v>126</v>
      </c>
      <c r="H1062" t="s">
        <v>126</v>
      </c>
      <c r="I1062" t="s">
        <v>126</v>
      </c>
      <c r="J1062" t="s">
        <v>126</v>
      </c>
      <c r="K1062" t="s">
        <v>126</v>
      </c>
      <c r="L1062" t="s">
        <v>126</v>
      </c>
      <c r="M1062" t="s">
        <v>1716</v>
      </c>
      <c r="N1062" t="b">
        <v>0</v>
      </c>
    </row>
    <row r="1063" spans="1:14">
      <c r="A1063">
        <v>64</v>
      </c>
      <c r="B1063">
        <v>18</v>
      </c>
      <c r="C1063" t="s">
        <v>126</v>
      </c>
      <c r="D1063" t="s">
        <v>741</v>
      </c>
      <c r="E1063" t="s">
        <v>126</v>
      </c>
      <c r="F1063">
        <v>0</v>
      </c>
      <c r="G1063" t="s">
        <v>126</v>
      </c>
      <c r="H1063" t="s">
        <v>126</v>
      </c>
      <c r="I1063" t="s">
        <v>126</v>
      </c>
      <c r="J1063" t="s">
        <v>126</v>
      </c>
      <c r="K1063" t="s">
        <v>126</v>
      </c>
      <c r="L1063" t="s">
        <v>126</v>
      </c>
      <c r="M1063" t="s">
        <v>1717</v>
      </c>
      <c r="N1063" t="b">
        <v>0</v>
      </c>
    </row>
    <row r="1064" spans="1:14">
      <c r="A1064">
        <v>64</v>
      </c>
      <c r="B1064">
        <v>19</v>
      </c>
      <c r="C1064" t="s">
        <v>126</v>
      </c>
      <c r="D1064" t="s">
        <v>741</v>
      </c>
      <c r="E1064" t="s">
        <v>126</v>
      </c>
      <c r="F1064">
        <v>0</v>
      </c>
      <c r="G1064" t="s">
        <v>126</v>
      </c>
      <c r="H1064" t="s">
        <v>126</v>
      </c>
      <c r="I1064" t="s">
        <v>126</v>
      </c>
      <c r="J1064" t="s">
        <v>126</v>
      </c>
      <c r="K1064" t="s">
        <v>126</v>
      </c>
      <c r="L1064" t="s">
        <v>126</v>
      </c>
      <c r="M1064" t="s">
        <v>1718</v>
      </c>
      <c r="N1064" t="b">
        <v>0</v>
      </c>
    </row>
    <row r="1065" spans="1:14">
      <c r="A1065">
        <v>64</v>
      </c>
      <c r="B1065">
        <v>20</v>
      </c>
      <c r="C1065" t="s">
        <v>126</v>
      </c>
      <c r="D1065" t="s">
        <v>741</v>
      </c>
      <c r="E1065" t="s">
        <v>126</v>
      </c>
      <c r="F1065">
        <v>0</v>
      </c>
      <c r="G1065" t="s">
        <v>126</v>
      </c>
      <c r="H1065" t="s">
        <v>126</v>
      </c>
      <c r="I1065" t="s">
        <v>126</v>
      </c>
      <c r="J1065" t="s">
        <v>126</v>
      </c>
      <c r="K1065" t="s">
        <v>126</v>
      </c>
      <c r="L1065" t="s">
        <v>126</v>
      </c>
      <c r="M1065" t="s">
        <v>1719</v>
      </c>
      <c r="N1065" t="b">
        <v>0</v>
      </c>
    </row>
    <row r="1066" spans="1:14">
      <c r="A1066">
        <v>64</v>
      </c>
      <c r="B1066">
        <v>21</v>
      </c>
      <c r="C1066" t="s">
        <v>126</v>
      </c>
      <c r="D1066" t="s">
        <v>741</v>
      </c>
      <c r="E1066" t="s">
        <v>126</v>
      </c>
      <c r="F1066">
        <v>0</v>
      </c>
      <c r="G1066" t="s">
        <v>126</v>
      </c>
      <c r="H1066" t="s">
        <v>126</v>
      </c>
      <c r="I1066" t="s">
        <v>126</v>
      </c>
      <c r="J1066" t="s">
        <v>126</v>
      </c>
      <c r="K1066" t="s">
        <v>126</v>
      </c>
      <c r="L1066" t="s">
        <v>126</v>
      </c>
      <c r="M1066" t="s">
        <v>1720</v>
      </c>
      <c r="N1066" t="b">
        <v>0</v>
      </c>
    </row>
    <row r="1067" spans="1:14">
      <c r="A1067">
        <v>64</v>
      </c>
      <c r="B1067">
        <v>22</v>
      </c>
      <c r="C1067" t="s">
        <v>126</v>
      </c>
      <c r="D1067" t="s">
        <v>741</v>
      </c>
      <c r="E1067" t="s">
        <v>126</v>
      </c>
      <c r="F1067">
        <v>0</v>
      </c>
      <c r="G1067" t="s">
        <v>126</v>
      </c>
      <c r="H1067" t="s">
        <v>126</v>
      </c>
      <c r="I1067" t="s">
        <v>126</v>
      </c>
      <c r="J1067" t="s">
        <v>126</v>
      </c>
      <c r="K1067" t="s">
        <v>126</v>
      </c>
      <c r="L1067" t="s">
        <v>126</v>
      </c>
      <c r="M1067" t="s">
        <v>1721</v>
      </c>
      <c r="N1067" t="b">
        <v>0</v>
      </c>
    </row>
    <row r="1068" spans="1:14">
      <c r="A1068">
        <v>64</v>
      </c>
      <c r="B1068">
        <v>23</v>
      </c>
      <c r="C1068" t="s">
        <v>126</v>
      </c>
      <c r="D1068" t="s">
        <v>741</v>
      </c>
      <c r="E1068" t="s">
        <v>126</v>
      </c>
      <c r="F1068">
        <v>0</v>
      </c>
      <c r="G1068" t="s">
        <v>126</v>
      </c>
      <c r="H1068" t="s">
        <v>126</v>
      </c>
      <c r="I1068" t="s">
        <v>126</v>
      </c>
      <c r="J1068" t="s">
        <v>126</v>
      </c>
      <c r="K1068" t="s">
        <v>126</v>
      </c>
      <c r="L1068" t="s">
        <v>126</v>
      </c>
      <c r="M1068" t="s">
        <v>1722</v>
      </c>
      <c r="N1068" t="b">
        <v>0</v>
      </c>
    </row>
    <row r="1069" spans="1:14">
      <c r="A1069">
        <v>64</v>
      </c>
      <c r="B1069">
        <v>24</v>
      </c>
      <c r="C1069" t="s">
        <v>126</v>
      </c>
      <c r="D1069" t="s">
        <v>741</v>
      </c>
      <c r="E1069" t="s">
        <v>126</v>
      </c>
      <c r="F1069">
        <v>0</v>
      </c>
      <c r="G1069" t="s">
        <v>126</v>
      </c>
      <c r="H1069" t="s">
        <v>126</v>
      </c>
      <c r="I1069" t="s">
        <v>126</v>
      </c>
      <c r="J1069" t="s">
        <v>126</v>
      </c>
      <c r="K1069" t="s">
        <v>126</v>
      </c>
      <c r="L1069" t="s">
        <v>126</v>
      </c>
      <c r="M1069" t="s">
        <v>1723</v>
      </c>
      <c r="N1069" t="b">
        <v>0</v>
      </c>
    </row>
    <row r="1070" spans="1:14">
      <c r="A1070">
        <v>64</v>
      </c>
      <c r="B1070">
        <v>25</v>
      </c>
      <c r="C1070" t="s">
        <v>126</v>
      </c>
      <c r="D1070" t="s">
        <v>741</v>
      </c>
      <c r="E1070" t="s">
        <v>126</v>
      </c>
      <c r="F1070">
        <v>0</v>
      </c>
      <c r="G1070" t="s">
        <v>126</v>
      </c>
      <c r="H1070" t="s">
        <v>126</v>
      </c>
      <c r="I1070" t="s">
        <v>126</v>
      </c>
      <c r="J1070" t="s">
        <v>126</v>
      </c>
      <c r="K1070" t="s">
        <v>126</v>
      </c>
      <c r="L1070" t="s">
        <v>126</v>
      </c>
      <c r="M1070" t="s">
        <v>1724</v>
      </c>
      <c r="N1070" t="b">
        <v>0</v>
      </c>
    </row>
    <row r="1071" spans="1:14">
      <c r="A1071">
        <v>64</v>
      </c>
      <c r="B1071">
        <v>26</v>
      </c>
      <c r="C1071" t="s">
        <v>126</v>
      </c>
      <c r="D1071" t="s">
        <v>741</v>
      </c>
      <c r="E1071" t="s">
        <v>126</v>
      </c>
      <c r="F1071">
        <v>0</v>
      </c>
      <c r="G1071" t="s">
        <v>126</v>
      </c>
      <c r="H1071" t="s">
        <v>126</v>
      </c>
      <c r="I1071" t="s">
        <v>126</v>
      </c>
      <c r="J1071" t="s">
        <v>126</v>
      </c>
      <c r="K1071" t="s">
        <v>126</v>
      </c>
      <c r="L1071" t="s">
        <v>126</v>
      </c>
      <c r="M1071" t="s">
        <v>1725</v>
      </c>
      <c r="N1071" t="b">
        <v>0</v>
      </c>
    </row>
    <row r="1072" spans="1:14">
      <c r="A1072">
        <v>65</v>
      </c>
      <c r="B1072">
        <v>0</v>
      </c>
      <c r="C1072" t="s">
        <v>216</v>
      </c>
      <c r="D1072" t="s">
        <v>724</v>
      </c>
      <c r="E1072" t="s">
        <v>65</v>
      </c>
      <c r="F1072">
        <v>60</v>
      </c>
      <c r="G1072" t="s">
        <v>126</v>
      </c>
      <c r="H1072" t="s">
        <v>126</v>
      </c>
      <c r="I1072" t="s">
        <v>65</v>
      </c>
      <c r="J1072" t="s">
        <v>126</v>
      </c>
      <c r="K1072" t="s">
        <v>126</v>
      </c>
      <c r="L1072" t="s">
        <v>126</v>
      </c>
      <c r="M1072" t="s">
        <v>1726</v>
      </c>
      <c r="N1072" t="b">
        <v>0</v>
      </c>
    </row>
    <row r="1073" spans="1:14">
      <c r="A1073">
        <v>65</v>
      </c>
      <c r="B1073">
        <v>1</v>
      </c>
      <c r="C1073" t="s">
        <v>217</v>
      </c>
      <c r="D1073" t="s">
        <v>724</v>
      </c>
      <c r="E1073" t="s">
        <v>77</v>
      </c>
      <c r="F1073">
        <v>60</v>
      </c>
      <c r="G1073" t="s">
        <v>126</v>
      </c>
      <c r="H1073" t="s">
        <v>126</v>
      </c>
      <c r="I1073" t="s">
        <v>77</v>
      </c>
      <c r="J1073" t="s">
        <v>126</v>
      </c>
      <c r="K1073" t="s">
        <v>126</v>
      </c>
      <c r="L1073" t="s">
        <v>126</v>
      </c>
      <c r="M1073" t="s">
        <v>1727</v>
      </c>
      <c r="N1073" t="b">
        <v>0</v>
      </c>
    </row>
    <row r="1074" spans="1:14">
      <c r="A1074">
        <v>65</v>
      </c>
      <c r="B1074">
        <v>2</v>
      </c>
      <c r="C1074" t="s">
        <v>268</v>
      </c>
      <c r="D1074" t="s">
        <v>724</v>
      </c>
      <c r="E1074" t="s">
        <v>83</v>
      </c>
      <c r="F1074">
        <v>30</v>
      </c>
      <c r="G1074" t="s">
        <v>126</v>
      </c>
      <c r="H1074" t="s">
        <v>126</v>
      </c>
      <c r="I1074" t="s">
        <v>83</v>
      </c>
      <c r="J1074" t="s">
        <v>126</v>
      </c>
      <c r="K1074" t="s">
        <v>126</v>
      </c>
      <c r="L1074" t="s">
        <v>126</v>
      </c>
      <c r="M1074" t="s">
        <v>1728</v>
      </c>
      <c r="N1074" t="b">
        <v>0</v>
      </c>
    </row>
    <row r="1075" spans="1:14">
      <c r="A1075">
        <v>65</v>
      </c>
      <c r="B1075">
        <v>3</v>
      </c>
      <c r="C1075" t="s">
        <v>251</v>
      </c>
      <c r="D1075" t="s">
        <v>724</v>
      </c>
      <c r="E1075" t="s">
        <v>99</v>
      </c>
      <c r="F1075">
        <v>40</v>
      </c>
      <c r="G1075" t="s">
        <v>126</v>
      </c>
      <c r="H1075" t="s">
        <v>126</v>
      </c>
      <c r="I1075" t="s">
        <v>99</v>
      </c>
      <c r="J1075" t="s">
        <v>126</v>
      </c>
      <c r="K1075" t="s">
        <v>126</v>
      </c>
      <c r="L1075" t="s">
        <v>126</v>
      </c>
      <c r="M1075" t="s">
        <v>1729</v>
      </c>
      <c r="N1075" t="b">
        <v>0</v>
      </c>
    </row>
    <row r="1076" spans="1:14">
      <c r="A1076">
        <v>65</v>
      </c>
      <c r="B1076">
        <v>4</v>
      </c>
      <c r="C1076" t="s">
        <v>219</v>
      </c>
      <c r="D1076" t="s">
        <v>724</v>
      </c>
      <c r="E1076" t="s">
        <v>101</v>
      </c>
      <c r="F1076">
        <v>60</v>
      </c>
      <c r="G1076" t="s">
        <v>126</v>
      </c>
      <c r="H1076" t="s">
        <v>126</v>
      </c>
      <c r="I1076" t="s">
        <v>101</v>
      </c>
      <c r="J1076" t="s">
        <v>126</v>
      </c>
      <c r="K1076" t="s">
        <v>126</v>
      </c>
      <c r="L1076" t="s">
        <v>126</v>
      </c>
      <c r="M1076" t="s">
        <v>1730</v>
      </c>
      <c r="N1076" t="b">
        <v>0</v>
      </c>
    </row>
    <row r="1077" spans="1:14">
      <c r="A1077">
        <v>65</v>
      </c>
      <c r="B1077">
        <v>5</v>
      </c>
      <c r="C1077" t="s">
        <v>275</v>
      </c>
      <c r="D1077" t="s">
        <v>724</v>
      </c>
      <c r="E1077" t="s">
        <v>103</v>
      </c>
      <c r="F1077">
        <v>30</v>
      </c>
      <c r="G1077" t="s">
        <v>126</v>
      </c>
      <c r="H1077" t="s">
        <v>126</v>
      </c>
      <c r="I1077" t="s">
        <v>103</v>
      </c>
      <c r="J1077" t="s">
        <v>126</v>
      </c>
      <c r="K1077" t="s">
        <v>126</v>
      </c>
      <c r="L1077" t="s">
        <v>126</v>
      </c>
      <c r="M1077" t="s">
        <v>1731</v>
      </c>
      <c r="N1077" t="b">
        <v>0</v>
      </c>
    </row>
    <row r="1078" spans="1:14">
      <c r="A1078">
        <v>65</v>
      </c>
      <c r="B1078">
        <v>6</v>
      </c>
      <c r="C1078" t="s">
        <v>291</v>
      </c>
      <c r="D1078" t="s">
        <v>724</v>
      </c>
      <c r="E1078" t="s">
        <v>113</v>
      </c>
      <c r="F1078">
        <v>40</v>
      </c>
      <c r="G1078" t="s">
        <v>126</v>
      </c>
      <c r="H1078" t="s">
        <v>126</v>
      </c>
      <c r="I1078" t="s">
        <v>113</v>
      </c>
      <c r="J1078" t="s">
        <v>126</v>
      </c>
      <c r="K1078" t="s">
        <v>126</v>
      </c>
      <c r="L1078" t="s">
        <v>126</v>
      </c>
      <c r="M1078" t="s">
        <v>1732</v>
      </c>
      <c r="N1078" t="b">
        <v>0</v>
      </c>
    </row>
    <row r="1079" spans="1:14">
      <c r="A1079">
        <v>65</v>
      </c>
      <c r="B1079">
        <v>7</v>
      </c>
      <c r="C1079" t="s">
        <v>288</v>
      </c>
      <c r="D1079" t="s">
        <v>724</v>
      </c>
      <c r="E1079" t="s">
        <v>331</v>
      </c>
      <c r="F1079">
        <v>40</v>
      </c>
      <c r="G1079" t="s">
        <v>126</v>
      </c>
      <c r="H1079" t="s">
        <v>548</v>
      </c>
      <c r="I1079" t="s">
        <v>445</v>
      </c>
      <c r="J1079" t="s">
        <v>126</v>
      </c>
      <c r="K1079" t="s">
        <v>921</v>
      </c>
      <c r="L1079" t="s">
        <v>922</v>
      </c>
      <c r="M1079" t="s">
        <v>1733</v>
      </c>
      <c r="N1079" t="b">
        <v>0</v>
      </c>
    </row>
    <row r="1080" spans="1:14">
      <c r="A1080">
        <v>65</v>
      </c>
      <c r="B1080">
        <v>8</v>
      </c>
      <c r="C1080" t="s">
        <v>276</v>
      </c>
      <c r="D1080" t="s">
        <v>724</v>
      </c>
      <c r="E1080" t="s">
        <v>74</v>
      </c>
      <c r="F1080">
        <v>40</v>
      </c>
      <c r="G1080" t="s">
        <v>126</v>
      </c>
      <c r="H1080" t="s">
        <v>126</v>
      </c>
      <c r="I1080" t="s">
        <v>74</v>
      </c>
      <c r="J1080" t="s">
        <v>126</v>
      </c>
      <c r="K1080" t="s">
        <v>126</v>
      </c>
      <c r="L1080" t="s">
        <v>126</v>
      </c>
      <c r="M1080" t="s">
        <v>1734</v>
      </c>
      <c r="N1080" t="b">
        <v>0</v>
      </c>
    </row>
    <row r="1081" spans="1:14">
      <c r="A1081">
        <v>65</v>
      </c>
      <c r="B1081">
        <v>9</v>
      </c>
      <c r="C1081" t="s">
        <v>289</v>
      </c>
      <c r="D1081" t="s">
        <v>724</v>
      </c>
      <c r="E1081" t="s">
        <v>78</v>
      </c>
      <c r="F1081">
        <v>30</v>
      </c>
      <c r="G1081" t="s">
        <v>126</v>
      </c>
      <c r="H1081" t="s">
        <v>126</v>
      </c>
      <c r="I1081" t="s">
        <v>78</v>
      </c>
      <c r="J1081" t="s">
        <v>126</v>
      </c>
      <c r="K1081" t="s">
        <v>126</v>
      </c>
      <c r="L1081" t="s">
        <v>126</v>
      </c>
      <c r="M1081" t="s">
        <v>1735</v>
      </c>
      <c r="N1081" t="b">
        <v>0</v>
      </c>
    </row>
    <row r="1082" spans="1:14">
      <c r="A1082">
        <v>65</v>
      </c>
      <c r="B1082">
        <v>10</v>
      </c>
      <c r="C1082" t="s">
        <v>320</v>
      </c>
      <c r="D1082" t="s">
        <v>724</v>
      </c>
      <c r="E1082" t="s">
        <v>106</v>
      </c>
      <c r="F1082">
        <v>30</v>
      </c>
      <c r="G1082" t="s">
        <v>126</v>
      </c>
      <c r="H1082" t="s">
        <v>126</v>
      </c>
      <c r="I1082" t="s">
        <v>106</v>
      </c>
      <c r="J1082" t="s">
        <v>126</v>
      </c>
      <c r="K1082" t="s">
        <v>126</v>
      </c>
      <c r="L1082" t="s">
        <v>126</v>
      </c>
      <c r="M1082" t="s">
        <v>1736</v>
      </c>
      <c r="N1082" t="b">
        <v>0</v>
      </c>
    </row>
    <row r="1083" spans="1:14">
      <c r="A1083">
        <v>65</v>
      </c>
      <c r="B1083">
        <v>11</v>
      </c>
      <c r="C1083" t="s">
        <v>232</v>
      </c>
      <c r="D1083" t="s">
        <v>724</v>
      </c>
      <c r="E1083" t="s">
        <v>108</v>
      </c>
      <c r="F1083">
        <v>50</v>
      </c>
      <c r="G1083" t="s">
        <v>126</v>
      </c>
      <c r="H1083" t="s">
        <v>126</v>
      </c>
      <c r="I1083" t="s">
        <v>108</v>
      </c>
      <c r="J1083" t="s">
        <v>126</v>
      </c>
      <c r="K1083" t="s">
        <v>126</v>
      </c>
      <c r="L1083" t="s">
        <v>126</v>
      </c>
      <c r="M1083" t="s">
        <v>1737</v>
      </c>
      <c r="N1083" t="b">
        <v>0</v>
      </c>
    </row>
    <row r="1084" spans="1:14">
      <c r="A1084">
        <v>65</v>
      </c>
      <c r="B1084">
        <v>12</v>
      </c>
      <c r="C1084" t="s">
        <v>126</v>
      </c>
      <c r="D1084" t="s">
        <v>724</v>
      </c>
      <c r="E1084" t="s">
        <v>126</v>
      </c>
      <c r="F1084">
        <v>0</v>
      </c>
      <c r="G1084" t="s">
        <v>126</v>
      </c>
      <c r="H1084" t="s">
        <v>126</v>
      </c>
      <c r="I1084" t="s">
        <v>126</v>
      </c>
      <c r="J1084" t="s">
        <v>126</v>
      </c>
      <c r="K1084" t="s">
        <v>126</v>
      </c>
      <c r="L1084" t="s">
        <v>126</v>
      </c>
      <c r="M1084" t="s">
        <v>1738</v>
      </c>
      <c r="N1084" t="b">
        <v>0</v>
      </c>
    </row>
    <row r="1085" spans="1:14">
      <c r="A1085">
        <v>65</v>
      </c>
      <c r="B1085">
        <v>13</v>
      </c>
      <c r="C1085" t="s">
        <v>126</v>
      </c>
      <c r="D1085" t="s">
        <v>724</v>
      </c>
      <c r="E1085" t="s">
        <v>126</v>
      </c>
      <c r="F1085">
        <v>0</v>
      </c>
      <c r="G1085" t="s">
        <v>126</v>
      </c>
      <c r="H1085" t="s">
        <v>126</v>
      </c>
      <c r="I1085" t="s">
        <v>126</v>
      </c>
      <c r="J1085" t="s">
        <v>126</v>
      </c>
      <c r="K1085" t="s">
        <v>126</v>
      </c>
      <c r="L1085" t="s">
        <v>126</v>
      </c>
      <c r="M1085" t="s">
        <v>1739</v>
      </c>
      <c r="N1085" t="b">
        <v>0</v>
      </c>
    </row>
    <row r="1086" spans="1:14">
      <c r="A1086">
        <v>65</v>
      </c>
      <c r="B1086">
        <v>14</v>
      </c>
      <c r="C1086" t="s">
        <v>126</v>
      </c>
      <c r="D1086" t="s">
        <v>724</v>
      </c>
      <c r="E1086" t="s">
        <v>126</v>
      </c>
      <c r="F1086">
        <v>0</v>
      </c>
      <c r="G1086" t="s">
        <v>126</v>
      </c>
      <c r="H1086" t="s">
        <v>126</v>
      </c>
      <c r="I1086" t="s">
        <v>126</v>
      </c>
      <c r="J1086" t="s">
        <v>126</v>
      </c>
      <c r="K1086" t="s">
        <v>126</v>
      </c>
      <c r="L1086" t="s">
        <v>126</v>
      </c>
      <c r="M1086" t="s">
        <v>1740</v>
      </c>
      <c r="N1086" t="b">
        <v>0</v>
      </c>
    </row>
    <row r="1087" spans="1:14">
      <c r="A1087">
        <v>65</v>
      </c>
      <c r="B1087">
        <v>15</v>
      </c>
      <c r="C1087" t="s">
        <v>126</v>
      </c>
      <c r="D1087" t="s">
        <v>724</v>
      </c>
      <c r="E1087" t="s">
        <v>126</v>
      </c>
      <c r="F1087">
        <v>0</v>
      </c>
      <c r="G1087" t="s">
        <v>126</v>
      </c>
      <c r="H1087" t="s">
        <v>126</v>
      </c>
      <c r="I1087" t="s">
        <v>126</v>
      </c>
      <c r="J1087" t="s">
        <v>126</v>
      </c>
      <c r="K1087" t="s">
        <v>126</v>
      </c>
      <c r="L1087" t="s">
        <v>126</v>
      </c>
      <c r="M1087" t="s">
        <v>1741</v>
      </c>
      <c r="N1087" t="b">
        <v>0</v>
      </c>
    </row>
    <row r="1088" spans="1:14">
      <c r="A1088">
        <v>65</v>
      </c>
      <c r="B1088">
        <v>16</v>
      </c>
      <c r="C1088" t="s">
        <v>218</v>
      </c>
      <c r="D1088" t="s">
        <v>741</v>
      </c>
      <c r="E1088" t="s">
        <v>95</v>
      </c>
      <c r="F1088">
        <v>40</v>
      </c>
      <c r="G1088" t="s">
        <v>126</v>
      </c>
      <c r="H1088" t="s">
        <v>126</v>
      </c>
      <c r="I1088" t="s">
        <v>95</v>
      </c>
      <c r="J1088" t="s">
        <v>126</v>
      </c>
      <c r="K1088" t="s">
        <v>126</v>
      </c>
      <c r="L1088" t="s">
        <v>126</v>
      </c>
      <c r="M1088" t="s">
        <v>1742</v>
      </c>
      <c r="N1088" t="b">
        <v>0</v>
      </c>
    </row>
    <row r="1089" spans="1:14">
      <c r="A1089">
        <v>65</v>
      </c>
      <c r="B1089">
        <v>17</v>
      </c>
      <c r="C1089" t="s">
        <v>160</v>
      </c>
      <c r="D1089" t="s">
        <v>741</v>
      </c>
      <c r="E1089" t="s">
        <v>297</v>
      </c>
      <c r="F1089">
        <v>40</v>
      </c>
      <c r="G1089" t="s">
        <v>760</v>
      </c>
      <c r="H1089" t="s">
        <v>126</v>
      </c>
      <c r="I1089" t="s">
        <v>126</v>
      </c>
      <c r="J1089" t="s">
        <v>761</v>
      </c>
      <c r="K1089" t="s">
        <v>762</v>
      </c>
      <c r="L1089" t="s">
        <v>763</v>
      </c>
      <c r="M1089" t="s">
        <v>1743</v>
      </c>
      <c r="N1089" t="b">
        <v>0</v>
      </c>
    </row>
    <row r="1090" spans="1:14">
      <c r="A1090">
        <v>65</v>
      </c>
      <c r="B1090">
        <v>18</v>
      </c>
      <c r="C1090" t="s">
        <v>198</v>
      </c>
      <c r="D1090" t="s">
        <v>741</v>
      </c>
      <c r="E1090" t="s">
        <v>113</v>
      </c>
      <c r="F1090">
        <v>50</v>
      </c>
      <c r="G1090" t="s">
        <v>126</v>
      </c>
      <c r="H1090" t="s">
        <v>126</v>
      </c>
      <c r="I1090" t="s">
        <v>113</v>
      </c>
      <c r="J1090" t="s">
        <v>126</v>
      </c>
      <c r="K1090" t="s">
        <v>126</v>
      </c>
      <c r="L1090" t="s">
        <v>126</v>
      </c>
      <c r="M1090" t="s">
        <v>1744</v>
      </c>
      <c r="N1090" t="b">
        <v>1</v>
      </c>
    </row>
    <row r="1091" spans="1:14">
      <c r="A1091">
        <v>65</v>
      </c>
      <c r="B1091">
        <v>19</v>
      </c>
      <c r="C1091" t="s">
        <v>169</v>
      </c>
      <c r="D1091" t="s">
        <v>741</v>
      </c>
      <c r="E1091" t="s">
        <v>98</v>
      </c>
      <c r="F1091">
        <v>60</v>
      </c>
      <c r="G1091" t="s">
        <v>126</v>
      </c>
      <c r="H1091" t="s">
        <v>126</v>
      </c>
      <c r="I1091" t="s">
        <v>98</v>
      </c>
      <c r="J1091" t="s">
        <v>126</v>
      </c>
      <c r="K1091" t="s">
        <v>126</v>
      </c>
      <c r="L1091" t="s">
        <v>126</v>
      </c>
      <c r="M1091" t="s">
        <v>1745</v>
      </c>
      <c r="N1091" t="b">
        <v>0</v>
      </c>
    </row>
    <row r="1092" spans="1:14">
      <c r="A1092">
        <v>65</v>
      </c>
      <c r="B1092">
        <v>20</v>
      </c>
      <c r="C1092" t="s">
        <v>177</v>
      </c>
      <c r="D1092" t="s">
        <v>741</v>
      </c>
      <c r="E1092" t="s">
        <v>100</v>
      </c>
      <c r="F1092">
        <v>40</v>
      </c>
      <c r="G1092" t="s">
        <v>126</v>
      </c>
      <c r="H1092" t="s">
        <v>126</v>
      </c>
      <c r="I1092" t="s">
        <v>100</v>
      </c>
      <c r="J1092" t="s">
        <v>126</v>
      </c>
      <c r="K1092" t="s">
        <v>126</v>
      </c>
      <c r="L1092" t="s">
        <v>126</v>
      </c>
      <c r="M1092" t="s">
        <v>1746</v>
      </c>
      <c r="N1092" t="b">
        <v>0</v>
      </c>
    </row>
    <row r="1093" spans="1:14">
      <c r="A1093">
        <v>65</v>
      </c>
      <c r="B1093">
        <v>21</v>
      </c>
      <c r="C1093" t="s">
        <v>292</v>
      </c>
      <c r="D1093" t="s">
        <v>741</v>
      </c>
      <c r="E1093" t="s">
        <v>107</v>
      </c>
      <c r="F1093">
        <v>60</v>
      </c>
      <c r="G1093" t="s">
        <v>126</v>
      </c>
      <c r="H1093" t="s">
        <v>126</v>
      </c>
      <c r="I1093" t="s">
        <v>107</v>
      </c>
      <c r="J1093" t="s">
        <v>126</v>
      </c>
      <c r="K1093" t="s">
        <v>126</v>
      </c>
      <c r="L1093" t="s">
        <v>126</v>
      </c>
      <c r="M1093" t="s">
        <v>1747</v>
      </c>
      <c r="N1093" t="b">
        <v>0</v>
      </c>
    </row>
    <row r="1094" spans="1:14">
      <c r="A1094">
        <v>65</v>
      </c>
      <c r="B1094">
        <v>22</v>
      </c>
      <c r="C1094" t="s">
        <v>126</v>
      </c>
      <c r="D1094" t="s">
        <v>741</v>
      </c>
      <c r="E1094" t="s">
        <v>126</v>
      </c>
      <c r="F1094">
        <v>0</v>
      </c>
      <c r="G1094" t="s">
        <v>126</v>
      </c>
      <c r="H1094" t="s">
        <v>126</v>
      </c>
      <c r="I1094" t="s">
        <v>126</v>
      </c>
      <c r="J1094" t="s">
        <v>126</v>
      </c>
      <c r="K1094" t="s">
        <v>126</v>
      </c>
      <c r="L1094" t="s">
        <v>126</v>
      </c>
      <c r="M1094" t="s">
        <v>1748</v>
      </c>
      <c r="N1094" t="b">
        <v>0</v>
      </c>
    </row>
    <row r="1095" spans="1:14">
      <c r="A1095">
        <v>65</v>
      </c>
      <c r="B1095">
        <v>23</v>
      </c>
      <c r="C1095" t="s">
        <v>126</v>
      </c>
      <c r="D1095" t="s">
        <v>741</v>
      </c>
      <c r="E1095" t="s">
        <v>126</v>
      </c>
      <c r="F1095">
        <v>0</v>
      </c>
      <c r="G1095" t="s">
        <v>126</v>
      </c>
      <c r="H1095" t="s">
        <v>126</v>
      </c>
      <c r="I1095" t="s">
        <v>126</v>
      </c>
      <c r="J1095" t="s">
        <v>126</v>
      </c>
      <c r="K1095" t="s">
        <v>126</v>
      </c>
      <c r="L1095" t="s">
        <v>126</v>
      </c>
      <c r="M1095" t="s">
        <v>1749</v>
      </c>
      <c r="N1095" t="b">
        <v>0</v>
      </c>
    </row>
    <row r="1096" spans="1:14">
      <c r="A1096">
        <v>65</v>
      </c>
      <c r="B1096">
        <v>24</v>
      </c>
      <c r="C1096" t="s">
        <v>126</v>
      </c>
      <c r="D1096" t="s">
        <v>741</v>
      </c>
      <c r="E1096" t="s">
        <v>126</v>
      </c>
      <c r="F1096">
        <v>0</v>
      </c>
      <c r="G1096" t="s">
        <v>126</v>
      </c>
      <c r="H1096" t="s">
        <v>126</v>
      </c>
      <c r="I1096" t="s">
        <v>126</v>
      </c>
      <c r="J1096" t="s">
        <v>126</v>
      </c>
      <c r="K1096" t="s">
        <v>126</v>
      </c>
      <c r="L1096" t="s">
        <v>126</v>
      </c>
      <c r="M1096" t="s">
        <v>1750</v>
      </c>
      <c r="N1096" t="b">
        <v>0</v>
      </c>
    </row>
    <row r="1097" spans="1:14">
      <c r="A1097">
        <v>65</v>
      </c>
      <c r="B1097">
        <v>25</v>
      </c>
      <c r="C1097" t="s">
        <v>126</v>
      </c>
      <c r="D1097" t="s">
        <v>741</v>
      </c>
      <c r="E1097" t="s">
        <v>126</v>
      </c>
      <c r="F1097">
        <v>0</v>
      </c>
      <c r="G1097" t="s">
        <v>126</v>
      </c>
      <c r="H1097" t="s">
        <v>126</v>
      </c>
      <c r="I1097" t="s">
        <v>126</v>
      </c>
      <c r="J1097" t="s">
        <v>126</v>
      </c>
      <c r="K1097" t="s">
        <v>126</v>
      </c>
      <c r="L1097" t="s">
        <v>126</v>
      </c>
      <c r="M1097" t="s">
        <v>1751</v>
      </c>
      <c r="N1097" t="b">
        <v>0</v>
      </c>
    </row>
    <row r="1098" spans="1:14">
      <c r="A1098">
        <v>65</v>
      </c>
      <c r="B1098">
        <v>26</v>
      </c>
      <c r="C1098" t="s">
        <v>126</v>
      </c>
      <c r="D1098" t="s">
        <v>741</v>
      </c>
      <c r="E1098" t="s">
        <v>126</v>
      </c>
      <c r="F1098">
        <v>0</v>
      </c>
      <c r="G1098" t="s">
        <v>126</v>
      </c>
      <c r="H1098" t="s">
        <v>126</v>
      </c>
      <c r="I1098" t="s">
        <v>126</v>
      </c>
      <c r="J1098" t="s">
        <v>126</v>
      </c>
      <c r="K1098" t="s">
        <v>126</v>
      </c>
      <c r="L1098" t="s">
        <v>126</v>
      </c>
      <c r="M1098" t="s">
        <v>1752</v>
      </c>
      <c r="N1098" t="b">
        <v>0</v>
      </c>
    </row>
    <row r="1099" spans="1:14">
      <c r="A1099">
        <v>66</v>
      </c>
      <c r="B1099">
        <v>0</v>
      </c>
      <c r="C1099" t="s">
        <v>186</v>
      </c>
      <c r="D1099" t="s">
        <v>724</v>
      </c>
      <c r="E1099" t="s">
        <v>65</v>
      </c>
      <c r="F1099">
        <v>50</v>
      </c>
      <c r="G1099" t="s">
        <v>126</v>
      </c>
      <c r="H1099" t="s">
        <v>126</v>
      </c>
      <c r="I1099" t="s">
        <v>65</v>
      </c>
      <c r="J1099" t="s">
        <v>126</v>
      </c>
      <c r="K1099" t="s">
        <v>126</v>
      </c>
      <c r="L1099" t="s">
        <v>126</v>
      </c>
      <c r="M1099" t="s">
        <v>1753</v>
      </c>
      <c r="N1099" t="b">
        <v>0</v>
      </c>
    </row>
    <row r="1100" spans="1:14">
      <c r="A1100">
        <v>66</v>
      </c>
      <c r="B1100">
        <v>1</v>
      </c>
      <c r="C1100" t="s">
        <v>217</v>
      </c>
      <c r="D1100" t="s">
        <v>724</v>
      </c>
      <c r="E1100" t="s">
        <v>77</v>
      </c>
      <c r="F1100">
        <v>60</v>
      </c>
      <c r="G1100" t="s">
        <v>126</v>
      </c>
      <c r="H1100" t="s">
        <v>126</v>
      </c>
      <c r="I1100" t="s">
        <v>77</v>
      </c>
      <c r="J1100" t="s">
        <v>126</v>
      </c>
      <c r="K1100" t="s">
        <v>126</v>
      </c>
      <c r="L1100" t="s">
        <v>126</v>
      </c>
      <c r="M1100" t="s">
        <v>1754</v>
      </c>
      <c r="N1100" t="b">
        <v>0</v>
      </c>
    </row>
    <row r="1101" spans="1:14">
      <c r="A1101">
        <v>66</v>
      </c>
      <c r="B1101">
        <v>2</v>
      </c>
      <c r="C1101" t="s">
        <v>218</v>
      </c>
      <c r="D1101" t="s">
        <v>724</v>
      </c>
      <c r="E1101" t="s">
        <v>95</v>
      </c>
      <c r="F1101">
        <v>40</v>
      </c>
      <c r="G1101" t="s">
        <v>126</v>
      </c>
      <c r="H1101" t="s">
        <v>126</v>
      </c>
      <c r="I1101" t="s">
        <v>95</v>
      </c>
      <c r="J1101" t="s">
        <v>126</v>
      </c>
      <c r="K1101" t="s">
        <v>126</v>
      </c>
      <c r="L1101" t="s">
        <v>126</v>
      </c>
      <c r="M1101" t="s">
        <v>1755</v>
      </c>
      <c r="N1101" t="b">
        <v>0</v>
      </c>
    </row>
    <row r="1102" spans="1:14">
      <c r="A1102">
        <v>66</v>
      </c>
      <c r="B1102">
        <v>3</v>
      </c>
      <c r="C1102" t="s">
        <v>219</v>
      </c>
      <c r="D1102" t="s">
        <v>724</v>
      </c>
      <c r="E1102" t="s">
        <v>101</v>
      </c>
      <c r="F1102">
        <v>60</v>
      </c>
      <c r="G1102" t="s">
        <v>126</v>
      </c>
      <c r="H1102" t="s">
        <v>126</v>
      </c>
      <c r="I1102" t="s">
        <v>101</v>
      </c>
      <c r="J1102" t="s">
        <v>126</v>
      </c>
      <c r="K1102" t="s">
        <v>126</v>
      </c>
      <c r="L1102" t="s">
        <v>126</v>
      </c>
      <c r="M1102" t="s">
        <v>1756</v>
      </c>
      <c r="N1102" t="b">
        <v>0</v>
      </c>
    </row>
    <row r="1103" spans="1:14">
      <c r="A1103">
        <v>66</v>
      </c>
      <c r="B1103">
        <v>4</v>
      </c>
      <c r="C1103" t="s">
        <v>198</v>
      </c>
      <c r="D1103" t="s">
        <v>724</v>
      </c>
      <c r="E1103" t="s">
        <v>113</v>
      </c>
      <c r="F1103">
        <v>50</v>
      </c>
      <c r="G1103" t="s">
        <v>126</v>
      </c>
      <c r="H1103" t="s">
        <v>126</v>
      </c>
      <c r="I1103" t="s">
        <v>113</v>
      </c>
      <c r="J1103" t="s">
        <v>126</v>
      </c>
      <c r="K1103" t="s">
        <v>126</v>
      </c>
      <c r="L1103" t="s">
        <v>126</v>
      </c>
      <c r="M1103" t="s">
        <v>1757</v>
      </c>
      <c r="N1103" t="b">
        <v>0</v>
      </c>
    </row>
    <row r="1104" spans="1:14">
      <c r="A1104">
        <v>66</v>
      </c>
      <c r="B1104">
        <v>5</v>
      </c>
      <c r="C1104" t="s">
        <v>220</v>
      </c>
      <c r="D1104" t="s">
        <v>724</v>
      </c>
      <c r="E1104" t="s">
        <v>68</v>
      </c>
      <c r="F1104">
        <v>50</v>
      </c>
      <c r="G1104" t="s">
        <v>126</v>
      </c>
      <c r="H1104" t="s">
        <v>126</v>
      </c>
      <c r="I1104" t="s">
        <v>68</v>
      </c>
      <c r="J1104" t="s">
        <v>126</v>
      </c>
      <c r="K1104" t="s">
        <v>126</v>
      </c>
      <c r="L1104" t="s">
        <v>126</v>
      </c>
      <c r="M1104" t="s">
        <v>1758</v>
      </c>
      <c r="N1104" t="b">
        <v>0</v>
      </c>
    </row>
    <row r="1105" spans="1:14">
      <c r="A1105">
        <v>66</v>
      </c>
      <c r="B1105">
        <v>6</v>
      </c>
      <c r="C1105" t="s">
        <v>221</v>
      </c>
      <c r="D1105" t="s">
        <v>724</v>
      </c>
      <c r="E1105" t="s">
        <v>331</v>
      </c>
      <c r="F1105">
        <v>60</v>
      </c>
      <c r="G1105" t="s">
        <v>126</v>
      </c>
      <c r="H1105" t="s">
        <v>548</v>
      </c>
      <c r="I1105" t="s">
        <v>445</v>
      </c>
      <c r="J1105" t="s">
        <v>126</v>
      </c>
      <c r="K1105" t="s">
        <v>921</v>
      </c>
      <c r="L1105" t="s">
        <v>922</v>
      </c>
      <c r="M1105" t="s">
        <v>1759</v>
      </c>
      <c r="N1105" t="b">
        <v>0</v>
      </c>
    </row>
    <row r="1106" spans="1:14">
      <c r="A1106">
        <v>66</v>
      </c>
      <c r="B1106">
        <v>7</v>
      </c>
      <c r="C1106" t="s">
        <v>167</v>
      </c>
      <c r="D1106" t="s">
        <v>724</v>
      </c>
      <c r="E1106" t="s">
        <v>74</v>
      </c>
      <c r="F1106">
        <v>50</v>
      </c>
      <c r="G1106" t="s">
        <v>126</v>
      </c>
      <c r="H1106" t="s">
        <v>126</v>
      </c>
      <c r="I1106" t="s">
        <v>74</v>
      </c>
      <c r="J1106" t="s">
        <v>126</v>
      </c>
      <c r="K1106" t="s">
        <v>126</v>
      </c>
      <c r="L1106" t="s">
        <v>126</v>
      </c>
      <c r="M1106" t="s">
        <v>1760</v>
      </c>
      <c r="N1106" t="b">
        <v>0</v>
      </c>
    </row>
    <row r="1107" spans="1:14">
      <c r="A1107">
        <v>66</v>
      </c>
      <c r="B1107">
        <v>8</v>
      </c>
      <c r="C1107" t="s">
        <v>163</v>
      </c>
      <c r="D1107" t="s">
        <v>724</v>
      </c>
      <c r="E1107" t="s">
        <v>78</v>
      </c>
      <c r="F1107">
        <v>40</v>
      </c>
      <c r="G1107" t="s">
        <v>126</v>
      </c>
      <c r="H1107" t="s">
        <v>126</v>
      </c>
      <c r="I1107" t="s">
        <v>78</v>
      </c>
      <c r="J1107" t="s">
        <v>126</v>
      </c>
      <c r="K1107" t="s">
        <v>126</v>
      </c>
      <c r="L1107" t="s">
        <v>126</v>
      </c>
      <c r="M1107" t="s">
        <v>1761</v>
      </c>
      <c r="N1107" t="b">
        <v>0</v>
      </c>
    </row>
    <row r="1108" spans="1:14">
      <c r="A1108">
        <v>66</v>
      </c>
      <c r="B1108">
        <v>9</v>
      </c>
      <c r="C1108" t="s">
        <v>388</v>
      </c>
      <c r="D1108" t="s">
        <v>724</v>
      </c>
      <c r="E1108" t="s">
        <v>358</v>
      </c>
      <c r="F1108">
        <v>40</v>
      </c>
      <c r="G1108" t="s">
        <v>126</v>
      </c>
      <c r="H1108" t="s">
        <v>563</v>
      </c>
      <c r="I1108" t="s">
        <v>1623</v>
      </c>
      <c r="J1108" t="s">
        <v>126</v>
      </c>
      <c r="K1108" t="s">
        <v>1164</v>
      </c>
      <c r="L1108" t="s">
        <v>1165</v>
      </c>
      <c r="M1108" t="s">
        <v>1762</v>
      </c>
      <c r="N1108" t="b">
        <v>0</v>
      </c>
    </row>
    <row r="1109" spans="1:14">
      <c r="A1109">
        <v>66</v>
      </c>
      <c r="B1109">
        <v>10</v>
      </c>
      <c r="C1109" t="s">
        <v>222</v>
      </c>
      <c r="D1109" t="s">
        <v>724</v>
      </c>
      <c r="E1109" t="s">
        <v>102</v>
      </c>
      <c r="F1109">
        <v>50</v>
      </c>
      <c r="G1109" t="s">
        <v>126</v>
      </c>
      <c r="H1109" t="s">
        <v>126</v>
      </c>
      <c r="I1109" t="s">
        <v>102</v>
      </c>
      <c r="J1109" t="s">
        <v>126</v>
      </c>
      <c r="K1109" t="s">
        <v>126</v>
      </c>
      <c r="L1109" t="s">
        <v>126</v>
      </c>
      <c r="M1109" t="s">
        <v>1763</v>
      </c>
      <c r="N1109" t="b">
        <v>0</v>
      </c>
    </row>
    <row r="1110" spans="1:14">
      <c r="A1110">
        <v>66</v>
      </c>
      <c r="B1110">
        <v>11</v>
      </c>
      <c r="C1110" t="s">
        <v>170</v>
      </c>
      <c r="D1110" t="s">
        <v>724</v>
      </c>
      <c r="E1110" t="s">
        <v>106</v>
      </c>
      <c r="F1110">
        <v>50</v>
      </c>
      <c r="G1110" t="s">
        <v>126</v>
      </c>
      <c r="H1110" t="s">
        <v>126</v>
      </c>
      <c r="I1110" t="s">
        <v>106</v>
      </c>
      <c r="J1110" t="s">
        <v>126</v>
      </c>
      <c r="K1110" t="s">
        <v>126</v>
      </c>
      <c r="L1110" t="s">
        <v>126</v>
      </c>
      <c r="M1110" t="s">
        <v>1764</v>
      </c>
      <c r="N1110" t="b">
        <v>0</v>
      </c>
    </row>
    <row r="1111" spans="1:14">
      <c r="A1111">
        <v>66</v>
      </c>
      <c r="B1111">
        <v>12</v>
      </c>
      <c r="C1111" t="s">
        <v>223</v>
      </c>
      <c r="D1111" t="s">
        <v>724</v>
      </c>
      <c r="E1111" t="s">
        <v>107</v>
      </c>
      <c r="F1111">
        <v>50</v>
      </c>
      <c r="G1111" t="s">
        <v>126</v>
      </c>
      <c r="H1111" t="s">
        <v>126</v>
      </c>
      <c r="I1111" t="s">
        <v>107</v>
      </c>
      <c r="J1111" t="s">
        <v>126</v>
      </c>
      <c r="K1111" t="s">
        <v>126</v>
      </c>
      <c r="L1111" t="s">
        <v>126</v>
      </c>
      <c r="M1111" t="s">
        <v>1765</v>
      </c>
      <c r="N1111" t="b">
        <v>0</v>
      </c>
    </row>
    <row r="1112" spans="1:14">
      <c r="A1112">
        <v>66</v>
      </c>
      <c r="B1112">
        <v>13</v>
      </c>
      <c r="C1112" t="s">
        <v>195</v>
      </c>
      <c r="D1112" t="s">
        <v>724</v>
      </c>
      <c r="E1112" t="s">
        <v>108</v>
      </c>
      <c r="F1112">
        <v>60</v>
      </c>
      <c r="G1112" t="s">
        <v>126</v>
      </c>
      <c r="H1112" t="s">
        <v>126</v>
      </c>
      <c r="I1112" t="s">
        <v>108</v>
      </c>
      <c r="J1112" t="s">
        <v>126</v>
      </c>
      <c r="K1112" t="s">
        <v>126</v>
      </c>
      <c r="L1112" t="s">
        <v>126</v>
      </c>
      <c r="M1112" t="s">
        <v>1766</v>
      </c>
      <c r="N1112" t="b">
        <v>0</v>
      </c>
    </row>
    <row r="1113" spans="1:14">
      <c r="A1113">
        <v>66</v>
      </c>
      <c r="B1113">
        <v>14</v>
      </c>
      <c r="C1113" t="s">
        <v>126</v>
      </c>
      <c r="D1113" t="s">
        <v>724</v>
      </c>
      <c r="E1113" t="s">
        <v>126</v>
      </c>
      <c r="F1113">
        <v>0</v>
      </c>
      <c r="G1113" t="s">
        <v>126</v>
      </c>
      <c r="H1113" t="s">
        <v>126</v>
      </c>
      <c r="I1113" t="s">
        <v>126</v>
      </c>
      <c r="J1113" t="s">
        <v>126</v>
      </c>
      <c r="K1113" t="s">
        <v>126</v>
      </c>
      <c r="L1113" t="s">
        <v>126</v>
      </c>
      <c r="M1113" t="s">
        <v>1767</v>
      </c>
      <c r="N1113" t="b">
        <v>0</v>
      </c>
    </row>
    <row r="1114" spans="1:14">
      <c r="A1114">
        <v>66</v>
      </c>
      <c r="B1114">
        <v>15</v>
      </c>
      <c r="C1114" t="s">
        <v>126</v>
      </c>
      <c r="D1114" t="s">
        <v>724</v>
      </c>
      <c r="E1114" t="s">
        <v>126</v>
      </c>
      <c r="F1114">
        <v>0</v>
      </c>
      <c r="G1114" t="s">
        <v>126</v>
      </c>
      <c r="H1114" t="s">
        <v>126</v>
      </c>
      <c r="I1114" t="s">
        <v>126</v>
      </c>
      <c r="J1114" t="s">
        <v>126</v>
      </c>
      <c r="K1114" t="s">
        <v>126</v>
      </c>
      <c r="L1114" t="s">
        <v>126</v>
      </c>
      <c r="M1114" t="s">
        <v>1768</v>
      </c>
      <c r="N1114" t="b">
        <v>0</v>
      </c>
    </row>
    <row r="1115" spans="1:14">
      <c r="A1115">
        <v>66</v>
      </c>
      <c r="B1115">
        <v>16</v>
      </c>
      <c r="C1115" t="s">
        <v>126</v>
      </c>
      <c r="D1115" t="s">
        <v>741</v>
      </c>
      <c r="E1115" t="s">
        <v>126</v>
      </c>
      <c r="F1115">
        <v>0</v>
      </c>
      <c r="G1115" t="s">
        <v>126</v>
      </c>
      <c r="H1115" t="s">
        <v>126</v>
      </c>
      <c r="I1115" t="s">
        <v>126</v>
      </c>
      <c r="J1115" t="s">
        <v>126</v>
      </c>
      <c r="K1115" t="s">
        <v>126</v>
      </c>
      <c r="L1115" t="s">
        <v>126</v>
      </c>
      <c r="M1115" t="s">
        <v>1769</v>
      </c>
      <c r="N1115" t="b">
        <v>0</v>
      </c>
    </row>
    <row r="1116" spans="1:14">
      <c r="A1116">
        <v>66</v>
      </c>
      <c r="B1116">
        <v>17</v>
      </c>
      <c r="C1116" t="s">
        <v>126</v>
      </c>
      <c r="D1116" t="s">
        <v>741</v>
      </c>
      <c r="E1116" t="s">
        <v>126</v>
      </c>
      <c r="F1116">
        <v>0</v>
      </c>
      <c r="G1116" t="s">
        <v>126</v>
      </c>
      <c r="H1116" t="s">
        <v>126</v>
      </c>
      <c r="I1116" t="s">
        <v>126</v>
      </c>
      <c r="J1116" t="s">
        <v>126</v>
      </c>
      <c r="K1116" t="s">
        <v>126</v>
      </c>
      <c r="L1116" t="s">
        <v>126</v>
      </c>
      <c r="M1116" t="s">
        <v>1770</v>
      </c>
      <c r="N1116" t="b">
        <v>0</v>
      </c>
    </row>
    <row r="1117" spans="1:14">
      <c r="A1117">
        <v>66</v>
      </c>
      <c r="B1117">
        <v>18</v>
      </c>
      <c r="C1117" t="s">
        <v>126</v>
      </c>
      <c r="D1117" t="s">
        <v>741</v>
      </c>
      <c r="E1117" t="s">
        <v>126</v>
      </c>
      <c r="F1117">
        <v>0</v>
      </c>
      <c r="G1117" t="s">
        <v>126</v>
      </c>
      <c r="H1117" t="s">
        <v>126</v>
      </c>
      <c r="I1117" t="s">
        <v>126</v>
      </c>
      <c r="J1117" t="s">
        <v>126</v>
      </c>
      <c r="K1117" t="s">
        <v>126</v>
      </c>
      <c r="L1117" t="s">
        <v>126</v>
      </c>
      <c r="M1117" t="s">
        <v>1771</v>
      </c>
      <c r="N1117" t="b">
        <v>0</v>
      </c>
    </row>
    <row r="1118" spans="1:14">
      <c r="A1118">
        <v>66</v>
      </c>
      <c r="B1118">
        <v>19</v>
      </c>
      <c r="C1118" t="s">
        <v>126</v>
      </c>
      <c r="D1118" t="s">
        <v>741</v>
      </c>
      <c r="E1118" t="s">
        <v>126</v>
      </c>
      <c r="F1118">
        <v>0</v>
      </c>
      <c r="G1118" t="s">
        <v>126</v>
      </c>
      <c r="H1118" t="s">
        <v>126</v>
      </c>
      <c r="I1118" t="s">
        <v>126</v>
      </c>
      <c r="J1118" t="s">
        <v>126</v>
      </c>
      <c r="K1118" t="s">
        <v>126</v>
      </c>
      <c r="L1118" t="s">
        <v>126</v>
      </c>
      <c r="M1118" t="s">
        <v>1772</v>
      </c>
      <c r="N1118" t="b">
        <v>0</v>
      </c>
    </row>
    <row r="1119" spans="1:14">
      <c r="A1119">
        <v>66</v>
      </c>
      <c r="B1119">
        <v>20</v>
      </c>
      <c r="C1119" t="s">
        <v>126</v>
      </c>
      <c r="D1119" t="s">
        <v>741</v>
      </c>
      <c r="E1119" t="s">
        <v>126</v>
      </c>
      <c r="F1119">
        <v>0</v>
      </c>
      <c r="G1119" t="s">
        <v>126</v>
      </c>
      <c r="H1119" t="s">
        <v>126</v>
      </c>
      <c r="I1119" t="s">
        <v>126</v>
      </c>
      <c r="J1119" t="s">
        <v>126</v>
      </c>
      <c r="K1119" t="s">
        <v>126</v>
      </c>
      <c r="L1119" t="s">
        <v>126</v>
      </c>
      <c r="M1119" t="s">
        <v>1773</v>
      </c>
      <c r="N1119" t="b">
        <v>0</v>
      </c>
    </row>
    <row r="1120" spans="1:14">
      <c r="A1120">
        <v>66</v>
      </c>
      <c r="B1120">
        <v>21</v>
      </c>
      <c r="C1120" t="s">
        <v>126</v>
      </c>
      <c r="D1120" t="s">
        <v>741</v>
      </c>
      <c r="E1120" t="s">
        <v>126</v>
      </c>
      <c r="F1120">
        <v>0</v>
      </c>
      <c r="G1120" t="s">
        <v>126</v>
      </c>
      <c r="H1120" t="s">
        <v>126</v>
      </c>
      <c r="I1120" t="s">
        <v>126</v>
      </c>
      <c r="J1120" t="s">
        <v>126</v>
      </c>
      <c r="K1120" t="s">
        <v>126</v>
      </c>
      <c r="L1120" t="s">
        <v>126</v>
      </c>
      <c r="M1120" t="s">
        <v>1774</v>
      </c>
      <c r="N1120" t="b">
        <v>0</v>
      </c>
    </row>
    <row r="1121" spans="1:14">
      <c r="A1121">
        <v>66</v>
      </c>
      <c r="B1121">
        <v>22</v>
      </c>
      <c r="C1121" t="s">
        <v>126</v>
      </c>
      <c r="D1121" t="s">
        <v>741</v>
      </c>
      <c r="E1121" t="s">
        <v>126</v>
      </c>
      <c r="F1121">
        <v>0</v>
      </c>
      <c r="G1121" t="s">
        <v>126</v>
      </c>
      <c r="H1121" t="s">
        <v>126</v>
      </c>
      <c r="I1121" t="s">
        <v>126</v>
      </c>
      <c r="J1121" t="s">
        <v>126</v>
      </c>
      <c r="K1121" t="s">
        <v>126</v>
      </c>
      <c r="L1121" t="s">
        <v>126</v>
      </c>
      <c r="M1121" t="s">
        <v>1775</v>
      </c>
      <c r="N1121" t="b">
        <v>0</v>
      </c>
    </row>
    <row r="1122" spans="1:14">
      <c r="A1122">
        <v>66</v>
      </c>
      <c r="B1122">
        <v>23</v>
      </c>
      <c r="C1122" t="s">
        <v>126</v>
      </c>
      <c r="D1122" t="s">
        <v>741</v>
      </c>
      <c r="E1122" t="s">
        <v>126</v>
      </c>
      <c r="F1122">
        <v>0</v>
      </c>
      <c r="G1122" t="s">
        <v>126</v>
      </c>
      <c r="H1122" t="s">
        <v>126</v>
      </c>
      <c r="I1122" t="s">
        <v>126</v>
      </c>
      <c r="J1122" t="s">
        <v>126</v>
      </c>
      <c r="K1122" t="s">
        <v>126</v>
      </c>
      <c r="L1122" t="s">
        <v>126</v>
      </c>
      <c r="M1122" t="s">
        <v>1776</v>
      </c>
      <c r="N1122" t="b">
        <v>0</v>
      </c>
    </row>
    <row r="1123" spans="1:14">
      <c r="A1123">
        <v>66</v>
      </c>
      <c r="B1123">
        <v>24</v>
      </c>
      <c r="C1123" t="s">
        <v>126</v>
      </c>
      <c r="D1123" t="s">
        <v>741</v>
      </c>
      <c r="E1123" t="s">
        <v>126</v>
      </c>
      <c r="F1123">
        <v>0</v>
      </c>
      <c r="G1123" t="s">
        <v>126</v>
      </c>
      <c r="H1123" t="s">
        <v>126</v>
      </c>
      <c r="I1123" t="s">
        <v>126</v>
      </c>
      <c r="J1123" t="s">
        <v>126</v>
      </c>
      <c r="K1123" t="s">
        <v>126</v>
      </c>
      <c r="L1123" t="s">
        <v>126</v>
      </c>
      <c r="M1123" t="s">
        <v>1777</v>
      </c>
      <c r="N1123" t="b">
        <v>0</v>
      </c>
    </row>
    <row r="1124" spans="1:14">
      <c r="A1124">
        <v>66</v>
      </c>
      <c r="B1124">
        <v>25</v>
      </c>
      <c r="C1124" t="s">
        <v>126</v>
      </c>
      <c r="D1124" t="s">
        <v>741</v>
      </c>
      <c r="E1124" t="s">
        <v>126</v>
      </c>
      <c r="F1124">
        <v>0</v>
      </c>
      <c r="G1124" t="s">
        <v>126</v>
      </c>
      <c r="H1124" t="s">
        <v>126</v>
      </c>
      <c r="I1124" t="s">
        <v>126</v>
      </c>
      <c r="J1124" t="s">
        <v>126</v>
      </c>
      <c r="K1124" t="s">
        <v>126</v>
      </c>
      <c r="L1124" t="s">
        <v>126</v>
      </c>
      <c r="M1124" t="s">
        <v>1778</v>
      </c>
      <c r="N1124" t="b">
        <v>0</v>
      </c>
    </row>
    <row r="1125" spans="1:14">
      <c r="A1125">
        <v>66</v>
      </c>
      <c r="B1125">
        <v>26</v>
      </c>
      <c r="C1125" t="s">
        <v>126</v>
      </c>
      <c r="D1125" t="s">
        <v>741</v>
      </c>
      <c r="E1125" t="s">
        <v>126</v>
      </c>
      <c r="F1125">
        <v>0</v>
      </c>
      <c r="G1125" t="s">
        <v>126</v>
      </c>
      <c r="H1125" t="s">
        <v>126</v>
      </c>
      <c r="I1125" t="s">
        <v>126</v>
      </c>
      <c r="J1125" t="s">
        <v>126</v>
      </c>
      <c r="K1125" t="s">
        <v>126</v>
      </c>
      <c r="L1125" t="s">
        <v>126</v>
      </c>
      <c r="M1125" t="s">
        <v>1779</v>
      </c>
      <c r="N1125" t="b">
        <v>0</v>
      </c>
    </row>
    <row r="1126" spans="1:14">
      <c r="A1126">
        <v>68</v>
      </c>
      <c r="B1126">
        <v>0</v>
      </c>
      <c r="C1126" t="s">
        <v>216</v>
      </c>
      <c r="D1126" t="s">
        <v>724</v>
      </c>
      <c r="E1126" t="s">
        <v>65</v>
      </c>
      <c r="F1126">
        <v>60</v>
      </c>
      <c r="G1126" t="s">
        <v>126</v>
      </c>
      <c r="H1126" t="s">
        <v>126</v>
      </c>
      <c r="I1126" t="s">
        <v>65</v>
      </c>
      <c r="J1126" t="s">
        <v>126</v>
      </c>
      <c r="K1126" t="s">
        <v>126</v>
      </c>
      <c r="L1126" t="s">
        <v>126</v>
      </c>
      <c r="M1126" t="s">
        <v>1780</v>
      </c>
      <c r="N1126" t="b">
        <v>0</v>
      </c>
    </row>
    <row r="1127" spans="1:14">
      <c r="A1127">
        <v>68</v>
      </c>
      <c r="B1127">
        <v>1</v>
      </c>
      <c r="C1127" t="s">
        <v>226</v>
      </c>
      <c r="D1127" t="s">
        <v>724</v>
      </c>
      <c r="E1127" t="s">
        <v>77</v>
      </c>
      <c r="F1127">
        <v>50</v>
      </c>
      <c r="G1127" t="s">
        <v>126</v>
      </c>
      <c r="H1127" t="s">
        <v>126</v>
      </c>
      <c r="I1127" t="s">
        <v>77</v>
      </c>
      <c r="J1127" t="s">
        <v>126</v>
      </c>
      <c r="K1127" t="s">
        <v>126</v>
      </c>
      <c r="L1127" t="s">
        <v>126</v>
      </c>
      <c r="M1127" t="s">
        <v>1781</v>
      </c>
      <c r="N1127" t="b">
        <v>0</v>
      </c>
    </row>
    <row r="1128" spans="1:14">
      <c r="A1128">
        <v>68</v>
      </c>
      <c r="B1128">
        <v>2</v>
      </c>
      <c r="C1128" t="s">
        <v>218</v>
      </c>
      <c r="D1128" t="s">
        <v>724</v>
      </c>
      <c r="E1128" t="s">
        <v>95</v>
      </c>
      <c r="F1128">
        <v>40</v>
      </c>
      <c r="G1128" t="s">
        <v>126</v>
      </c>
      <c r="H1128" t="s">
        <v>126</v>
      </c>
      <c r="I1128" t="s">
        <v>95</v>
      </c>
      <c r="J1128" t="s">
        <v>126</v>
      </c>
      <c r="K1128" t="s">
        <v>126</v>
      </c>
      <c r="L1128" t="s">
        <v>126</v>
      </c>
      <c r="M1128" t="s">
        <v>1782</v>
      </c>
      <c r="N1128" t="b">
        <v>0</v>
      </c>
    </row>
    <row r="1129" spans="1:14">
      <c r="A1129">
        <v>68</v>
      </c>
      <c r="B1129">
        <v>3</v>
      </c>
      <c r="C1129" t="s">
        <v>219</v>
      </c>
      <c r="D1129" t="s">
        <v>724</v>
      </c>
      <c r="E1129" t="s">
        <v>101</v>
      </c>
      <c r="F1129">
        <v>60</v>
      </c>
      <c r="G1129" t="s">
        <v>126</v>
      </c>
      <c r="H1129" t="s">
        <v>126</v>
      </c>
      <c r="I1129" t="s">
        <v>101</v>
      </c>
      <c r="J1129" t="s">
        <v>126</v>
      </c>
      <c r="K1129" t="s">
        <v>126</v>
      </c>
      <c r="L1129" t="s">
        <v>126</v>
      </c>
      <c r="M1129" t="s">
        <v>1783</v>
      </c>
      <c r="N1129" t="b">
        <v>0</v>
      </c>
    </row>
    <row r="1130" spans="1:14">
      <c r="A1130">
        <v>68</v>
      </c>
      <c r="B1130">
        <v>4</v>
      </c>
      <c r="C1130" t="s">
        <v>160</v>
      </c>
      <c r="D1130" t="s">
        <v>753</v>
      </c>
      <c r="E1130" t="s">
        <v>297</v>
      </c>
      <c r="F1130">
        <v>40</v>
      </c>
      <c r="G1130" t="s">
        <v>760</v>
      </c>
      <c r="H1130" t="s">
        <v>126</v>
      </c>
      <c r="I1130" t="s">
        <v>126</v>
      </c>
      <c r="J1130" t="s">
        <v>761</v>
      </c>
      <c r="K1130" t="s">
        <v>762</v>
      </c>
      <c r="L1130" t="s">
        <v>763</v>
      </c>
      <c r="M1130" t="s">
        <v>1784</v>
      </c>
      <c r="N1130" t="b">
        <v>0</v>
      </c>
    </row>
    <row r="1131" spans="1:14">
      <c r="A1131">
        <v>68</v>
      </c>
      <c r="B1131">
        <v>5</v>
      </c>
      <c r="C1131" t="s">
        <v>198</v>
      </c>
      <c r="D1131" t="s">
        <v>724</v>
      </c>
      <c r="E1131" t="s">
        <v>113</v>
      </c>
      <c r="F1131">
        <v>50</v>
      </c>
      <c r="G1131" t="s">
        <v>126</v>
      </c>
      <c r="H1131" t="s">
        <v>126</v>
      </c>
      <c r="I1131" t="s">
        <v>113</v>
      </c>
      <c r="J1131" t="s">
        <v>126</v>
      </c>
      <c r="K1131" t="s">
        <v>126</v>
      </c>
      <c r="L1131" t="s">
        <v>126</v>
      </c>
      <c r="M1131" t="s">
        <v>1785</v>
      </c>
      <c r="N1131" t="b">
        <v>0</v>
      </c>
    </row>
    <row r="1132" spans="1:14">
      <c r="A1132">
        <v>68</v>
      </c>
      <c r="B1132">
        <v>6</v>
      </c>
      <c r="C1132" t="s">
        <v>317</v>
      </c>
      <c r="D1132" t="s">
        <v>724</v>
      </c>
      <c r="E1132" t="s">
        <v>115</v>
      </c>
      <c r="F1132">
        <v>30</v>
      </c>
      <c r="G1132" t="s">
        <v>126</v>
      </c>
      <c r="H1132" t="s">
        <v>126</v>
      </c>
      <c r="I1132" t="s">
        <v>115</v>
      </c>
      <c r="J1132" t="s">
        <v>126</v>
      </c>
      <c r="K1132" t="s">
        <v>126</v>
      </c>
      <c r="L1132" t="s">
        <v>126</v>
      </c>
      <c r="M1132" t="s">
        <v>1786</v>
      </c>
      <c r="N1132" t="b">
        <v>0</v>
      </c>
    </row>
    <row r="1133" spans="1:14">
      <c r="A1133">
        <v>68</v>
      </c>
      <c r="B1133">
        <v>7</v>
      </c>
      <c r="C1133" t="s">
        <v>220</v>
      </c>
      <c r="D1133" t="s">
        <v>724</v>
      </c>
      <c r="E1133" t="s">
        <v>68</v>
      </c>
      <c r="F1133">
        <v>50</v>
      </c>
      <c r="G1133" t="s">
        <v>126</v>
      </c>
      <c r="H1133" t="s">
        <v>126</v>
      </c>
      <c r="I1133" t="s">
        <v>68</v>
      </c>
      <c r="J1133" t="s">
        <v>126</v>
      </c>
      <c r="K1133" t="s">
        <v>126</v>
      </c>
      <c r="L1133" t="s">
        <v>126</v>
      </c>
      <c r="M1133" t="s">
        <v>1787</v>
      </c>
      <c r="N1133" t="b">
        <v>0</v>
      </c>
    </row>
    <row r="1134" spans="1:14">
      <c r="A1134">
        <v>68</v>
      </c>
      <c r="B1134">
        <v>8</v>
      </c>
      <c r="C1134" t="s">
        <v>406</v>
      </c>
      <c r="D1134" t="s">
        <v>724</v>
      </c>
      <c r="E1134" t="s">
        <v>331</v>
      </c>
      <c r="F1134">
        <v>50</v>
      </c>
      <c r="G1134" t="s">
        <v>126</v>
      </c>
      <c r="H1134" t="s">
        <v>548</v>
      </c>
      <c r="I1134" t="s">
        <v>445</v>
      </c>
      <c r="J1134" t="s">
        <v>126</v>
      </c>
      <c r="K1134" t="s">
        <v>921</v>
      </c>
      <c r="L1134" t="s">
        <v>922</v>
      </c>
      <c r="M1134" t="s">
        <v>1788</v>
      </c>
      <c r="N1134" t="b">
        <v>0</v>
      </c>
    </row>
    <row r="1135" spans="1:14">
      <c r="A1135">
        <v>68</v>
      </c>
      <c r="B1135">
        <v>9</v>
      </c>
      <c r="C1135" t="s">
        <v>167</v>
      </c>
      <c r="D1135" t="s">
        <v>724</v>
      </c>
      <c r="E1135" t="s">
        <v>74</v>
      </c>
      <c r="F1135">
        <v>50</v>
      </c>
      <c r="G1135" t="s">
        <v>126</v>
      </c>
      <c r="H1135" t="s">
        <v>126</v>
      </c>
      <c r="I1135" t="s">
        <v>74</v>
      </c>
      <c r="J1135" t="s">
        <v>126</v>
      </c>
      <c r="K1135" t="s">
        <v>126</v>
      </c>
      <c r="L1135" t="s">
        <v>126</v>
      </c>
      <c r="M1135" t="s">
        <v>1789</v>
      </c>
      <c r="N1135" t="b">
        <v>0</v>
      </c>
    </row>
    <row r="1136" spans="1:14">
      <c r="A1136">
        <v>68</v>
      </c>
      <c r="B1136">
        <v>10</v>
      </c>
      <c r="C1136" t="s">
        <v>163</v>
      </c>
      <c r="D1136" t="s">
        <v>724</v>
      </c>
      <c r="E1136" t="s">
        <v>78</v>
      </c>
      <c r="F1136">
        <v>40</v>
      </c>
      <c r="G1136" t="s">
        <v>126</v>
      </c>
      <c r="H1136" t="s">
        <v>126</v>
      </c>
      <c r="I1136" t="s">
        <v>78</v>
      </c>
      <c r="J1136" t="s">
        <v>126</v>
      </c>
      <c r="K1136" t="s">
        <v>126</v>
      </c>
      <c r="L1136" t="s">
        <v>126</v>
      </c>
      <c r="M1136" t="s">
        <v>1790</v>
      </c>
      <c r="N1136" t="b">
        <v>0</v>
      </c>
    </row>
    <row r="1137" spans="1:14">
      <c r="A1137">
        <v>68</v>
      </c>
      <c r="B1137">
        <v>11</v>
      </c>
      <c r="C1137" t="s">
        <v>222</v>
      </c>
      <c r="D1137" t="s">
        <v>724</v>
      </c>
      <c r="E1137" t="s">
        <v>102</v>
      </c>
      <c r="F1137">
        <v>50</v>
      </c>
      <c r="G1137" t="s">
        <v>126</v>
      </c>
      <c r="H1137" t="s">
        <v>126</v>
      </c>
      <c r="I1137" t="s">
        <v>102</v>
      </c>
      <c r="J1137" t="s">
        <v>126</v>
      </c>
      <c r="K1137" t="s">
        <v>126</v>
      </c>
      <c r="L1137" t="s">
        <v>126</v>
      </c>
      <c r="M1137" t="s">
        <v>1791</v>
      </c>
      <c r="N1137" t="b">
        <v>0</v>
      </c>
    </row>
    <row r="1138" spans="1:14">
      <c r="A1138">
        <v>68</v>
      </c>
      <c r="B1138">
        <v>12</v>
      </c>
      <c r="C1138" t="s">
        <v>170</v>
      </c>
      <c r="D1138" t="s">
        <v>724</v>
      </c>
      <c r="E1138" t="s">
        <v>106</v>
      </c>
      <c r="F1138">
        <v>50</v>
      </c>
      <c r="G1138" t="s">
        <v>126</v>
      </c>
      <c r="H1138" t="s">
        <v>126</v>
      </c>
      <c r="I1138" t="s">
        <v>106</v>
      </c>
      <c r="J1138" t="s">
        <v>126</v>
      </c>
      <c r="K1138" t="s">
        <v>126</v>
      </c>
      <c r="L1138" t="s">
        <v>126</v>
      </c>
      <c r="M1138" t="s">
        <v>1792</v>
      </c>
      <c r="N1138" t="b">
        <v>0</v>
      </c>
    </row>
    <row r="1139" spans="1:14">
      <c r="A1139">
        <v>68</v>
      </c>
      <c r="B1139">
        <v>13</v>
      </c>
      <c r="C1139" t="s">
        <v>271</v>
      </c>
      <c r="D1139" t="s">
        <v>724</v>
      </c>
      <c r="E1139" t="s">
        <v>107</v>
      </c>
      <c r="F1139">
        <v>40</v>
      </c>
      <c r="G1139" t="s">
        <v>126</v>
      </c>
      <c r="H1139" t="s">
        <v>126</v>
      </c>
      <c r="I1139" t="s">
        <v>107</v>
      </c>
      <c r="J1139" t="s">
        <v>126</v>
      </c>
      <c r="K1139" t="s">
        <v>126</v>
      </c>
      <c r="L1139" t="s">
        <v>126</v>
      </c>
      <c r="M1139" t="s">
        <v>1793</v>
      </c>
      <c r="N1139" t="b">
        <v>0</v>
      </c>
    </row>
    <row r="1140" spans="1:14">
      <c r="A1140">
        <v>68</v>
      </c>
      <c r="B1140">
        <v>14</v>
      </c>
      <c r="C1140" t="s">
        <v>195</v>
      </c>
      <c r="D1140" t="s">
        <v>724</v>
      </c>
      <c r="E1140" t="s">
        <v>108</v>
      </c>
      <c r="F1140">
        <v>60</v>
      </c>
      <c r="G1140" t="s">
        <v>126</v>
      </c>
      <c r="H1140" t="s">
        <v>126</v>
      </c>
      <c r="I1140" t="s">
        <v>108</v>
      </c>
      <c r="J1140" t="s">
        <v>126</v>
      </c>
      <c r="K1140" t="s">
        <v>126</v>
      </c>
      <c r="L1140" t="s">
        <v>126</v>
      </c>
      <c r="M1140" t="s">
        <v>1794</v>
      </c>
      <c r="N1140" t="b">
        <v>0</v>
      </c>
    </row>
    <row r="1141" spans="1:14">
      <c r="A1141">
        <v>68</v>
      </c>
      <c r="B1141">
        <v>15</v>
      </c>
      <c r="C1141" t="s">
        <v>126</v>
      </c>
      <c r="D1141" t="s">
        <v>724</v>
      </c>
      <c r="E1141" t="s">
        <v>126</v>
      </c>
      <c r="F1141">
        <v>0</v>
      </c>
      <c r="G1141" t="s">
        <v>126</v>
      </c>
      <c r="H1141" t="s">
        <v>126</v>
      </c>
      <c r="I1141" t="s">
        <v>126</v>
      </c>
      <c r="J1141" t="s">
        <v>126</v>
      </c>
      <c r="K1141" t="s">
        <v>126</v>
      </c>
      <c r="L1141" t="s">
        <v>126</v>
      </c>
      <c r="M1141" t="s">
        <v>1795</v>
      </c>
      <c r="N1141" t="b">
        <v>0</v>
      </c>
    </row>
    <row r="1142" spans="1:14">
      <c r="A1142">
        <v>68</v>
      </c>
      <c r="B1142">
        <v>16</v>
      </c>
      <c r="C1142" t="s">
        <v>126</v>
      </c>
      <c r="D1142" t="s">
        <v>741</v>
      </c>
      <c r="E1142" t="s">
        <v>126</v>
      </c>
      <c r="F1142">
        <v>0</v>
      </c>
      <c r="G1142" t="s">
        <v>126</v>
      </c>
      <c r="H1142" t="s">
        <v>126</v>
      </c>
      <c r="I1142" t="s">
        <v>126</v>
      </c>
      <c r="J1142" t="s">
        <v>126</v>
      </c>
      <c r="K1142" t="s">
        <v>126</v>
      </c>
      <c r="L1142" t="s">
        <v>126</v>
      </c>
      <c r="M1142" t="s">
        <v>1796</v>
      </c>
      <c r="N1142" t="b">
        <v>0</v>
      </c>
    </row>
    <row r="1143" spans="1:14">
      <c r="A1143">
        <v>68</v>
      </c>
      <c r="B1143">
        <v>17</v>
      </c>
      <c r="C1143" t="s">
        <v>126</v>
      </c>
      <c r="D1143" t="s">
        <v>741</v>
      </c>
      <c r="E1143" t="s">
        <v>126</v>
      </c>
      <c r="F1143">
        <v>0</v>
      </c>
      <c r="G1143" t="s">
        <v>126</v>
      </c>
      <c r="H1143" t="s">
        <v>126</v>
      </c>
      <c r="I1143" t="s">
        <v>126</v>
      </c>
      <c r="J1143" t="s">
        <v>126</v>
      </c>
      <c r="K1143" t="s">
        <v>126</v>
      </c>
      <c r="L1143" t="s">
        <v>126</v>
      </c>
      <c r="M1143" t="s">
        <v>1797</v>
      </c>
      <c r="N1143" t="b">
        <v>0</v>
      </c>
    </row>
    <row r="1144" spans="1:14">
      <c r="A1144">
        <v>68</v>
      </c>
      <c r="B1144">
        <v>18</v>
      </c>
      <c r="C1144" t="s">
        <v>126</v>
      </c>
      <c r="D1144" t="s">
        <v>741</v>
      </c>
      <c r="E1144" t="s">
        <v>126</v>
      </c>
      <c r="F1144">
        <v>0</v>
      </c>
      <c r="G1144" t="s">
        <v>126</v>
      </c>
      <c r="H1144" t="s">
        <v>126</v>
      </c>
      <c r="I1144" t="s">
        <v>126</v>
      </c>
      <c r="J1144" t="s">
        <v>126</v>
      </c>
      <c r="K1144" t="s">
        <v>126</v>
      </c>
      <c r="L1144" t="s">
        <v>126</v>
      </c>
      <c r="M1144" t="s">
        <v>1798</v>
      </c>
      <c r="N1144" t="b">
        <v>0</v>
      </c>
    </row>
    <row r="1145" spans="1:14">
      <c r="A1145">
        <v>68</v>
      </c>
      <c r="B1145">
        <v>19</v>
      </c>
      <c r="C1145" t="s">
        <v>126</v>
      </c>
      <c r="D1145" t="s">
        <v>741</v>
      </c>
      <c r="E1145" t="s">
        <v>126</v>
      </c>
      <c r="F1145">
        <v>0</v>
      </c>
      <c r="G1145" t="s">
        <v>126</v>
      </c>
      <c r="H1145" t="s">
        <v>126</v>
      </c>
      <c r="I1145" t="s">
        <v>126</v>
      </c>
      <c r="J1145" t="s">
        <v>126</v>
      </c>
      <c r="K1145" t="s">
        <v>126</v>
      </c>
      <c r="L1145" t="s">
        <v>126</v>
      </c>
      <c r="M1145" t="s">
        <v>1799</v>
      </c>
      <c r="N1145" t="b">
        <v>0</v>
      </c>
    </row>
    <row r="1146" spans="1:14">
      <c r="A1146">
        <v>68</v>
      </c>
      <c r="B1146">
        <v>20</v>
      </c>
      <c r="C1146" t="s">
        <v>126</v>
      </c>
      <c r="D1146" t="s">
        <v>741</v>
      </c>
      <c r="E1146" t="s">
        <v>126</v>
      </c>
      <c r="F1146">
        <v>0</v>
      </c>
      <c r="G1146" t="s">
        <v>126</v>
      </c>
      <c r="H1146" t="s">
        <v>126</v>
      </c>
      <c r="I1146" t="s">
        <v>126</v>
      </c>
      <c r="J1146" t="s">
        <v>126</v>
      </c>
      <c r="K1146" t="s">
        <v>126</v>
      </c>
      <c r="L1146" t="s">
        <v>126</v>
      </c>
      <c r="M1146" t="s">
        <v>1800</v>
      </c>
      <c r="N1146" t="b">
        <v>0</v>
      </c>
    </row>
    <row r="1147" spans="1:14">
      <c r="A1147">
        <v>68</v>
      </c>
      <c r="B1147">
        <v>21</v>
      </c>
      <c r="C1147" t="s">
        <v>126</v>
      </c>
      <c r="D1147" t="s">
        <v>741</v>
      </c>
      <c r="E1147" t="s">
        <v>126</v>
      </c>
      <c r="F1147">
        <v>0</v>
      </c>
      <c r="G1147" t="s">
        <v>126</v>
      </c>
      <c r="H1147" t="s">
        <v>126</v>
      </c>
      <c r="I1147" t="s">
        <v>126</v>
      </c>
      <c r="J1147" t="s">
        <v>126</v>
      </c>
      <c r="K1147" t="s">
        <v>126</v>
      </c>
      <c r="L1147" t="s">
        <v>126</v>
      </c>
      <c r="M1147" t="s">
        <v>1801</v>
      </c>
      <c r="N1147" t="b">
        <v>0</v>
      </c>
    </row>
    <row r="1148" spans="1:14">
      <c r="A1148">
        <v>68</v>
      </c>
      <c r="B1148">
        <v>22</v>
      </c>
      <c r="C1148" t="s">
        <v>126</v>
      </c>
      <c r="D1148" t="s">
        <v>741</v>
      </c>
      <c r="E1148" t="s">
        <v>126</v>
      </c>
      <c r="F1148">
        <v>0</v>
      </c>
      <c r="G1148" t="s">
        <v>126</v>
      </c>
      <c r="H1148" t="s">
        <v>126</v>
      </c>
      <c r="I1148" t="s">
        <v>126</v>
      </c>
      <c r="J1148" t="s">
        <v>126</v>
      </c>
      <c r="K1148" t="s">
        <v>126</v>
      </c>
      <c r="L1148" t="s">
        <v>126</v>
      </c>
      <c r="M1148" t="s">
        <v>1802</v>
      </c>
      <c r="N1148" t="b">
        <v>0</v>
      </c>
    </row>
    <row r="1149" spans="1:14">
      <c r="A1149">
        <v>68</v>
      </c>
      <c r="B1149">
        <v>23</v>
      </c>
      <c r="C1149" t="s">
        <v>126</v>
      </c>
      <c r="D1149" t="s">
        <v>741</v>
      </c>
      <c r="E1149" t="s">
        <v>126</v>
      </c>
      <c r="F1149">
        <v>0</v>
      </c>
      <c r="G1149" t="s">
        <v>126</v>
      </c>
      <c r="H1149" t="s">
        <v>126</v>
      </c>
      <c r="I1149" t="s">
        <v>126</v>
      </c>
      <c r="J1149" t="s">
        <v>126</v>
      </c>
      <c r="K1149" t="s">
        <v>126</v>
      </c>
      <c r="L1149" t="s">
        <v>126</v>
      </c>
      <c r="M1149" t="s">
        <v>1803</v>
      </c>
      <c r="N1149" t="b">
        <v>0</v>
      </c>
    </row>
    <row r="1150" spans="1:14">
      <c r="A1150">
        <v>68</v>
      </c>
      <c r="B1150">
        <v>24</v>
      </c>
      <c r="C1150" t="s">
        <v>126</v>
      </c>
      <c r="D1150" t="s">
        <v>741</v>
      </c>
      <c r="E1150" t="s">
        <v>126</v>
      </c>
      <c r="F1150">
        <v>0</v>
      </c>
      <c r="G1150" t="s">
        <v>126</v>
      </c>
      <c r="H1150" t="s">
        <v>126</v>
      </c>
      <c r="I1150" t="s">
        <v>126</v>
      </c>
      <c r="J1150" t="s">
        <v>126</v>
      </c>
      <c r="K1150" t="s">
        <v>126</v>
      </c>
      <c r="L1150" t="s">
        <v>126</v>
      </c>
      <c r="M1150" t="s">
        <v>1804</v>
      </c>
      <c r="N1150" t="b">
        <v>0</v>
      </c>
    </row>
    <row r="1151" spans="1:14">
      <c r="A1151">
        <v>68</v>
      </c>
      <c r="B1151">
        <v>25</v>
      </c>
      <c r="C1151" t="s">
        <v>126</v>
      </c>
      <c r="D1151" t="s">
        <v>741</v>
      </c>
      <c r="E1151" t="s">
        <v>126</v>
      </c>
      <c r="F1151">
        <v>0</v>
      </c>
      <c r="G1151" t="s">
        <v>126</v>
      </c>
      <c r="H1151" t="s">
        <v>126</v>
      </c>
      <c r="I1151" t="s">
        <v>126</v>
      </c>
      <c r="J1151" t="s">
        <v>126</v>
      </c>
      <c r="K1151" t="s">
        <v>126</v>
      </c>
      <c r="L1151" t="s">
        <v>126</v>
      </c>
      <c r="M1151" t="s">
        <v>1805</v>
      </c>
      <c r="N1151" t="b">
        <v>0</v>
      </c>
    </row>
    <row r="1152" spans="1:14">
      <c r="A1152">
        <v>68</v>
      </c>
      <c r="B1152">
        <v>26</v>
      </c>
      <c r="C1152" t="s">
        <v>126</v>
      </c>
      <c r="D1152" t="s">
        <v>741</v>
      </c>
      <c r="E1152" t="s">
        <v>126</v>
      </c>
      <c r="F1152">
        <v>0</v>
      </c>
      <c r="G1152" t="s">
        <v>126</v>
      </c>
      <c r="H1152" t="s">
        <v>126</v>
      </c>
      <c r="I1152" t="s">
        <v>126</v>
      </c>
      <c r="J1152" t="s">
        <v>126</v>
      </c>
      <c r="K1152" t="s">
        <v>126</v>
      </c>
      <c r="L1152" t="s">
        <v>126</v>
      </c>
      <c r="M1152" t="s">
        <v>1806</v>
      </c>
      <c r="N1152" t="b">
        <v>0</v>
      </c>
    </row>
    <row r="1153" spans="1:14">
      <c r="A1153">
        <v>69</v>
      </c>
      <c r="B1153">
        <v>0</v>
      </c>
      <c r="C1153" t="s">
        <v>244</v>
      </c>
      <c r="D1153" t="s">
        <v>724</v>
      </c>
      <c r="E1153" t="s">
        <v>60</v>
      </c>
      <c r="F1153">
        <v>40</v>
      </c>
      <c r="G1153" t="s">
        <v>126</v>
      </c>
      <c r="H1153" t="s">
        <v>126</v>
      </c>
      <c r="I1153" t="s">
        <v>60</v>
      </c>
      <c r="J1153" t="s">
        <v>126</v>
      </c>
      <c r="K1153" t="s">
        <v>126</v>
      </c>
      <c r="L1153" t="s">
        <v>126</v>
      </c>
      <c r="M1153" t="s">
        <v>1807</v>
      </c>
      <c r="N1153" t="b">
        <v>0</v>
      </c>
    </row>
    <row r="1154" spans="1:14">
      <c r="A1154">
        <v>69</v>
      </c>
      <c r="B1154">
        <v>1</v>
      </c>
      <c r="C1154" t="s">
        <v>164</v>
      </c>
      <c r="D1154" t="s">
        <v>724</v>
      </c>
      <c r="E1154" t="s">
        <v>67</v>
      </c>
      <c r="F1154">
        <v>40</v>
      </c>
      <c r="G1154" t="s">
        <v>126</v>
      </c>
      <c r="H1154" t="s">
        <v>126</v>
      </c>
      <c r="I1154" t="s">
        <v>67</v>
      </c>
      <c r="J1154" t="s">
        <v>126</v>
      </c>
      <c r="K1154" t="s">
        <v>126</v>
      </c>
      <c r="L1154" t="s">
        <v>126</v>
      </c>
      <c r="M1154" t="s">
        <v>1808</v>
      </c>
      <c r="N1154" t="b">
        <v>0</v>
      </c>
    </row>
    <row r="1155" spans="1:14">
      <c r="A1155">
        <v>69</v>
      </c>
      <c r="B1155">
        <v>2</v>
      </c>
      <c r="C1155" t="s">
        <v>329</v>
      </c>
      <c r="D1155" t="s">
        <v>724</v>
      </c>
      <c r="E1155" t="s">
        <v>77</v>
      </c>
      <c r="F1155">
        <v>40</v>
      </c>
      <c r="G1155" t="s">
        <v>126</v>
      </c>
      <c r="H1155" t="s">
        <v>126</v>
      </c>
      <c r="I1155" t="s">
        <v>77</v>
      </c>
      <c r="J1155" t="s">
        <v>126</v>
      </c>
      <c r="K1155" t="s">
        <v>126</v>
      </c>
      <c r="L1155" t="s">
        <v>126</v>
      </c>
      <c r="M1155" t="s">
        <v>1809</v>
      </c>
      <c r="N1155" t="b">
        <v>0</v>
      </c>
    </row>
    <row r="1156" spans="1:14">
      <c r="A1156">
        <v>69</v>
      </c>
      <c r="B1156">
        <v>3</v>
      </c>
      <c r="C1156" t="s">
        <v>245</v>
      </c>
      <c r="D1156" t="s">
        <v>724</v>
      </c>
      <c r="E1156" t="s">
        <v>83</v>
      </c>
      <c r="F1156">
        <v>60</v>
      </c>
      <c r="G1156" t="s">
        <v>126</v>
      </c>
      <c r="H1156" t="s">
        <v>126</v>
      </c>
      <c r="I1156" t="s">
        <v>83</v>
      </c>
      <c r="J1156" t="s">
        <v>126</v>
      </c>
      <c r="K1156" t="s">
        <v>126</v>
      </c>
      <c r="L1156" t="s">
        <v>126</v>
      </c>
      <c r="M1156" t="s">
        <v>1810</v>
      </c>
      <c r="N1156" t="b">
        <v>0</v>
      </c>
    </row>
    <row r="1157" spans="1:14">
      <c r="A1157">
        <v>69</v>
      </c>
      <c r="B1157">
        <v>4</v>
      </c>
      <c r="C1157" t="s">
        <v>408</v>
      </c>
      <c r="D1157" t="s">
        <v>724</v>
      </c>
      <c r="E1157" t="s">
        <v>96</v>
      </c>
      <c r="F1157">
        <v>40</v>
      </c>
      <c r="G1157" t="s">
        <v>126</v>
      </c>
      <c r="H1157" t="s">
        <v>126</v>
      </c>
      <c r="I1157" t="s">
        <v>96</v>
      </c>
      <c r="J1157" t="s">
        <v>126</v>
      </c>
      <c r="K1157" t="s">
        <v>126</v>
      </c>
      <c r="L1157" t="s">
        <v>126</v>
      </c>
      <c r="M1157" t="s">
        <v>1811</v>
      </c>
      <c r="N1157" t="b">
        <v>0</v>
      </c>
    </row>
    <row r="1158" spans="1:14">
      <c r="A1158">
        <v>69</v>
      </c>
      <c r="B1158">
        <v>5</v>
      </c>
      <c r="C1158" t="s">
        <v>229</v>
      </c>
      <c r="D1158" t="s">
        <v>724</v>
      </c>
      <c r="E1158" t="s">
        <v>101</v>
      </c>
      <c r="F1158">
        <v>40</v>
      </c>
      <c r="G1158" t="s">
        <v>126</v>
      </c>
      <c r="H1158" t="s">
        <v>126</v>
      </c>
      <c r="I1158" t="s">
        <v>101</v>
      </c>
      <c r="J1158" t="s">
        <v>126</v>
      </c>
      <c r="K1158" t="s">
        <v>126</v>
      </c>
      <c r="L1158" t="s">
        <v>126</v>
      </c>
      <c r="M1158" t="s">
        <v>1812</v>
      </c>
      <c r="N1158" t="b">
        <v>0</v>
      </c>
    </row>
    <row r="1159" spans="1:14">
      <c r="A1159">
        <v>69</v>
      </c>
      <c r="B1159">
        <v>6</v>
      </c>
      <c r="C1159" t="s">
        <v>159</v>
      </c>
      <c r="D1159" t="s">
        <v>753</v>
      </c>
      <c r="E1159" t="s">
        <v>297</v>
      </c>
      <c r="F1159">
        <v>50</v>
      </c>
      <c r="G1159" t="s">
        <v>760</v>
      </c>
      <c r="H1159" t="s">
        <v>126</v>
      </c>
      <c r="I1159" t="s">
        <v>126</v>
      </c>
      <c r="J1159" t="s">
        <v>761</v>
      </c>
      <c r="K1159" t="s">
        <v>762</v>
      </c>
      <c r="L1159" t="s">
        <v>763</v>
      </c>
      <c r="M1159" t="s">
        <v>1813</v>
      </c>
      <c r="N1159" t="b">
        <v>0</v>
      </c>
    </row>
    <row r="1160" spans="1:14">
      <c r="A1160">
        <v>69</v>
      </c>
      <c r="B1160">
        <v>7</v>
      </c>
      <c r="C1160" t="s">
        <v>159</v>
      </c>
      <c r="D1160" t="s">
        <v>753</v>
      </c>
      <c r="E1160" t="s">
        <v>297</v>
      </c>
      <c r="F1160">
        <v>50</v>
      </c>
      <c r="G1160" t="s">
        <v>760</v>
      </c>
      <c r="H1160" t="s">
        <v>126</v>
      </c>
      <c r="I1160" t="s">
        <v>126</v>
      </c>
      <c r="J1160" t="s">
        <v>761</v>
      </c>
      <c r="K1160" t="s">
        <v>765</v>
      </c>
      <c r="L1160" t="s">
        <v>766</v>
      </c>
      <c r="M1160" t="s">
        <v>1814</v>
      </c>
      <c r="N1160" t="b">
        <v>0</v>
      </c>
    </row>
    <row r="1161" spans="1:14">
      <c r="A1161">
        <v>69</v>
      </c>
      <c r="B1161">
        <v>8</v>
      </c>
      <c r="C1161" t="s">
        <v>160</v>
      </c>
      <c r="D1161" t="s">
        <v>753</v>
      </c>
      <c r="E1161" t="s">
        <v>297</v>
      </c>
      <c r="F1161">
        <v>40</v>
      </c>
      <c r="G1161" t="s">
        <v>760</v>
      </c>
      <c r="H1161" t="s">
        <v>126</v>
      </c>
      <c r="I1161" t="s">
        <v>126</v>
      </c>
      <c r="J1161" t="s">
        <v>761</v>
      </c>
      <c r="K1161" t="s">
        <v>1001</v>
      </c>
      <c r="L1161" t="s">
        <v>1002</v>
      </c>
      <c r="M1161" t="s">
        <v>1815</v>
      </c>
      <c r="N1161" t="b">
        <v>0</v>
      </c>
    </row>
    <row r="1162" spans="1:14">
      <c r="A1162">
        <v>69</v>
      </c>
      <c r="B1162">
        <v>9</v>
      </c>
      <c r="C1162" t="s">
        <v>246</v>
      </c>
      <c r="D1162" t="s">
        <v>724</v>
      </c>
      <c r="E1162" t="s">
        <v>114</v>
      </c>
      <c r="F1162">
        <v>40</v>
      </c>
      <c r="G1162" t="s">
        <v>126</v>
      </c>
      <c r="H1162" t="s">
        <v>126</v>
      </c>
      <c r="I1162" t="s">
        <v>114</v>
      </c>
      <c r="J1162" t="s">
        <v>126</v>
      </c>
      <c r="K1162" t="s">
        <v>126</v>
      </c>
      <c r="L1162" t="s">
        <v>126</v>
      </c>
      <c r="M1162" t="s">
        <v>1816</v>
      </c>
      <c r="N1162" t="b">
        <v>0</v>
      </c>
    </row>
    <row r="1163" spans="1:14">
      <c r="A1163">
        <v>69</v>
      </c>
      <c r="B1163">
        <v>10</v>
      </c>
      <c r="C1163" t="s">
        <v>166</v>
      </c>
      <c r="D1163" t="s">
        <v>724</v>
      </c>
      <c r="E1163" t="s">
        <v>115</v>
      </c>
      <c r="F1163">
        <v>50</v>
      </c>
      <c r="G1163" t="s">
        <v>126</v>
      </c>
      <c r="H1163" t="s">
        <v>126</v>
      </c>
      <c r="I1163" t="s">
        <v>115</v>
      </c>
      <c r="J1163" t="s">
        <v>126</v>
      </c>
      <c r="K1163" t="s">
        <v>126</v>
      </c>
      <c r="L1163" t="s">
        <v>126</v>
      </c>
      <c r="M1163" t="s">
        <v>1817</v>
      </c>
      <c r="N1163" t="b">
        <v>0</v>
      </c>
    </row>
    <row r="1164" spans="1:14">
      <c r="A1164">
        <v>69</v>
      </c>
      <c r="B1164">
        <v>11</v>
      </c>
      <c r="C1164" t="s">
        <v>182</v>
      </c>
      <c r="D1164" t="s">
        <v>724</v>
      </c>
      <c r="E1164" t="s">
        <v>61</v>
      </c>
      <c r="F1164">
        <v>40</v>
      </c>
      <c r="G1164" t="s">
        <v>126</v>
      </c>
      <c r="H1164" t="s">
        <v>126</v>
      </c>
      <c r="I1164" t="s">
        <v>61</v>
      </c>
      <c r="J1164" t="s">
        <v>126</v>
      </c>
      <c r="K1164" t="s">
        <v>126</v>
      </c>
      <c r="L1164" t="s">
        <v>126</v>
      </c>
      <c r="M1164" t="s">
        <v>1818</v>
      </c>
      <c r="N1164" t="b">
        <v>0</v>
      </c>
    </row>
    <row r="1165" spans="1:14">
      <c r="A1165">
        <v>69</v>
      </c>
      <c r="B1165">
        <v>12</v>
      </c>
      <c r="C1165" t="s">
        <v>193</v>
      </c>
      <c r="D1165" t="s">
        <v>724</v>
      </c>
      <c r="E1165" t="s">
        <v>78</v>
      </c>
      <c r="F1165">
        <v>50</v>
      </c>
      <c r="G1165" t="s">
        <v>126</v>
      </c>
      <c r="H1165" t="s">
        <v>126</v>
      </c>
      <c r="I1165" t="s">
        <v>78</v>
      </c>
      <c r="J1165" t="s">
        <v>126</v>
      </c>
      <c r="K1165" t="s">
        <v>126</v>
      </c>
      <c r="L1165" t="s">
        <v>126</v>
      </c>
      <c r="M1165" t="s">
        <v>1819</v>
      </c>
      <c r="N1165" t="b">
        <v>0</v>
      </c>
    </row>
    <row r="1166" spans="1:14">
      <c r="A1166">
        <v>69</v>
      </c>
      <c r="B1166">
        <v>13</v>
      </c>
      <c r="C1166" t="s">
        <v>222</v>
      </c>
      <c r="D1166" t="s">
        <v>724</v>
      </c>
      <c r="E1166" t="s">
        <v>102</v>
      </c>
      <c r="F1166">
        <v>50</v>
      </c>
      <c r="G1166" t="s">
        <v>126</v>
      </c>
      <c r="H1166" t="s">
        <v>126</v>
      </c>
      <c r="I1166" t="s">
        <v>102</v>
      </c>
      <c r="J1166" t="s">
        <v>126</v>
      </c>
      <c r="K1166" t="s">
        <v>126</v>
      </c>
      <c r="L1166" t="s">
        <v>126</v>
      </c>
      <c r="M1166" t="s">
        <v>1820</v>
      </c>
      <c r="N1166" t="b">
        <v>0</v>
      </c>
    </row>
    <row r="1167" spans="1:14">
      <c r="A1167">
        <v>69</v>
      </c>
      <c r="B1167">
        <v>14</v>
      </c>
      <c r="C1167" t="s">
        <v>195</v>
      </c>
      <c r="D1167" t="s">
        <v>724</v>
      </c>
      <c r="E1167" t="s">
        <v>108</v>
      </c>
      <c r="F1167">
        <v>60</v>
      </c>
      <c r="G1167" t="s">
        <v>126</v>
      </c>
      <c r="H1167" t="s">
        <v>126</v>
      </c>
      <c r="I1167" t="s">
        <v>108</v>
      </c>
      <c r="J1167" t="s">
        <v>126</v>
      </c>
      <c r="K1167" t="s">
        <v>126</v>
      </c>
      <c r="L1167" t="s">
        <v>126</v>
      </c>
      <c r="M1167" t="s">
        <v>1821</v>
      </c>
      <c r="N1167" t="b">
        <v>0</v>
      </c>
    </row>
    <row r="1168" spans="1:14">
      <c r="A1168">
        <v>69</v>
      </c>
      <c r="B1168">
        <v>15</v>
      </c>
      <c r="C1168" t="s">
        <v>126</v>
      </c>
      <c r="D1168" t="s">
        <v>724</v>
      </c>
      <c r="E1168" t="s">
        <v>126</v>
      </c>
      <c r="F1168">
        <v>0</v>
      </c>
      <c r="G1168" t="s">
        <v>126</v>
      </c>
      <c r="H1168" t="s">
        <v>126</v>
      </c>
      <c r="I1168" t="s">
        <v>126</v>
      </c>
      <c r="J1168" t="s">
        <v>126</v>
      </c>
      <c r="K1168" t="s">
        <v>126</v>
      </c>
      <c r="L1168" t="s">
        <v>126</v>
      </c>
      <c r="M1168" t="s">
        <v>1822</v>
      </c>
      <c r="N1168" t="b">
        <v>0</v>
      </c>
    </row>
    <row r="1169" spans="1:14">
      <c r="A1169">
        <v>69</v>
      </c>
      <c r="B1169">
        <v>16</v>
      </c>
      <c r="C1169" t="s">
        <v>126</v>
      </c>
      <c r="D1169" t="s">
        <v>741</v>
      </c>
      <c r="E1169" t="s">
        <v>126</v>
      </c>
      <c r="F1169">
        <v>0</v>
      </c>
      <c r="G1169" t="s">
        <v>126</v>
      </c>
      <c r="H1169" t="s">
        <v>126</v>
      </c>
      <c r="I1169" t="s">
        <v>126</v>
      </c>
      <c r="J1169" t="s">
        <v>126</v>
      </c>
      <c r="K1169" t="s">
        <v>126</v>
      </c>
      <c r="L1169" t="s">
        <v>126</v>
      </c>
      <c r="M1169" t="s">
        <v>1823</v>
      </c>
      <c r="N1169" t="b">
        <v>0</v>
      </c>
    </row>
    <row r="1170" spans="1:14">
      <c r="A1170">
        <v>69</v>
      </c>
      <c r="B1170">
        <v>17</v>
      </c>
      <c r="C1170" t="s">
        <v>126</v>
      </c>
      <c r="D1170" t="s">
        <v>741</v>
      </c>
      <c r="E1170" t="s">
        <v>126</v>
      </c>
      <c r="F1170">
        <v>0</v>
      </c>
      <c r="G1170" t="s">
        <v>126</v>
      </c>
      <c r="H1170" t="s">
        <v>126</v>
      </c>
      <c r="I1170" t="s">
        <v>126</v>
      </c>
      <c r="J1170" t="s">
        <v>126</v>
      </c>
      <c r="K1170" t="s">
        <v>126</v>
      </c>
      <c r="L1170" t="s">
        <v>126</v>
      </c>
      <c r="M1170" t="s">
        <v>1824</v>
      </c>
      <c r="N1170" t="b">
        <v>0</v>
      </c>
    </row>
    <row r="1171" spans="1:14">
      <c r="A1171">
        <v>69</v>
      </c>
      <c r="B1171">
        <v>18</v>
      </c>
      <c r="C1171" t="s">
        <v>126</v>
      </c>
      <c r="D1171" t="s">
        <v>741</v>
      </c>
      <c r="E1171" t="s">
        <v>126</v>
      </c>
      <c r="F1171">
        <v>0</v>
      </c>
      <c r="G1171" t="s">
        <v>126</v>
      </c>
      <c r="H1171" t="s">
        <v>126</v>
      </c>
      <c r="I1171" t="s">
        <v>126</v>
      </c>
      <c r="J1171" t="s">
        <v>126</v>
      </c>
      <c r="K1171" t="s">
        <v>126</v>
      </c>
      <c r="L1171" t="s">
        <v>126</v>
      </c>
      <c r="M1171" t="s">
        <v>1825</v>
      </c>
      <c r="N1171" t="b">
        <v>0</v>
      </c>
    </row>
    <row r="1172" spans="1:14">
      <c r="A1172">
        <v>69</v>
      </c>
      <c r="B1172">
        <v>19</v>
      </c>
      <c r="C1172" t="s">
        <v>126</v>
      </c>
      <c r="D1172" t="s">
        <v>741</v>
      </c>
      <c r="E1172" t="s">
        <v>126</v>
      </c>
      <c r="F1172">
        <v>0</v>
      </c>
      <c r="G1172" t="s">
        <v>126</v>
      </c>
      <c r="H1172" t="s">
        <v>126</v>
      </c>
      <c r="I1172" t="s">
        <v>126</v>
      </c>
      <c r="J1172" t="s">
        <v>126</v>
      </c>
      <c r="K1172" t="s">
        <v>126</v>
      </c>
      <c r="L1172" t="s">
        <v>126</v>
      </c>
      <c r="M1172" t="s">
        <v>1826</v>
      </c>
      <c r="N1172" t="b">
        <v>0</v>
      </c>
    </row>
    <row r="1173" spans="1:14">
      <c r="A1173">
        <v>69</v>
      </c>
      <c r="B1173">
        <v>20</v>
      </c>
      <c r="C1173" t="s">
        <v>126</v>
      </c>
      <c r="D1173" t="s">
        <v>741</v>
      </c>
      <c r="E1173" t="s">
        <v>126</v>
      </c>
      <c r="F1173">
        <v>0</v>
      </c>
      <c r="G1173" t="s">
        <v>126</v>
      </c>
      <c r="H1173" t="s">
        <v>126</v>
      </c>
      <c r="I1173" t="s">
        <v>126</v>
      </c>
      <c r="J1173" t="s">
        <v>126</v>
      </c>
      <c r="K1173" t="s">
        <v>126</v>
      </c>
      <c r="L1173" t="s">
        <v>126</v>
      </c>
      <c r="M1173" t="s">
        <v>1827</v>
      </c>
      <c r="N1173" t="b">
        <v>0</v>
      </c>
    </row>
    <row r="1174" spans="1:14">
      <c r="A1174">
        <v>69</v>
      </c>
      <c r="B1174">
        <v>21</v>
      </c>
      <c r="C1174" t="s">
        <v>126</v>
      </c>
      <c r="D1174" t="s">
        <v>741</v>
      </c>
      <c r="E1174" t="s">
        <v>126</v>
      </c>
      <c r="F1174">
        <v>0</v>
      </c>
      <c r="G1174" t="s">
        <v>126</v>
      </c>
      <c r="H1174" t="s">
        <v>126</v>
      </c>
      <c r="I1174" t="s">
        <v>126</v>
      </c>
      <c r="J1174" t="s">
        <v>126</v>
      </c>
      <c r="K1174" t="s">
        <v>126</v>
      </c>
      <c r="L1174" t="s">
        <v>126</v>
      </c>
      <c r="M1174" t="s">
        <v>1828</v>
      </c>
      <c r="N1174" t="b">
        <v>0</v>
      </c>
    </row>
    <row r="1175" spans="1:14">
      <c r="A1175">
        <v>69</v>
      </c>
      <c r="B1175">
        <v>22</v>
      </c>
      <c r="C1175" t="s">
        <v>126</v>
      </c>
      <c r="D1175" t="s">
        <v>741</v>
      </c>
      <c r="E1175" t="s">
        <v>126</v>
      </c>
      <c r="F1175">
        <v>0</v>
      </c>
      <c r="G1175" t="s">
        <v>126</v>
      </c>
      <c r="H1175" t="s">
        <v>126</v>
      </c>
      <c r="I1175" t="s">
        <v>126</v>
      </c>
      <c r="J1175" t="s">
        <v>126</v>
      </c>
      <c r="K1175" t="s">
        <v>126</v>
      </c>
      <c r="L1175" t="s">
        <v>126</v>
      </c>
      <c r="M1175" t="s">
        <v>1829</v>
      </c>
      <c r="N1175" t="b">
        <v>0</v>
      </c>
    </row>
    <row r="1176" spans="1:14">
      <c r="A1176">
        <v>69</v>
      </c>
      <c r="B1176">
        <v>23</v>
      </c>
      <c r="C1176" t="s">
        <v>126</v>
      </c>
      <c r="D1176" t="s">
        <v>741</v>
      </c>
      <c r="E1176" t="s">
        <v>126</v>
      </c>
      <c r="F1176">
        <v>0</v>
      </c>
      <c r="G1176" t="s">
        <v>126</v>
      </c>
      <c r="H1176" t="s">
        <v>126</v>
      </c>
      <c r="I1176" t="s">
        <v>126</v>
      </c>
      <c r="J1176" t="s">
        <v>126</v>
      </c>
      <c r="K1176" t="s">
        <v>126</v>
      </c>
      <c r="L1176" t="s">
        <v>126</v>
      </c>
      <c r="M1176" t="s">
        <v>1830</v>
      </c>
      <c r="N1176" t="b">
        <v>0</v>
      </c>
    </row>
    <row r="1177" spans="1:14">
      <c r="A1177">
        <v>69</v>
      </c>
      <c r="B1177">
        <v>24</v>
      </c>
      <c r="C1177" t="s">
        <v>126</v>
      </c>
      <c r="D1177" t="s">
        <v>741</v>
      </c>
      <c r="E1177" t="s">
        <v>126</v>
      </c>
      <c r="F1177">
        <v>0</v>
      </c>
      <c r="G1177" t="s">
        <v>126</v>
      </c>
      <c r="H1177" t="s">
        <v>126</v>
      </c>
      <c r="I1177" t="s">
        <v>126</v>
      </c>
      <c r="J1177" t="s">
        <v>126</v>
      </c>
      <c r="K1177" t="s">
        <v>126</v>
      </c>
      <c r="L1177" t="s">
        <v>126</v>
      </c>
      <c r="M1177" t="s">
        <v>1831</v>
      </c>
      <c r="N1177" t="b">
        <v>0</v>
      </c>
    </row>
    <row r="1178" spans="1:14">
      <c r="A1178">
        <v>69</v>
      </c>
      <c r="B1178">
        <v>25</v>
      </c>
      <c r="C1178" t="s">
        <v>126</v>
      </c>
      <c r="D1178" t="s">
        <v>741</v>
      </c>
      <c r="E1178" t="s">
        <v>126</v>
      </c>
      <c r="F1178">
        <v>0</v>
      </c>
      <c r="G1178" t="s">
        <v>126</v>
      </c>
      <c r="H1178" t="s">
        <v>126</v>
      </c>
      <c r="I1178" t="s">
        <v>126</v>
      </c>
      <c r="J1178" t="s">
        <v>126</v>
      </c>
      <c r="K1178" t="s">
        <v>126</v>
      </c>
      <c r="L1178" t="s">
        <v>126</v>
      </c>
      <c r="M1178" t="s">
        <v>1832</v>
      </c>
      <c r="N1178" t="b">
        <v>0</v>
      </c>
    </row>
    <row r="1179" spans="1:14">
      <c r="A1179">
        <v>69</v>
      </c>
      <c r="B1179">
        <v>26</v>
      </c>
      <c r="C1179" t="s">
        <v>126</v>
      </c>
      <c r="D1179" t="s">
        <v>741</v>
      </c>
      <c r="E1179" t="s">
        <v>126</v>
      </c>
      <c r="F1179">
        <v>0</v>
      </c>
      <c r="G1179" t="s">
        <v>126</v>
      </c>
      <c r="H1179" t="s">
        <v>126</v>
      </c>
      <c r="I1179" t="s">
        <v>126</v>
      </c>
      <c r="J1179" t="s">
        <v>126</v>
      </c>
      <c r="K1179" t="s">
        <v>126</v>
      </c>
      <c r="L1179" t="s">
        <v>126</v>
      </c>
      <c r="M1179" t="s">
        <v>1833</v>
      </c>
      <c r="N1179" t="b">
        <v>0</v>
      </c>
    </row>
    <row r="1180" spans="1:14">
      <c r="A1180">
        <v>80</v>
      </c>
      <c r="B1180">
        <v>0</v>
      </c>
      <c r="C1180" t="s">
        <v>186</v>
      </c>
      <c r="D1180" t="s">
        <v>724</v>
      </c>
      <c r="E1180" t="s">
        <v>65</v>
      </c>
      <c r="F1180">
        <v>50</v>
      </c>
      <c r="G1180" t="s">
        <v>126</v>
      </c>
      <c r="H1180" t="s">
        <v>126</v>
      </c>
      <c r="I1180" t="s">
        <v>65</v>
      </c>
      <c r="J1180" t="s">
        <v>126</v>
      </c>
      <c r="K1180" t="s">
        <v>126</v>
      </c>
      <c r="L1180" t="s">
        <v>126</v>
      </c>
      <c r="M1180" t="s">
        <v>1834</v>
      </c>
      <c r="N1180" t="b">
        <v>0</v>
      </c>
    </row>
    <row r="1181" spans="1:14">
      <c r="A1181">
        <v>80</v>
      </c>
      <c r="B1181">
        <v>1</v>
      </c>
      <c r="C1181" t="s">
        <v>158</v>
      </c>
      <c r="D1181" t="s">
        <v>724</v>
      </c>
      <c r="E1181" t="s">
        <v>83</v>
      </c>
      <c r="F1181">
        <v>40</v>
      </c>
      <c r="G1181" t="s">
        <v>126</v>
      </c>
      <c r="H1181" t="s">
        <v>126</v>
      </c>
      <c r="I1181" t="s">
        <v>83</v>
      </c>
      <c r="J1181" t="s">
        <v>126</v>
      </c>
      <c r="K1181" t="s">
        <v>126</v>
      </c>
      <c r="L1181" t="s">
        <v>126</v>
      </c>
      <c r="M1181" t="s">
        <v>1835</v>
      </c>
      <c r="N1181" t="b">
        <v>0</v>
      </c>
    </row>
    <row r="1182" spans="1:14">
      <c r="A1182">
        <v>80</v>
      </c>
      <c r="B1182">
        <v>2</v>
      </c>
      <c r="C1182" t="s">
        <v>187</v>
      </c>
      <c r="D1182" t="s">
        <v>724</v>
      </c>
      <c r="E1182" t="s">
        <v>93</v>
      </c>
      <c r="F1182">
        <v>50</v>
      </c>
      <c r="G1182" t="s">
        <v>126</v>
      </c>
      <c r="H1182" t="s">
        <v>126</v>
      </c>
      <c r="I1182" t="s">
        <v>93</v>
      </c>
      <c r="J1182" t="s">
        <v>126</v>
      </c>
      <c r="K1182" t="s">
        <v>126</v>
      </c>
      <c r="L1182" t="s">
        <v>126</v>
      </c>
      <c r="M1182" t="s">
        <v>1836</v>
      </c>
      <c r="N1182" t="b">
        <v>0</v>
      </c>
    </row>
    <row r="1183" spans="1:14">
      <c r="A1183">
        <v>80</v>
      </c>
      <c r="B1183">
        <v>3</v>
      </c>
      <c r="C1183" t="s">
        <v>251</v>
      </c>
      <c r="D1183" t="s">
        <v>724</v>
      </c>
      <c r="E1183" t="s">
        <v>99</v>
      </c>
      <c r="F1183">
        <v>40</v>
      </c>
      <c r="G1183" t="s">
        <v>126</v>
      </c>
      <c r="H1183" t="s">
        <v>126</v>
      </c>
      <c r="I1183" t="s">
        <v>99</v>
      </c>
      <c r="J1183" t="s">
        <v>126</v>
      </c>
      <c r="K1183" t="s">
        <v>126</v>
      </c>
      <c r="L1183" t="s">
        <v>126</v>
      </c>
      <c r="M1183" t="s">
        <v>1837</v>
      </c>
      <c r="N1183" t="b">
        <v>0</v>
      </c>
    </row>
    <row r="1184" spans="1:14">
      <c r="A1184">
        <v>80</v>
      </c>
      <c r="B1184">
        <v>4</v>
      </c>
      <c r="C1184" t="s">
        <v>229</v>
      </c>
      <c r="D1184" t="s">
        <v>724</v>
      </c>
      <c r="E1184" t="s">
        <v>101</v>
      </c>
      <c r="F1184">
        <v>40</v>
      </c>
      <c r="G1184" t="s">
        <v>126</v>
      </c>
      <c r="H1184" t="s">
        <v>126</v>
      </c>
      <c r="I1184" t="s">
        <v>101</v>
      </c>
      <c r="J1184" t="s">
        <v>126</v>
      </c>
      <c r="K1184" t="s">
        <v>126</v>
      </c>
      <c r="L1184" t="s">
        <v>126</v>
      </c>
      <c r="M1184" t="s">
        <v>1838</v>
      </c>
      <c r="N1184" t="b">
        <v>0</v>
      </c>
    </row>
    <row r="1185" spans="1:14">
      <c r="A1185">
        <v>80</v>
      </c>
      <c r="B1185">
        <v>5</v>
      </c>
      <c r="C1185" t="s">
        <v>212</v>
      </c>
      <c r="D1185" t="s">
        <v>724</v>
      </c>
      <c r="E1185" t="s">
        <v>109</v>
      </c>
      <c r="F1185">
        <v>40</v>
      </c>
      <c r="G1185" t="s">
        <v>126</v>
      </c>
      <c r="H1185" t="s">
        <v>126</v>
      </c>
      <c r="I1185" t="s">
        <v>109</v>
      </c>
      <c r="J1185" t="s">
        <v>126</v>
      </c>
      <c r="K1185" t="s">
        <v>126</v>
      </c>
      <c r="L1185" t="s">
        <v>126</v>
      </c>
      <c r="M1185" t="s">
        <v>1839</v>
      </c>
      <c r="N1185" t="b">
        <v>0</v>
      </c>
    </row>
    <row r="1186" spans="1:14">
      <c r="A1186">
        <v>80</v>
      </c>
      <c r="B1186">
        <v>6</v>
      </c>
      <c r="C1186" t="s">
        <v>166</v>
      </c>
      <c r="D1186" t="s">
        <v>724</v>
      </c>
      <c r="E1186" t="s">
        <v>115</v>
      </c>
      <c r="F1186">
        <v>50</v>
      </c>
      <c r="G1186" t="s">
        <v>126</v>
      </c>
      <c r="H1186" t="s">
        <v>126</v>
      </c>
      <c r="I1186" t="s">
        <v>115</v>
      </c>
      <c r="J1186" t="s">
        <v>126</v>
      </c>
      <c r="K1186" t="s">
        <v>126</v>
      </c>
      <c r="L1186" t="s">
        <v>126</v>
      </c>
      <c r="M1186" t="s">
        <v>1840</v>
      </c>
      <c r="N1186" t="b">
        <v>0</v>
      </c>
    </row>
    <row r="1187" spans="1:14">
      <c r="A1187">
        <v>80</v>
      </c>
      <c r="B1187">
        <v>7</v>
      </c>
      <c r="C1187" t="s">
        <v>192</v>
      </c>
      <c r="D1187" t="s">
        <v>724</v>
      </c>
      <c r="E1187" t="s">
        <v>61</v>
      </c>
      <c r="F1187">
        <v>30</v>
      </c>
      <c r="G1187" t="s">
        <v>126</v>
      </c>
      <c r="H1187" t="s">
        <v>126</v>
      </c>
      <c r="I1187" t="s">
        <v>61</v>
      </c>
      <c r="J1187" t="s">
        <v>126</v>
      </c>
      <c r="K1187" t="s">
        <v>126</v>
      </c>
      <c r="L1187" t="s">
        <v>126</v>
      </c>
      <c r="M1187" t="s">
        <v>1841</v>
      </c>
      <c r="N1187" t="b">
        <v>0</v>
      </c>
    </row>
    <row r="1188" spans="1:14">
      <c r="A1188">
        <v>80</v>
      </c>
      <c r="B1188">
        <v>8</v>
      </c>
      <c r="C1188" t="s">
        <v>193</v>
      </c>
      <c r="D1188" t="s">
        <v>724</v>
      </c>
      <c r="E1188" t="s">
        <v>78</v>
      </c>
      <c r="F1188">
        <v>50</v>
      </c>
      <c r="G1188" t="s">
        <v>126</v>
      </c>
      <c r="H1188" t="s">
        <v>126</v>
      </c>
      <c r="I1188" t="s">
        <v>78</v>
      </c>
      <c r="J1188" t="s">
        <v>126</v>
      </c>
      <c r="K1188" t="s">
        <v>126</v>
      </c>
      <c r="L1188" t="s">
        <v>126</v>
      </c>
      <c r="M1188" t="s">
        <v>1842</v>
      </c>
      <c r="N1188" t="b">
        <v>0</v>
      </c>
    </row>
    <row r="1189" spans="1:14">
      <c r="A1189">
        <v>80</v>
      </c>
      <c r="B1189">
        <v>9</v>
      </c>
      <c r="C1189" t="s">
        <v>428</v>
      </c>
      <c r="D1189" t="s">
        <v>753</v>
      </c>
      <c r="E1189" t="s">
        <v>545</v>
      </c>
      <c r="F1189">
        <v>40</v>
      </c>
      <c r="G1189" t="s">
        <v>1669</v>
      </c>
      <c r="H1189" t="s">
        <v>126</v>
      </c>
      <c r="I1189" t="s">
        <v>126</v>
      </c>
      <c r="J1189" t="s">
        <v>1843</v>
      </c>
      <c r="K1189" t="s">
        <v>801</v>
      </c>
      <c r="L1189" t="s">
        <v>802</v>
      </c>
      <c r="M1189" t="s">
        <v>1844</v>
      </c>
      <c r="N1189" t="b">
        <v>0</v>
      </c>
    </row>
    <row r="1190" spans="1:14">
      <c r="A1190">
        <v>80</v>
      </c>
      <c r="B1190">
        <v>10</v>
      </c>
      <c r="C1190" t="s">
        <v>194</v>
      </c>
      <c r="D1190" t="s">
        <v>724</v>
      </c>
      <c r="E1190" t="s">
        <v>98</v>
      </c>
      <c r="F1190">
        <v>50</v>
      </c>
      <c r="G1190" t="s">
        <v>126</v>
      </c>
      <c r="H1190" t="s">
        <v>126</v>
      </c>
      <c r="I1190" t="s">
        <v>98</v>
      </c>
      <c r="J1190" t="s">
        <v>126</v>
      </c>
      <c r="K1190" t="s">
        <v>126</v>
      </c>
      <c r="L1190" t="s">
        <v>126</v>
      </c>
      <c r="M1190" t="s">
        <v>1845</v>
      </c>
      <c r="N1190" t="b">
        <v>0</v>
      </c>
    </row>
    <row r="1191" spans="1:14">
      <c r="A1191">
        <v>80</v>
      </c>
      <c r="B1191">
        <v>11</v>
      </c>
      <c r="C1191" t="s">
        <v>126</v>
      </c>
      <c r="D1191" t="s">
        <v>724</v>
      </c>
      <c r="E1191" t="s">
        <v>126</v>
      </c>
      <c r="F1191">
        <v>0</v>
      </c>
      <c r="G1191" t="s">
        <v>126</v>
      </c>
      <c r="H1191" t="s">
        <v>126</v>
      </c>
      <c r="I1191" t="s">
        <v>126</v>
      </c>
      <c r="J1191" t="s">
        <v>126</v>
      </c>
      <c r="K1191" t="s">
        <v>126</v>
      </c>
      <c r="L1191" t="s">
        <v>126</v>
      </c>
      <c r="M1191" t="s">
        <v>1846</v>
      </c>
      <c r="N1191" t="b">
        <v>0</v>
      </c>
    </row>
    <row r="1192" spans="1:14">
      <c r="A1192">
        <v>80</v>
      </c>
      <c r="B1192">
        <v>12</v>
      </c>
      <c r="C1192" t="s">
        <v>126</v>
      </c>
      <c r="D1192" t="s">
        <v>724</v>
      </c>
      <c r="E1192" t="s">
        <v>126</v>
      </c>
      <c r="F1192">
        <v>0</v>
      </c>
      <c r="G1192" t="s">
        <v>126</v>
      </c>
      <c r="H1192" t="s">
        <v>126</v>
      </c>
      <c r="I1192" t="s">
        <v>126</v>
      </c>
      <c r="J1192" t="s">
        <v>126</v>
      </c>
      <c r="K1192" t="s">
        <v>126</v>
      </c>
      <c r="L1192" t="s">
        <v>126</v>
      </c>
      <c r="M1192" t="s">
        <v>1847</v>
      </c>
      <c r="N1192" t="b">
        <v>0</v>
      </c>
    </row>
    <row r="1193" spans="1:14">
      <c r="A1193">
        <v>80</v>
      </c>
      <c r="B1193">
        <v>13</v>
      </c>
      <c r="C1193" t="s">
        <v>126</v>
      </c>
      <c r="D1193" t="s">
        <v>724</v>
      </c>
      <c r="E1193" t="s">
        <v>126</v>
      </c>
      <c r="F1193">
        <v>0</v>
      </c>
      <c r="G1193" t="s">
        <v>126</v>
      </c>
      <c r="H1193" t="s">
        <v>126</v>
      </c>
      <c r="I1193" t="s">
        <v>126</v>
      </c>
      <c r="J1193" t="s">
        <v>126</v>
      </c>
      <c r="K1193" t="s">
        <v>126</v>
      </c>
      <c r="L1193" t="s">
        <v>126</v>
      </c>
      <c r="M1193" t="s">
        <v>1848</v>
      </c>
      <c r="N1193" t="b">
        <v>0</v>
      </c>
    </row>
    <row r="1194" spans="1:14">
      <c r="A1194">
        <v>80</v>
      </c>
      <c r="B1194">
        <v>14</v>
      </c>
      <c r="C1194" t="s">
        <v>126</v>
      </c>
      <c r="D1194" t="s">
        <v>724</v>
      </c>
      <c r="E1194" t="s">
        <v>126</v>
      </c>
      <c r="F1194">
        <v>0</v>
      </c>
      <c r="G1194" t="s">
        <v>126</v>
      </c>
      <c r="H1194" t="s">
        <v>126</v>
      </c>
      <c r="I1194" t="s">
        <v>126</v>
      </c>
      <c r="J1194" t="s">
        <v>126</v>
      </c>
      <c r="K1194" t="s">
        <v>126</v>
      </c>
      <c r="L1194" t="s">
        <v>126</v>
      </c>
      <c r="M1194" t="s">
        <v>1849</v>
      </c>
      <c r="N1194" t="b">
        <v>0</v>
      </c>
    </row>
    <row r="1195" spans="1:14">
      <c r="A1195">
        <v>80</v>
      </c>
      <c r="B1195">
        <v>15</v>
      </c>
      <c r="C1195" t="s">
        <v>126</v>
      </c>
      <c r="D1195" t="s">
        <v>724</v>
      </c>
      <c r="E1195" t="s">
        <v>126</v>
      </c>
      <c r="F1195">
        <v>0</v>
      </c>
      <c r="G1195" t="s">
        <v>126</v>
      </c>
      <c r="H1195" t="s">
        <v>126</v>
      </c>
      <c r="I1195" t="s">
        <v>126</v>
      </c>
      <c r="J1195" t="s">
        <v>126</v>
      </c>
      <c r="K1195" t="s">
        <v>126</v>
      </c>
      <c r="L1195" t="s">
        <v>126</v>
      </c>
      <c r="M1195" t="s">
        <v>1850</v>
      </c>
      <c r="N1195" t="b">
        <v>0</v>
      </c>
    </row>
    <row r="1196" spans="1:14">
      <c r="A1196">
        <v>80</v>
      </c>
      <c r="B1196">
        <v>16</v>
      </c>
      <c r="C1196" t="s">
        <v>126</v>
      </c>
      <c r="D1196" t="s">
        <v>741</v>
      </c>
      <c r="E1196" t="s">
        <v>126</v>
      </c>
      <c r="F1196">
        <v>0</v>
      </c>
      <c r="G1196" t="s">
        <v>126</v>
      </c>
      <c r="H1196" t="s">
        <v>126</v>
      </c>
      <c r="I1196" t="s">
        <v>126</v>
      </c>
      <c r="J1196" t="s">
        <v>126</v>
      </c>
      <c r="K1196" t="s">
        <v>126</v>
      </c>
      <c r="L1196" t="s">
        <v>126</v>
      </c>
      <c r="M1196" t="s">
        <v>1851</v>
      </c>
      <c r="N1196" t="b">
        <v>0</v>
      </c>
    </row>
    <row r="1197" spans="1:14">
      <c r="A1197">
        <v>80</v>
      </c>
      <c r="B1197">
        <v>17</v>
      </c>
      <c r="C1197" t="s">
        <v>126</v>
      </c>
      <c r="D1197" t="s">
        <v>741</v>
      </c>
      <c r="E1197" t="s">
        <v>126</v>
      </c>
      <c r="F1197">
        <v>0</v>
      </c>
      <c r="G1197" t="s">
        <v>126</v>
      </c>
      <c r="H1197" t="s">
        <v>126</v>
      </c>
      <c r="I1197" t="s">
        <v>126</v>
      </c>
      <c r="J1197" t="s">
        <v>126</v>
      </c>
      <c r="K1197" t="s">
        <v>126</v>
      </c>
      <c r="L1197" t="s">
        <v>126</v>
      </c>
      <c r="M1197" t="s">
        <v>1852</v>
      </c>
      <c r="N1197" t="b">
        <v>0</v>
      </c>
    </row>
    <row r="1198" spans="1:14">
      <c r="A1198">
        <v>80</v>
      </c>
      <c r="B1198">
        <v>18</v>
      </c>
      <c r="C1198" t="s">
        <v>126</v>
      </c>
      <c r="D1198" t="s">
        <v>741</v>
      </c>
      <c r="E1198" t="s">
        <v>126</v>
      </c>
      <c r="F1198">
        <v>0</v>
      </c>
      <c r="G1198" t="s">
        <v>126</v>
      </c>
      <c r="H1198" t="s">
        <v>126</v>
      </c>
      <c r="I1198" t="s">
        <v>126</v>
      </c>
      <c r="J1198" t="s">
        <v>126</v>
      </c>
      <c r="K1198" t="s">
        <v>126</v>
      </c>
      <c r="L1198" t="s">
        <v>126</v>
      </c>
      <c r="M1198" t="s">
        <v>1853</v>
      </c>
      <c r="N1198" t="b">
        <v>0</v>
      </c>
    </row>
    <row r="1199" spans="1:14">
      <c r="A1199">
        <v>80</v>
      </c>
      <c r="B1199">
        <v>19</v>
      </c>
      <c r="C1199" t="s">
        <v>126</v>
      </c>
      <c r="D1199" t="s">
        <v>741</v>
      </c>
      <c r="E1199" t="s">
        <v>126</v>
      </c>
      <c r="F1199">
        <v>0</v>
      </c>
      <c r="G1199" t="s">
        <v>126</v>
      </c>
      <c r="H1199" t="s">
        <v>126</v>
      </c>
      <c r="I1199" t="s">
        <v>126</v>
      </c>
      <c r="J1199" t="s">
        <v>126</v>
      </c>
      <c r="K1199" t="s">
        <v>126</v>
      </c>
      <c r="L1199" t="s">
        <v>126</v>
      </c>
      <c r="M1199" t="s">
        <v>1854</v>
      </c>
      <c r="N1199" t="b">
        <v>0</v>
      </c>
    </row>
    <row r="1200" spans="1:14">
      <c r="A1200">
        <v>80</v>
      </c>
      <c r="B1200">
        <v>20</v>
      </c>
      <c r="C1200" t="s">
        <v>126</v>
      </c>
      <c r="D1200" t="s">
        <v>741</v>
      </c>
      <c r="E1200" t="s">
        <v>126</v>
      </c>
      <c r="F1200">
        <v>0</v>
      </c>
      <c r="G1200" t="s">
        <v>126</v>
      </c>
      <c r="H1200" t="s">
        <v>126</v>
      </c>
      <c r="I1200" t="s">
        <v>126</v>
      </c>
      <c r="J1200" t="s">
        <v>126</v>
      </c>
      <c r="K1200" t="s">
        <v>126</v>
      </c>
      <c r="L1200" t="s">
        <v>126</v>
      </c>
      <c r="M1200" t="s">
        <v>1855</v>
      </c>
      <c r="N1200" t="b">
        <v>0</v>
      </c>
    </row>
    <row r="1201" spans="1:14">
      <c r="A1201">
        <v>80</v>
      </c>
      <c r="B1201">
        <v>21</v>
      </c>
      <c r="C1201" t="s">
        <v>126</v>
      </c>
      <c r="D1201" t="s">
        <v>741</v>
      </c>
      <c r="E1201" t="s">
        <v>126</v>
      </c>
      <c r="F1201">
        <v>0</v>
      </c>
      <c r="G1201" t="s">
        <v>126</v>
      </c>
      <c r="H1201" t="s">
        <v>126</v>
      </c>
      <c r="I1201" t="s">
        <v>126</v>
      </c>
      <c r="J1201" t="s">
        <v>126</v>
      </c>
      <c r="K1201" t="s">
        <v>126</v>
      </c>
      <c r="L1201" t="s">
        <v>126</v>
      </c>
      <c r="M1201" t="s">
        <v>1856</v>
      </c>
      <c r="N1201" t="b">
        <v>0</v>
      </c>
    </row>
    <row r="1202" spans="1:14">
      <c r="A1202">
        <v>80</v>
      </c>
      <c r="B1202">
        <v>22</v>
      </c>
      <c r="C1202" t="s">
        <v>126</v>
      </c>
      <c r="D1202" t="s">
        <v>741</v>
      </c>
      <c r="E1202" t="s">
        <v>126</v>
      </c>
      <c r="F1202">
        <v>0</v>
      </c>
      <c r="G1202" t="s">
        <v>126</v>
      </c>
      <c r="H1202" t="s">
        <v>126</v>
      </c>
      <c r="I1202" t="s">
        <v>126</v>
      </c>
      <c r="J1202" t="s">
        <v>126</v>
      </c>
      <c r="K1202" t="s">
        <v>126</v>
      </c>
      <c r="L1202" t="s">
        <v>126</v>
      </c>
      <c r="M1202" t="s">
        <v>1857</v>
      </c>
      <c r="N1202" t="b">
        <v>0</v>
      </c>
    </row>
    <row r="1203" spans="1:14">
      <c r="A1203">
        <v>80</v>
      </c>
      <c r="B1203">
        <v>23</v>
      </c>
      <c r="C1203" t="s">
        <v>126</v>
      </c>
      <c r="D1203" t="s">
        <v>741</v>
      </c>
      <c r="E1203" t="s">
        <v>126</v>
      </c>
      <c r="F1203">
        <v>0</v>
      </c>
      <c r="G1203" t="s">
        <v>126</v>
      </c>
      <c r="H1203" t="s">
        <v>126</v>
      </c>
      <c r="I1203" t="s">
        <v>126</v>
      </c>
      <c r="J1203" t="s">
        <v>126</v>
      </c>
      <c r="K1203" t="s">
        <v>126</v>
      </c>
      <c r="L1203" t="s">
        <v>126</v>
      </c>
      <c r="M1203" t="s">
        <v>1858</v>
      </c>
      <c r="N1203" t="b">
        <v>0</v>
      </c>
    </row>
    <row r="1204" spans="1:14">
      <c r="A1204">
        <v>80</v>
      </c>
      <c r="B1204">
        <v>24</v>
      </c>
      <c r="C1204" t="s">
        <v>126</v>
      </c>
      <c r="D1204" t="s">
        <v>741</v>
      </c>
      <c r="E1204" t="s">
        <v>126</v>
      </c>
      <c r="F1204">
        <v>0</v>
      </c>
      <c r="G1204" t="s">
        <v>126</v>
      </c>
      <c r="H1204" t="s">
        <v>126</v>
      </c>
      <c r="I1204" t="s">
        <v>126</v>
      </c>
      <c r="J1204" t="s">
        <v>126</v>
      </c>
      <c r="K1204" t="s">
        <v>126</v>
      </c>
      <c r="L1204" t="s">
        <v>126</v>
      </c>
      <c r="M1204" t="s">
        <v>1859</v>
      </c>
      <c r="N1204" t="b">
        <v>0</v>
      </c>
    </row>
    <row r="1205" spans="1:14">
      <c r="A1205">
        <v>80</v>
      </c>
      <c r="B1205">
        <v>25</v>
      </c>
      <c r="C1205" t="s">
        <v>126</v>
      </c>
      <c r="D1205" t="s">
        <v>741</v>
      </c>
      <c r="E1205" t="s">
        <v>126</v>
      </c>
      <c r="F1205">
        <v>0</v>
      </c>
      <c r="G1205" t="s">
        <v>126</v>
      </c>
      <c r="H1205" t="s">
        <v>126</v>
      </c>
      <c r="I1205" t="s">
        <v>126</v>
      </c>
      <c r="J1205" t="s">
        <v>126</v>
      </c>
      <c r="K1205" t="s">
        <v>126</v>
      </c>
      <c r="L1205" t="s">
        <v>126</v>
      </c>
      <c r="M1205" t="s">
        <v>1860</v>
      </c>
      <c r="N1205" t="b">
        <v>0</v>
      </c>
    </row>
    <row r="1206" spans="1:14">
      <c r="A1206">
        <v>80</v>
      </c>
      <c r="B1206">
        <v>26</v>
      </c>
      <c r="C1206" t="s">
        <v>126</v>
      </c>
      <c r="D1206" t="s">
        <v>741</v>
      </c>
      <c r="E1206" t="s">
        <v>126</v>
      </c>
      <c r="F1206">
        <v>0</v>
      </c>
      <c r="G1206" t="s">
        <v>126</v>
      </c>
      <c r="H1206" t="s">
        <v>126</v>
      </c>
      <c r="I1206" t="s">
        <v>126</v>
      </c>
      <c r="J1206" t="s">
        <v>126</v>
      </c>
      <c r="K1206" t="s">
        <v>126</v>
      </c>
      <c r="L1206" t="s">
        <v>126</v>
      </c>
      <c r="M1206" t="s">
        <v>1861</v>
      </c>
      <c r="N1206" t="b">
        <v>0</v>
      </c>
    </row>
    <row r="1207" spans="1:14">
      <c r="A1207">
        <v>81</v>
      </c>
      <c r="B1207">
        <v>0</v>
      </c>
      <c r="C1207" t="s">
        <v>216</v>
      </c>
      <c r="D1207" t="s">
        <v>724</v>
      </c>
      <c r="E1207" t="s">
        <v>65</v>
      </c>
      <c r="F1207">
        <v>60</v>
      </c>
      <c r="G1207" t="s">
        <v>126</v>
      </c>
      <c r="H1207" t="s">
        <v>126</v>
      </c>
      <c r="I1207" t="s">
        <v>65</v>
      </c>
      <c r="J1207" t="s">
        <v>126</v>
      </c>
      <c r="K1207" t="s">
        <v>126</v>
      </c>
      <c r="L1207" t="s">
        <v>126</v>
      </c>
      <c r="M1207" t="s">
        <v>1862</v>
      </c>
      <c r="N1207" t="b">
        <v>0</v>
      </c>
    </row>
    <row r="1208" spans="1:14">
      <c r="A1208">
        <v>81</v>
      </c>
      <c r="B1208">
        <v>1</v>
      </c>
      <c r="C1208" t="s">
        <v>158</v>
      </c>
      <c r="D1208" t="s">
        <v>724</v>
      </c>
      <c r="E1208" t="s">
        <v>83</v>
      </c>
      <c r="F1208">
        <v>40</v>
      </c>
      <c r="G1208" t="s">
        <v>126</v>
      </c>
      <c r="H1208" t="s">
        <v>126</v>
      </c>
      <c r="I1208" t="s">
        <v>83</v>
      </c>
      <c r="J1208" t="s">
        <v>126</v>
      </c>
      <c r="K1208" t="s">
        <v>126</v>
      </c>
      <c r="L1208" t="s">
        <v>126</v>
      </c>
      <c r="M1208" t="s">
        <v>1863</v>
      </c>
      <c r="N1208" t="b">
        <v>0</v>
      </c>
    </row>
    <row r="1209" spans="1:14">
      <c r="A1209">
        <v>81</v>
      </c>
      <c r="B1209">
        <v>2</v>
      </c>
      <c r="C1209" t="s">
        <v>212</v>
      </c>
      <c r="D1209" t="s">
        <v>724</v>
      </c>
      <c r="E1209" t="s">
        <v>109</v>
      </c>
      <c r="F1209">
        <v>40</v>
      </c>
      <c r="G1209" t="s">
        <v>126</v>
      </c>
      <c r="H1209" t="s">
        <v>126</v>
      </c>
      <c r="I1209" t="s">
        <v>109</v>
      </c>
      <c r="J1209" t="s">
        <v>126</v>
      </c>
      <c r="K1209" t="s">
        <v>126</v>
      </c>
      <c r="L1209" t="s">
        <v>126</v>
      </c>
      <c r="M1209" t="s">
        <v>1864</v>
      </c>
      <c r="N1209" t="b">
        <v>0</v>
      </c>
    </row>
    <row r="1210" spans="1:14">
      <c r="A1210">
        <v>81</v>
      </c>
      <c r="B1210">
        <v>3</v>
      </c>
      <c r="C1210" t="s">
        <v>182</v>
      </c>
      <c r="D1210" t="s">
        <v>724</v>
      </c>
      <c r="E1210" t="s">
        <v>61</v>
      </c>
      <c r="F1210">
        <v>40</v>
      </c>
      <c r="G1210" t="s">
        <v>126</v>
      </c>
      <c r="H1210" t="s">
        <v>126</v>
      </c>
      <c r="I1210" t="s">
        <v>61</v>
      </c>
      <c r="J1210" t="s">
        <v>126</v>
      </c>
      <c r="K1210" t="s">
        <v>126</v>
      </c>
      <c r="L1210" t="s">
        <v>126</v>
      </c>
      <c r="M1210" t="s">
        <v>1865</v>
      </c>
      <c r="N1210" t="b">
        <v>0</v>
      </c>
    </row>
    <row r="1211" spans="1:14">
      <c r="A1211">
        <v>81</v>
      </c>
      <c r="B1211">
        <v>4</v>
      </c>
      <c r="C1211" t="s">
        <v>431</v>
      </c>
      <c r="D1211" t="s">
        <v>753</v>
      </c>
      <c r="E1211" t="s">
        <v>545</v>
      </c>
      <c r="F1211">
        <v>60</v>
      </c>
      <c r="G1211" t="s">
        <v>1669</v>
      </c>
      <c r="H1211" t="s">
        <v>126</v>
      </c>
      <c r="I1211" t="s">
        <v>126</v>
      </c>
      <c r="J1211" t="s">
        <v>1866</v>
      </c>
      <c r="K1211" t="s">
        <v>801</v>
      </c>
      <c r="L1211" t="s">
        <v>802</v>
      </c>
      <c r="M1211" t="s">
        <v>1867</v>
      </c>
      <c r="N1211" t="b">
        <v>0</v>
      </c>
    </row>
    <row r="1212" spans="1:14">
      <c r="A1212">
        <v>81</v>
      </c>
      <c r="B1212">
        <v>5</v>
      </c>
      <c r="C1212" t="s">
        <v>432</v>
      </c>
      <c r="D1212" t="s">
        <v>753</v>
      </c>
      <c r="E1212" t="s">
        <v>545</v>
      </c>
      <c r="F1212">
        <v>50</v>
      </c>
      <c r="G1212" t="s">
        <v>1669</v>
      </c>
      <c r="H1212" t="s">
        <v>126</v>
      </c>
      <c r="I1212" t="s">
        <v>126</v>
      </c>
      <c r="J1212" t="s">
        <v>1868</v>
      </c>
      <c r="K1212" t="s">
        <v>825</v>
      </c>
      <c r="L1212" t="s">
        <v>826</v>
      </c>
      <c r="M1212" t="s">
        <v>1869</v>
      </c>
      <c r="N1212" t="b">
        <v>0</v>
      </c>
    </row>
    <row r="1213" spans="1:14">
      <c r="A1213">
        <v>81</v>
      </c>
      <c r="B1213">
        <v>6</v>
      </c>
      <c r="C1213" t="s">
        <v>208</v>
      </c>
      <c r="D1213" t="s">
        <v>753</v>
      </c>
      <c r="E1213" t="s">
        <v>545</v>
      </c>
      <c r="F1213">
        <v>50</v>
      </c>
      <c r="G1213" t="s">
        <v>760</v>
      </c>
      <c r="H1213" t="s">
        <v>126</v>
      </c>
      <c r="I1213" t="s">
        <v>126</v>
      </c>
      <c r="J1213" t="s">
        <v>824</v>
      </c>
      <c r="K1213" t="s">
        <v>890</v>
      </c>
      <c r="L1213" t="s">
        <v>891</v>
      </c>
      <c r="M1213" t="s">
        <v>1870</v>
      </c>
      <c r="N1213" t="b">
        <v>0</v>
      </c>
    </row>
    <row r="1214" spans="1:14">
      <c r="A1214">
        <v>81</v>
      </c>
      <c r="B1214">
        <v>7</v>
      </c>
      <c r="C1214" t="s">
        <v>169</v>
      </c>
      <c r="D1214" t="s">
        <v>724</v>
      </c>
      <c r="E1214" t="s">
        <v>98</v>
      </c>
      <c r="F1214">
        <v>60</v>
      </c>
      <c r="G1214" t="s">
        <v>126</v>
      </c>
      <c r="H1214" t="s">
        <v>126</v>
      </c>
      <c r="I1214" t="s">
        <v>98</v>
      </c>
      <c r="J1214" t="s">
        <v>126</v>
      </c>
      <c r="K1214" t="s">
        <v>126</v>
      </c>
      <c r="L1214" t="s">
        <v>126</v>
      </c>
      <c r="M1214" t="s">
        <v>1871</v>
      </c>
      <c r="N1214" t="b">
        <v>0</v>
      </c>
    </row>
    <row r="1215" spans="1:14">
      <c r="A1215">
        <v>81</v>
      </c>
      <c r="B1215">
        <v>8</v>
      </c>
      <c r="C1215" t="s">
        <v>126</v>
      </c>
      <c r="D1215" t="s">
        <v>724</v>
      </c>
      <c r="E1215" t="s">
        <v>126</v>
      </c>
      <c r="F1215">
        <v>0</v>
      </c>
      <c r="G1215" t="s">
        <v>126</v>
      </c>
      <c r="H1215" t="s">
        <v>126</v>
      </c>
      <c r="I1215" t="s">
        <v>126</v>
      </c>
      <c r="J1215" t="s">
        <v>126</v>
      </c>
      <c r="K1215" t="s">
        <v>126</v>
      </c>
      <c r="L1215" t="s">
        <v>126</v>
      </c>
      <c r="M1215" t="s">
        <v>1872</v>
      </c>
      <c r="N1215" t="b">
        <v>0</v>
      </c>
    </row>
    <row r="1216" spans="1:14">
      <c r="A1216">
        <v>81</v>
      </c>
      <c r="B1216">
        <v>9</v>
      </c>
      <c r="C1216" t="s">
        <v>126</v>
      </c>
      <c r="D1216" t="s">
        <v>724</v>
      </c>
      <c r="E1216" t="s">
        <v>126</v>
      </c>
      <c r="F1216">
        <v>0</v>
      </c>
      <c r="G1216" t="s">
        <v>126</v>
      </c>
      <c r="H1216" t="s">
        <v>126</v>
      </c>
      <c r="I1216" t="s">
        <v>126</v>
      </c>
      <c r="J1216" t="s">
        <v>126</v>
      </c>
      <c r="K1216" t="s">
        <v>126</v>
      </c>
      <c r="L1216" t="s">
        <v>126</v>
      </c>
      <c r="M1216" t="s">
        <v>1873</v>
      </c>
      <c r="N1216" t="b">
        <v>0</v>
      </c>
    </row>
    <row r="1217" spans="1:14">
      <c r="A1217">
        <v>81</v>
      </c>
      <c r="B1217">
        <v>10</v>
      </c>
      <c r="C1217" t="s">
        <v>126</v>
      </c>
      <c r="D1217" t="s">
        <v>724</v>
      </c>
      <c r="E1217" t="s">
        <v>126</v>
      </c>
      <c r="F1217">
        <v>0</v>
      </c>
      <c r="G1217" t="s">
        <v>126</v>
      </c>
      <c r="H1217" t="s">
        <v>126</v>
      </c>
      <c r="I1217" t="s">
        <v>126</v>
      </c>
      <c r="J1217" t="s">
        <v>126</v>
      </c>
      <c r="K1217" t="s">
        <v>126</v>
      </c>
      <c r="L1217" t="s">
        <v>126</v>
      </c>
      <c r="M1217" t="s">
        <v>1874</v>
      </c>
      <c r="N1217" t="b">
        <v>0</v>
      </c>
    </row>
    <row r="1218" spans="1:14">
      <c r="A1218">
        <v>81</v>
      </c>
      <c r="B1218">
        <v>11</v>
      </c>
      <c r="C1218" t="s">
        <v>126</v>
      </c>
      <c r="D1218" t="s">
        <v>724</v>
      </c>
      <c r="E1218" t="s">
        <v>126</v>
      </c>
      <c r="F1218">
        <v>0</v>
      </c>
      <c r="G1218" t="s">
        <v>126</v>
      </c>
      <c r="H1218" t="s">
        <v>126</v>
      </c>
      <c r="I1218" t="s">
        <v>126</v>
      </c>
      <c r="J1218" t="s">
        <v>126</v>
      </c>
      <c r="K1218" t="s">
        <v>126</v>
      </c>
      <c r="L1218" t="s">
        <v>126</v>
      </c>
      <c r="M1218" t="s">
        <v>1875</v>
      </c>
      <c r="N1218" t="b">
        <v>0</v>
      </c>
    </row>
    <row r="1219" spans="1:14">
      <c r="A1219">
        <v>81</v>
      </c>
      <c r="B1219">
        <v>12</v>
      </c>
      <c r="C1219" t="s">
        <v>126</v>
      </c>
      <c r="D1219" t="s">
        <v>724</v>
      </c>
      <c r="E1219" t="s">
        <v>126</v>
      </c>
      <c r="F1219">
        <v>0</v>
      </c>
      <c r="G1219" t="s">
        <v>126</v>
      </c>
      <c r="H1219" t="s">
        <v>126</v>
      </c>
      <c r="I1219" t="s">
        <v>126</v>
      </c>
      <c r="J1219" t="s">
        <v>126</v>
      </c>
      <c r="K1219" t="s">
        <v>126</v>
      </c>
      <c r="L1219" t="s">
        <v>126</v>
      </c>
      <c r="M1219" t="s">
        <v>1876</v>
      </c>
      <c r="N1219" t="b">
        <v>0</v>
      </c>
    </row>
    <row r="1220" spans="1:14">
      <c r="A1220">
        <v>81</v>
      </c>
      <c r="B1220">
        <v>13</v>
      </c>
      <c r="C1220" t="s">
        <v>126</v>
      </c>
      <c r="D1220" t="s">
        <v>724</v>
      </c>
      <c r="E1220" t="s">
        <v>126</v>
      </c>
      <c r="F1220">
        <v>0</v>
      </c>
      <c r="G1220" t="s">
        <v>126</v>
      </c>
      <c r="H1220" t="s">
        <v>126</v>
      </c>
      <c r="I1220" t="s">
        <v>126</v>
      </c>
      <c r="J1220" t="s">
        <v>126</v>
      </c>
      <c r="K1220" t="s">
        <v>126</v>
      </c>
      <c r="L1220" t="s">
        <v>126</v>
      </c>
      <c r="M1220" t="s">
        <v>1877</v>
      </c>
      <c r="N1220" t="b">
        <v>0</v>
      </c>
    </row>
    <row r="1221" spans="1:14">
      <c r="A1221">
        <v>81</v>
      </c>
      <c r="B1221">
        <v>14</v>
      </c>
      <c r="C1221" t="s">
        <v>126</v>
      </c>
      <c r="D1221" t="s">
        <v>724</v>
      </c>
      <c r="E1221" t="s">
        <v>126</v>
      </c>
      <c r="F1221">
        <v>0</v>
      </c>
      <c r="G1221" t="s">
        <v>126</v>
      </c>
      <c r="H1221" t="s">
        <v>126</v>
      </c>
      <c r="I1221" t="s">
        <v>126</v>
      </c>
      <c r="J1221" t="s">
        <v>126</v>
      </c>
      <c r="K1221" t="s">
        <v>126</v>
      </c>
      <c r="L1221" t="s">
        <v>126</v>
      </c>
      <c r="M1221" t="s">
        <v>1878</v>
      </c>
      <c r="N1221" t="b">
        <v>0</v>
      </c>
    </row>
    <row r="1222" spans="1:14">
      <c r="A1222">
        <v>81</v>
      </c>
      <c r="B1222">
        <v>15</v>
      </c>
      <c r="C1222" t="s">
        <v>126</v>
      </c>
      <c r="D1222" t="s">
        <v>724</v>
      </c>
      <c r="E1222" t="s">
        <v>126</v>
      </c>
      <c r="F1222">
        <v>0</v>
      </c>
      <c r="G1222" t="s">
        <v>126</v>
      </c>
      <c r="H1222" t="s">
        <v>126</v>
      </c>
      <c r="I1222" t="s">
        <v>126</v>
      </c>
      <c r="J1222" t="s">
        <v>126</v>
      </c>
      <c r="K1222" t="s">
        <v>126</v>
      </c>
      <c r="L1222" t="s">
        <v>126</v>
      </c>
      <c r="M1222" t="s">
        <v>1879</v>
      </c>
      <c r="N1222" t="b">
        <v>0</v>
      </c>
    </row>
    <row r="1223" spans="1:14">
      <c r="A1223">
        <v>81</v>
      </c>
      <c r="B1223">
        <v>16</v>
      </c>
      <c r="C1223" t="s">
        <v>126</v>
      </c>
      <c r="D1223" t="s">
        <v>741</v>
      </c>
      <c r="E1223" t="s">
        <v>126</v>
      </c>
      <c r="F1223">
        <v>0</v>
      </c>
      <c r="G1223" t="s">
        <v>126</v>
      </c>
      <c r="H1223" t="s">
        <v>126</v>
      </c>
      <c r="I1223" t="s">
        <v>126</v>
      </c>
      <c r="J1223" t="s">
        <v>126</v>
      </c>
      <c r="K1223" t="s">
        <v>126</v>
      </c>
      <c r="L1223" t="s">
        <v>126</v>
      </c>
      <c r="M1223" t="s">
        <v>1880</v>
      </c>
      <c r="N1223" t="b">
        <v>0</v>
      </c>
    </row>
    <row r="1224" spans="1:14">
      <c r="A1224">
        <v>81</v>
      </c>
      <c r="B1224">
        <v>17</v>
      </c>
      <c r="C1224" t="s">
        <v>126</v>
      </c>
      <c r="D1224" t="s">
        <v>741</v>
      </c>
      <c r="E1224" t="s">
        <v>126</v>
      </c>
      <c r="F1224">
        <v>0</v>
      </c>
      <c r="G1224" t="s">
        <v>126</v>
      </c>
      <c r="H1224" t="s">
        <v>126</v>
      </c>
      <c r="I1224" t="s">
        <v>126</v>
      </c>
      <c r="J1224" t="s">
        <v>126</v>
      </c>
      <c r="K1224" t="s">
        <v>126</v>
      </c>
      <c r="L1224" t="s">
        <v>126</v>
      </c>
      <c r="M1224" t="s">
        <v>1881</v>
      </c>
      <c r="N1224" t="b">
        <v>0</v>
      </c>
    </row>
    <row r="1225" spans="1:14">
      <c r="A1225">
        <v>81</v>
      </c>
      <c r="B1225">
        <v>18</v>
      </c>
      <c r="C1225" t="s">
        <v>126</v>
      </c>
      <c r="D1225" t="s">
        <v>741</v>
      </c>
      <c r="E1225" t="s">
        <v>126</v>
      </c>
      <c r="F1225">
        <v>0</v>
      </c>
      <c r="G1225" t="s">
        <v>126</v>
      </c>
      <c r="H1225" t="s">
        <v>126</v>
      </c>
      <c r="I1225" t="s">
        <v>126</v>
      </c>
      <c r="J1225" t="s">
        <v>126</v>
      </c>
      <c r="K1225" t="s">
        <v>126</v>
      </c>
      <c r="L1225" t="s">
        <v>126</v>
      </c>
      <c r="M1225" t="s">
        <v>1882</v>
      </c>
      <c r="N1225" t="b">
        <v>0</v>
      </c>
    </row>
    <row r="1226" spans="1:14">
      <c r="A1226">
        <v>81</v>
      </c>
      <c r="B1226">
        <v>19</v>
      </c>
      <c r="C1226" t="s">
        <v>126</v>
      </c>
      <c r="D1226" t="s">
        <v>741</v>
      </c>
      <c r="E1226" t="s">
        <v>126</v>
      </c>
      <c r="F1226">
        <v>0</v>
      </c>
      <c r="G1226" t="s">
        <v>126</v>
      </c>
      <c r="H1226" t="s">
        <v>126</v>
      </c>
      <c r="I1226" t="s">
        <v>126</v>
      </c>
      <c r="J1226" t="s">
        <v>126</v>
      </c>
      <c r="K1226" t="s">
        <v>126</v>
      </c>
      <c r="L1226" t="s">
        <v>126</v>
      </c>
      <c r="M1226" t="s">
        <v>1883</v>
      </c>
      <c r="N1226" t="b">
        <v>0</v>
      </c>
    </row>
    <row r="1227" spans="1:14">
      <c r="A1227">
        <v>81</v>
      </c>
      <c r="B1227">
        <v>20</v>
      </c>
      <c r="C1227" t="s">
        <v>126</v>
      </c>
      <c r="D1227" t="s">
        <v>741</v>
      </c>
      <c r="E1227" t="s">
        <v>126</v>
      </c>
      <c r="F1227">
        <v>0</v>
      </c>
      <c r="G1227" t="s">
        <v>126</v>
      </c>
      <c r="H1227" t="s">
        <v>126</v>
      </c>
      <c r="I1227" t="s">
        <v>126</v>
      </c>
      <c r="J1227" t="s">
        <v>126</v>
      </c>
      <c r="K1227" t="s">
        <v>126</v>
      </c>
      <c r="L1227" t="s">
        <v>126</v>
      </c>
      <c r="M1227" t="s">
        <v>1884</v>
      </c>
      <c r="N1227" t="b">
        <v>0</v>
      </c>
    </row>
    <row r="1228" spans="1:14">
      <c r="A1228">
        <v>81</v>
      </c>
      <c r="B1228">
        <v>21</v>
      </c>
      <c r="C1228" t="s">
        <v>126</v>
      </c>
      <c r="D1228" t="s">
        <v>741</v>
      </c>
      <c r="E1228" t="s">
        <v>126</v>
      </c>
      <c r="F1228">
        <v>0</v>
      </c>
      <c r="G1228" t="s">
        <v>126</v>
      </c>
      <c r="H1228" t="s">
        <v>126</v>
      </c>
      <c r="I1228" t="s">
        <v>126</v>
      </c>
      <c r="J1228" t="s">
        <v>126</v>
      </c>
      <c r="K1228" t="s">
        <v>126</v>
      </c>
      <c r="L1228" t="s">
        <v>126</v>
      </c>
      <c r="M1228" t="s">
        <v>1885</v>
      </c>
      <c r="N1228" t="b">
        <v>0</v>
      </c>
    </row>
    <row r="1229" spans="1:14">
      <c r="A1229">
        <v>81</v>
      </c>
      <c r="B1229">
        <v>22</v>
      </c>
      <c r="C1229" t="s">
        <v>126</v>
      </c>
      <c r="D1229" t="s">
        <v>741</v>
      </c>
      <c r="E1229" t="s">
        <v>126</v>
      </c>
      <c r="F1229">
        <v>0</v>
      </c>
      <c r="G1229" t="s">
        <v>126</v>
      </c>
      <c r="H1229" t="s">
        <v>126</v>
      </c>
      <c r="I1229" t="s">
        <v>126</v>
      </c>
      <c r="J1229" t="s">
        <v>126</v>
      </c>
      <c r="K1229" t="s">
        <v>126</v>
      </c>
      <c r="L1229" t="s">
        <v>126</v>
      </c>
      <c r="M1229" t="s">
        <v>1886</v>
      </c>
      <c r="N1229" t="b">
        <v>0</v>
      </c>
    </row>
    <row r="1230" spans="1:14">
      <c r="A1230">
        <v>81</v>
      </c>
      <c r="B1230">
        <v>23</v>
      </c>
      <c r="C1230" t="s">
        <v>126</v>
      </c>
      <c r="D1230" t="s">
        <v>741</v>
      </c>
      <c r="E1230" t="s">
        <v>126</v>
      </c>
      <c r="F1230">
        <v>0</v>
      </c>
      <c r="G1230" t="s">
        <v>126</v>
      </c>
      <c r="H1230" t="s">
        <v>126</v>
      </c>
      <c r="I1230" t="s">
        <v>126</v>
      </c>
      <c r="J1230" t="s">
        <v>126</v>
      </c>
      <c r="K1230" t="s">
        <v>126</v>
      </c>
      <c r="L1230" t="s">
        <v>126</v>
      </c>
      <c r="M1230" t="s">
        <v>1887</v>
      </c>
      <c r="N1230" t="b">
        <v>0</v>
      </c>
    </row>
    <row r="1231" spans="1:14">
      <c r="A1231">
        <v>81</v>
      </c>
      <c r="B1231">
        <v>24</v>
      </c>
      <c r="C1231" t="s">
        <v>126</v>
      </c>
      <c r="D1231" t="s">
        <v>741</v>
      </c>
      <c r="E1231" t="s">
        <v>126</v>
      </c>
      <c r="F1231">
        <v>0</v>
      </c>
      <c r="G1231" t="s">
        <v>126</v>
      </c>
      <c r="H1231" t="s">
        <v>126</v>
      </c>
      <c r="I1231" t="s">
        <v>126</v>
      </c>
      <c r="J1231" t="s">
        <v>126</v>
      </c>
      <c r="K1231" t="s">
        <v>126</v>
      </c>
      <c r="L1231" t="s">
        <v>126</v>
      </c>
      <c r="M1231" t="s">
        <v>1888</v>
      </c>
      <c r="N1231" t="b">
        <v>0</v>
      </c>
    </row>
    <row r="1232" spans="1:14">
      <c r="A1232">
        <v>81</v>
      </c>
      <c r="B1232">
        <v>25</v>
      </c>
      <c r="C1232" t="s">
        <v>126</v>
      </c>
      <c r="D1232" t="s">
        <v>741</v>
      </c>
      <c r="E1232" t="s">
        <v>126</v>
      </c>
      <c r="F1232">
        <v>0</v>
      </c>
      <c r="G1232" t="s">
        <v>126</v>
      </c>
      <c r="H1232" t="s">
        <v>126</v>
      </c>
      <c r="I1232" t="s">
        <v>126</v>
      </c>
      <c r="J1232" t="s">
        <v>126</v>
      </c>
      <c r="K1232" t="s">
        <v>126</v>
      </c>
      <c r="L1232" t="s">
        <v>126</v>
      </c>
      <c r="M1232" t="s">
        <v>1889</v>
      </c>
      <c r="N1232" t="b">
        <v>0</v>
      </c>
    </row>
    <row r="1233" spans="1:14">
      <c r="A1233">
        <v>81</v>
      </c>
      <c r="B1233">
        <v>26</v>
      </c>
      <c r="C1233" t="s">
        <v>126</v>
      </c>
      <c r="D1233" t="s">
        <v>741</v>
      </c>
      <c r="E1233" t="s">
        <v>126</v>
      </c>
      <c r="F1233">
        <v>0</v>
      </c>
      <c r="G1233" t="s">
        <v>126</v>
      </c>
      <c r="H1233" t="s">
        <v>126</v>
      </c>
      <c r="I1233" t="s">
        <v>126</v>
      </c>
      <c r="J1233" t="s">
        <v>126</v>
      </c>
      <c r="K1233" t="s">
        <v>126</v>
      </c>
      <c r="L1233" t="s">
        <v>126</v>
      </c>
      <c r="M1233" t="s">
        <v>1890</v>
      </c>
      <c r="N1233" t="b">
        <v>0</v>
      </c>
    </row>
    <row r="1234" spans="1:14">
      <c r="A1234">
        <v>83</v>
      </c>
      <c r="B1234">
        <v>0</v>
      </c>
      <c r="C1234" t="s">
        <v>186</v>
      </c>
      <c r="D1234" t="s">
        <v>724</v>
      </c>
      <c r="E1234" t="s">
        <v>65</v>
      </c>
      <c r="F1234">
        <v>50</v>
      </c>
      <c r="G1234" t="s">
        <v>126</v>
      </c>
      <c r="H1234" t="s">
        <v>126</v>
      </c>
      <c r="I1234" t="s">
        <v>65</v>
      </c>
      <c r="J1234" t="s">
        <v>126</v>
      </c>
      <c r="K1234" t="s">
        <v>126</v>
      </c>
      <c r="L1234" t="s">
        <v>126</v>
      </c>
      <c r="M1234" t="s">
        <v>1891</v>
      </c>
      <c r="N1234" t="b">
        <v>0</v>
      </c>
    </row>
    <row r="1235" spans="1:14">
      <c r="A1235">
        <v>83</v>
      </c>
      <c r="B1235">
        <v>1</v>
      </c>
      <c r="C1235" t="s">
        <v>268</v>
      </c>
      <c r="D1235" t="s">
        <v>724</v>
      </c>
      <c r="E1235" t="s">
        <v>83</v>
      </c>
      <c r="F1235">
        <v>30</v>
      </c>
      <c r="G1235" t="s">
        <v>126</v>
      </c>
      <c r="H1235" t="s">
        <v>126</v>
      </c>
      <c r="I1235" t="s">
        <v>83</v>
      </c>
      <c r="J1235" t="s">
        <v>126</v>
      </c>
      <c r="K1235" t="s">
        <v>126</v>
      </c>
      <c r="L1235" t="s">
        <v>126</v>
      </c>
      <c r="M1235" t="s">
        <v>1892</v>
      </c>
      <c r="N1235" t="b">
        <v>0</v>
      </c>
    </row>
    <row r="1236" spans="1:14">
      <c r="A1236">
        <v>83</v>
      </c>
      <c r="B1236">
        <v>2</v>
      </c>
      <c r="C1236" t="s">
        <v>187</v>
      </c>
      <c r="D1236" t="s">
        <v>724</v>
      </c>
      <c r="E1236" t="s">
        <v>93</v>
      </c>
      <c r="F1236">
        <v>50</v>
      </c>
      <c r="G1236" t="s">
        <v>126</v>
      </c>
      <c r="H1236" t="s">
        <v>126</v>
      </c>
      <c r="I1236" t="s">
        <v>93</v>
      </c>
      <c r="J1236" t="s">
        <v>126</v>
      </c>
      <c r="K1236" t="s">
        <v>126</v>
      </c>
      <c r="L1236" t="s">
        <v>126</v>
      </c>
      <c r="M1236" t="s">
        <v>1893</v>
      </c>
      <c r="N1236" t="b">
        <v>0</v>
      </c>
    </row>
    <row r="1237" spans="1:14">
      <c r="A1237">
        <v>83</v>
      </c>
      <c r="B1237">
        <v>3</v>
      </c>
      <c r="C1237" t="s">
        <v>188</v>
      </c>
      <c r="D1237" t="s">
        <v>724</v>
      </c>
      <c r="E1237" t="s">
        <v>99</v>
      </c>
      <c r="F1237">
        <v>50</v>
      </c>
      <c r="G1237" t="s">
        <v>126</v>
      </c>
      <c r="H1237" t="s">
        <v>126</v>
      </c>
      <c r="I1237" t="s">
        <v>99</v>
      </c>
      <c r="J1237" t="s">
        <v>126</v>
      </c>
      <c r="K1237" t="s">
        <v>126</v>
      </c>
      <c r="L1237" t="s">
        <v>126</v>
      </c>
      <c r="M1237" t="s">
        <v>1894</v>
      </c>
      <c r="N1237" t="b">
        <v>0</v>
      </c>
    </row>
    <row r="1238" spans="1:14">
      <c r="A1238">
        <v>83</v>
      </c>
      <c r="B1238">
        <v>4</v>
      </c>
      <c r="C1238" t="s">
        <v>189</v>
      </c>
      <c r="D1238" t="s">
        <v>724</v>
      </c>
      <c r="E1238" t="s">
        <v>101</v>
      </c>
      <c r="F1238">
        <v>50</v>
      </c>
      <c r="G1238" t="s">
        <v>126</v>
      </c>
      <c r="H1238" t="s">
        <v>126</v>
      </c>
      <c r="I1238" t="s">
        <v>101</v>
      </c>
      <c r="J1238" t="s">
        <v>126</v>
      </c>
      <c r="K1238" t="s">
        <v>126</v>
      </c>
      <c r="L1238" t="s">
        <v>126</v>
      </c>
      <c r="M1238" t="s">
        <v>1895</v>
      </c>
      <c r="N1238" t="b">
        <v>0</v>
      </c>
    </row>
    <row r="1239" spans="1:14">
      <c r="A1239">
        <v>83</v>
      </c>
      <c r="B1239">
        <v>5</v>
      </c>
      <c r="C1239" t="s">
        <v>190</v>
      </c>
      <c r="D1239" t="s">
        <v>724</v>
      </c>
      <c r="E1239" t="s">
        <v>109</v>
      </c>
      <c r="F1239">
        <v>30</v>
      </c>
      <c r="G1239" t="s">
        <v>126</v>
      </c>
      <c r="H1239" t="s">
        <v>126</v>
      </c>
      <c r="I1239" t="s">
        <v>109</v>
      </c>
      <c r="J1239" t="s">
        <v>126</v>
      </c>
      <c r="K1239" t="s">
        <v>126</v>
      </c>
      <c r="L1239" t="s">
        <v>126</v>
      </c>
      <c r="M1239" t="s">
        <v>1896</v>
      </c>
      <c r="N1239" t="b">
        <v>0</v>
      </c>
    </row>
    <row r="1240" spans="1:14">
      <c r="A1240">
        <v>83</v>
      </c>
      <c r="B1240">
        <v>6</v>
      </c>
      <c r="C1240" t="s">
        <v>436</v>
      </c>
      <c r="D1240" t="s">
        <v>724</v>
      </c>
      <c r="E1240" t="s">
        <v>297</v>
      </c>
      <c r="F1240">
        <v>50</v>
      </c>
      <c r="G1240" t="s">
        <v>126</v>
      </c>
      <c r="H1240" t="s">
        <v>1897</v>
      </c>
      <c r="I1240" t="s">
        <v>1898</v>
      </c>
      <c r="J1240" t="s">
        <v>126</v>
      </c>
      <c r="K1240" t="s">
        <v>762</v>
      </c>
      <c r="L1240" t="s">
        <v>763</v>
      </c>
      <c r="M1240" t="s">
        <v>1899</v>
      </c>
      <c r="N1240" t="b">
        <v>0</v>
      </c>
    </row>
    <row r="1241" spans="1:14">
      <c r="A1241">
        <v>83</v>
      </c>
      <c r="B1241">
        <v>7</v>
      </c>
      <c r="C1241" t="s">
        <v>316</v>
      </c>
      <c r="D1241" t="s">
        <v>724</v>
      </c>
      <c r="E1241" t="s">
        <v>113</v>
      </c>
      <c r="F1241">
        <v>30</v>
      </c>
      <c r="G1241" t="s">
        <v>126</v>
      </c>
      <c r="H1241" t="s">
        <v>126</v>
      </c>
      <c r="I1241" t="s">
        <v>113</v>
      </c>
      <c r="J1241" t="s">
        <v>126</v>
      </c>
      <c r="K1241" t="s">
        <v>126</v>
      </c>
      <c r="L1241" t="s">
        <v>126</v>
      </c>
      <c r="M1241" t="s">
        <v>1900</v>
      </c>
      <c r="N1241" t="b">
        <v>0</v>
      </c>
    </row>
    <row r="1242" spans="1:14">
      <c r="A1242">
        <v>83</v>
      </c>
      <c r="B1242">
        <v>8</v>
      </c>
      <c r="C1242" t="s">
        <v>191</v>
      </c>
      <c r="D1242" t="s">
        <v>724</v>
      </c>
      <c r="E1242" t="s">
        <v>115</v>
      </c>
      <c r="F1242">
        <v>60</v>
      </c>
      <c r="G1242" t="s">
        <v>126</v>
      </c>
      <c r="H1242" t="s">
        <v>126</v>
      </c>
      <c r="I1242" t="s">
        <v>115</v>
      </c>
      <c r="J1242" t="s">
        <v>126</v>
      </c>
      <c r="K1242" t="s">
        <v>126</v>
      </c>
      <c r="L1242" t="s">
        <v>126</v>
      </c>
      <c r="M1242" t="s">
        <v>1901</v>
      </c>
      <c r="N1242" t="b">
        <v>0</v>
      </c>
    </row>
    <row r="1243" spans="1:14">
      <c r="A1243">
        <v>83</v>
      </c>
      <c r="B1243">
        <v>9</v>
      </c>
      <c r="C1243" t="s">
        <v>192</v>
      </c>
      <c r="D1243" t="s">
        <v>724</v>
      </c>
      <c r="E1243" t="s">
        <v>61</v>
      </c>
      <c r="F1243">
        <v>30</v>
      </c>
      <c r="G1243" t="s">
        <v>126</v>
      </c>
      <c r="H1243" t="s">
        <v>126</v>
      </c>
      <c r="I1243" t="s">
        <v>61</v>
      </c>
      <c r="J1243" t="s">
        <v>126</v>
      </c>
      <c r="K1243" t="s">
        <v>126</v>
      </c>
      <c r="L1243" t="s">
        <v>126</v>
      </c>
      <c r="M1243" t="s">
        <v>1902</v>
      </c>
      <c r="N1243" t="b">
        <v>0</v>
      </c>
    </row>
    <row r="1244" spans="1:14">
      <c r="A1244">
        <v>83</v>
      </c>
      <c r="B1244">
        <v>10</v>
      </c>
      <c r="C1244" t="s">
        <v>163</v>
      </c>
      <c r="D1244" t="s">
        <v>724</v>
      </c>
      <c r="E1244" t="s">
        <v>78</v>
      </c>
      <c r="F1244">
        <v>40</v>
      </c>
      <c r="G1244" t="s">
        <v>126</v>
      </c>
      <c r="H1244" t="s">
        <v>126</v>
      </c>
      <c r="I1244" t="s">
        <v>78</v>
      </c>
      <c r="J1244" t="s">
        <v>126</v>
      </c>
      <c r="K1244" t="s">
        <v>126</v>
      </c>
      <c r="L1244" t="s">
        <v>126</v>
      </c>
      <c r="M1244" t="s">
        <v>1903</v>
      </c>
      <c r="N1244" t="b">
        <v>0</v>
      </c>
    </row>
    <row r="1245" spans="1:14">
      <c r="A1245">
        <v>83</v>
      </c>
      <c r="B1245">
        <v>11</v>
      </c>
      <c r="C1245" t="s">
        <v>437</v>
      </c>
      <c r="D1245" t="s">
        <v>724</v>
      </c>
      <c r="E1245" t="s">
        <v>358</v>
      </c>
      <c r="F1245">
        <v>60</v>
      </c>
      <c r="G1245" t="s">
        <v>126</v>
      </c>
      <c r="H1245" t="s">
        <v>1904</v>
      </c>
      <c r="I1245" t="s">
        <v>1905</v>
      </c>
      <c r="J1245" t="s">
        <v>126</v>
      </c>
      <c r="K1245" t="s">
        <v>1164</v>
      </c>
      <c r="L1245" t="s">
        <v>1165</v>
      </c>
      <c r="M1245" t="s">
        <v>1906</v>
      </c>
      <c r="N1245" t="b">
        <v>0</v>
      </c>
    </row>
    <row r="1246" spans="1:14">
      <c r="A1246">
        <v>83</v>
      </c>
      <c r="B1246">
        <v>12</v>
      </c>
      <c r="C1246" t="s">
        <v>194</v>
      </c>
      <c r="D1246" t="s">
        <v>724</v>
      </c>
      <c r="E1246" t="s">
        <v>98</v>
      </c>
      <c r="F1246">
        <v>50</v>
      </c>
      <c r="G1246" t="s">
        <v>126</v>
      </c>
      <c r="H1246" t="s">
        <v>126</v>
      </c>
      <c r="I1246" t="s">
        <v>98</v>
      </c>
      <c r="J1246" t="s">
        <v>126</v>
      </c>
      <c r="K1246" t="s">
        <v>126</v>
      </c>
      <c r="L1246" t="s">
        <v>126</v>
      </c>
      <c r="M1246" t="s">
        <v>1907</v>
      </c>
      <c r="N1246" t="b">
        <v>0</v>
      </c>
    </row>
    <row r="1247" spans="1:14">
      <c r="A1247">
        <v>83</v>
      </c>
      <c r="B1247">
        <v>13</v>
      </c>
      <c r="C1247" t="s">
        <v>223</v>
      </c>
      <c r="D1247" t="s">
        <v>724</v>
      </c>
      <c r="E1247" t="s">
        <v>107</v>
      </c>
      <c r="F1247">
        <v>50</v>
      </c>
      <c r="G1247" t="s">
        <v>126</v>
      </c>
      <c r="H1247" t="s">
        <v>126</v>
      </c>
      <c r="I1247" t="s">
        <v>107</v>
      </c>
      <c r="J1247" t="s">
        <v>126</v>
      </c>
      <c r="K1247" t="s">
        <v>126</v>
      </c>
      <c r="L1247" t="s">
        <v>126</v>
      </c>
      <c r="M1247" t="s">
        <v>1908</v>
      </c>
      <c r="N1247" t="b">
        <v>0</v>
      </c>
    </row>
    <row r="1248" spans="1:14">
      <c r="A1248">
        <v>83</v>
      </c>
      <c r="B1248">
        <v>14</v>
      </c>
      <c r="C1248" t="s">
        <v>195</v>
      </c>
      <c r="D1248" t="s">
        <v>724</v>
      </c>
      <c r="E1248" t="s">
        <v>108</v>
      </c>
      <c r="F1248">
        <v>60</v>
      </c>
      <c r="G1248" t="s">
        <v>126</v>
      </c>
      <c r="H1248" t="s">
        <v>126</v>
      </c>
      <c r="I1248" t="s">
        <v>108</v>
      </c>
      <c r="J1248" t="s">
        <v>126</v>
      </c>
      <c r="K1248" t="s">
        <v>126</v>
      </c>
      <c r="L1248" t="s">
        <v>126</v>
      </c>
      <c r="M1248" t="s">
        <v>1909</v>
      </c>
      <c r="N1248" t="b">
        <v>0</v>
      </c>
    </row>
    <row r="1249" spans="1:14">
      <c r="A1249">
        <v>83</v>
      </c>
      <c r="B1249">
        <v>15</v>
      </c>
      <c r="C1249" t="s">
        <v>126</v>
      </c>
      <c r="D1249" t="s">
        <v>724</v>
      </c>
      <c r="E1249" t="s">
        <v>126</v>
      </c>
      <c r="F1249">
        <v>0</v>
      </c>
      <c r="G1249" t="s">
        <v>126</v>
      </c>
      <c r="H1249" t="s">
        <v>126</v>
      </c>
      <c r="I1249" t="s">
        <v>126</v>
      </c>
      <c r="J1249" t="s">
        <v>126</v>
      </c>
      <c r="K1249" t="s">
        <v>126</v>
      </c>
      <c r="L1249" t="s">
        <v>126</v>
      </c>
      <c r="M1249" t="s">
        <v>1910</v>
      </c>
      <c r="N1249" t="b">
        <v>0</v>
      </c>
    </row>
    <row r="1250" spans="1:14">
      <c r="A1250">
        <v>83</v>
      </c>
      <c r="B1250">
        <v>16</v>
      </c>
      <c r="C1250" t="s">
        <v>126</v>
      </c>
      <c r="D1250" t="s">
        <v>741</v>
      </c>
      <c r="E1250" t="s">
        <v>126</v>
      </c>
      <c r="F1250">
        <v>0</v>
      </c>
      <c r="G1250" t="s">
        <v>126</v>
      </c>
      <c r="H1250" t="s">
        <v>126</v>
      </c>
      <c r="I1250" t="s">
        <v>126</v>
      </c>
      <c r="J1250" t="s">
        <v>126</v>
      </c>
      <c r="K1250" t="s">
        <v>126</v>
      </c>
      <c r="L1250" t="s">
        <v>126</v>
      </c>
      <c r="M1250" t="s">
        <v>1911</v>
      </c>
      <c r="N1250" t="b">
        <v>0</v>
      </c>
    </row>
    <row r="1251" spans="1:14">
      <c r="A1251">
        <v>83</v>
      </c>
      <c r="B1251">
        <v>17</v>
      </c>
      <c r="C1251" t="s">
        <v>126</v>
      </c>
      <c r="D1251" t="s">
        <v>741</v>
      </c>
      <c r="E1251" t="s">
        <v>126</v>
      </c>
      <c r="F1251">
        <v>0</v>
      </c>
      <c r="G1251" t="s">
        <v>126</v>
      </c>
      <c r="H1251" t="s">
        <v>126</v>
      </c>
      <c r="I1251" t="s">
        <v>126</v>
      </c>
      <c r="J1251" t="s">
        <v>126</v>
      </c>
      <c r="K1251" t="s">
        <v>126</v>
      </c>
      <c r="L1251" t="s">
        <v>126</v>
      </c>
      <c r="M1251" t="s">
        <v>1912</v>
      </c>
      <c r="N1251" t="b">
        <v>0</v>
      </c>
    </row>
    <row r="1252" spans="1:14">
      <c r="A1252">
        <v>83</v>
      </c>
      <c r="B1252">
        <v>18</v>
      </c>
      <c r="C1252" t="s">
        <v>126</v>
      </c>
      <c r="D1252" t="s">
        <v>741</v>
      </c>
      <c r="E1252" t="s">
        <v>126</v>
      </c>
      <c r="F1252">
        <v>0</v>
      </c>
      <c r="G1252" t="s">
        <v>126</v>
      </c>
      <c r="H1252" t="s">
        <v>126</v>
      </c>
      <c r="I1252" t="s">
        <v>126</v>
      </c>
      <c r="J1252" t="s">
        <v>126</v>
      </c>
      <c r="K1252" t="s">
        <v>126</v>
      </c>
      <c r="L1252" t="s">
        <v>126</v>
      </c>
      <c r="M1252" t="s">
        <v>1913</v>
      </c>
      <c r="N1252" t="b">
        <v>0</v>
      </c>
    </row>
    <row r="1253" spans="1:14">
      <c r="A1253">
        <v>83</v>
      </c>
      <c r="B1253">
        <v>19</v>
      </c>
      <c r="C1253" t="s">
        <v>126</v>
      </c>
      <c r="D1253" t="s">
        <v>741</v>
      </c>
      <c r="E1253" t="s">
        <v>126</v>
      </c>
      <c r="F1253">
        <v>0</v>
      </c>
      <c r="G1253" t="s">
        <v>126</v>
      </c>
      <c r="H1253" t="s">
        <v>126</v>
      </c>
      <c r="I1253" t="s">
        <v>126</v>
      </c>
      <c r="J1253" t="s">
        <v>126</v>
      </c>
      <c r="K1253" t="s">
        <v>126</v>
      </c>
      <c r="L1253" t="s">
        <v>126</v>
      </c>
      <c r="M1253" t="s">
        <v>1914</v>
      </c>
      <c r="N1253" t="b">
        <v>0</v>
      </c>
    </row>
    <row r="1254" spans="1:14">
      <c r="A1254">
        <v>83</v>
      </c>
      <c r="B1254">
        <v>20</v>
      </c>
      <c r="C1254" t="s">
        <v>126</v>
      </c>
      <c r="D1254" t="s">
        <v>741</v>
      </c>
      <c r="E1254" t="s">
        <v>126</v>
      </c>
      <c r="F1254">
        <v>0</v>
      </c>
      <c r="G1254" t="s">
        <v>126</v>
      </c>
      <c r="H1254" t="s">
        <v>126</v>
      </c>
      <c r="I1254" t="s">
        <v>126</v>
      </c>
      <c r="J1254" t="s">
        <v>126</v>
      </c>
      <c r="K1254" t="s">
        <v>126</v>
      </c>
      <c r="L1254" t="s">
        <v>126</v>
      </c>
      <c r="M1254" t="s">
        <v>1915</v>
      </c>
      <c r="N1254" t="b">
        <v>0</v>
      </c>
    </row>
    <row r="1255" spans="1:14">
      <c r="A1255">
        <v>83</v>
      </c>
      <c r="B1255">
        <v>21</v>
      </c>
      <c r="C1255" t="s">
        <v>126</v>
      </c>
      <c r="D1255" t="s">
        <v>741</v>
      </c>
      <c r="E1255" t="s">
        <v>126</v>
      </c>
      <c r="F1255">
        <v>0</v>
      </c>
      <c r="G1255" t="s">
        <v>126</v>
      </c>
      <c r="H1255" t="s">
        <v>126</v>
      </c>
      <c r="I1255" t="s">
        <v>126</v>
      </c>
      <c r="J1255" t="s">
        <v>126</v>
      </c>
      <c r="K1255" t="s">
        <v>126</v>
      </c>
      <c r="L1255" t="s">
        <v>126</v>
      </c>
      <c r="M1255" t="s">
        <v>1916</v>
      </c>
      <c r="N1255" t="b">
        <v>0</v>
      </c>
    </row>
    <row r="1256" spans="1:14">
      <c r="A1256">
        <v>83</v>
      </c>
      <c r="B1256">
        <v>22</v>
      </c>
      <c r="C1256" t="s">
        <v>126</v>
      </c>
      <c r="D1256" t="s">
        <v>741</v>
      </c>
      <c r="E1256" t="s">
        <v>126</v>
      </c>
      <c r="F1256">
        <v>0</v>
      </c>
      <c r="G1256" t="s">
        <v>126</v>
      </c>
      <c r="H1256" t="s">
        <v>126</v>
      </c>
      <c r="I1256" t="s">
        <v>126</v>
      </c>
      <c r="J1256" t="s">
        <v>126</v>
      </c>
      <c r="K1256" t="s">
        <v>126</v>
      </c>
      <c r="L1256" t="s">
        <v>126</v>
      </c>
      <c r="M1256" t="s">
        <v>1917</v>
      </c>
      <c r="N1256" t="b">
        <v>0</v>
      </c>
    </row>
    <row r="1257" spans="1:14">
      <c r="A1257">
        <v>83</v>
      </c>
      <c r="B1257">
        <v>23</v>
      </c>
      <c r="C1257" t="s">
        <v>126</v>
      </c>
      <c r="D1257" t="s">
        <v>741</v>
      </c>
      <c r="E1257" t="s">
        <v>126</v>
      </c>
      <c r="F1257">
        <v>0</v>
      </c>
      <c r="G1257" t="s">
        <v>126</v>
      </c>
      <c r="H1257" t="s">
        <v>126</v>
      </c>
      <c r="I1257" t="s">
        <v>126</v>
      </c>
      <c r="J1257" t="s">
        <v>126</v>
      </c>
      <c r="K1257" t="s">
        <v>126</v>
      </c>
      <c r="L1257" t="s">
        <v>126</v>
      </c>
      <c r="M1257" t="s">
        <v>1918</v>
      </c>
      <c r="N1257" t="b">
        <v>0</v>
      </c>
    </row>
    <row r="1258" spans="1:14">
      <c r="A1258">
        <v>83</v>
      </c>
      <c r="B1258">
        <v>24</v>
      </c>
      <c r="C1258" t="s">
        <v>126</v>
      </c>
      <c r="D1258" t="s">
        <v>741</v>
      </c>
      <c r="E1258" t="s">
        <v>126</v>
      </c>
      <c r="F1258">
        <v>0</v>
      </c>
      <c r="G1258" t="s">
        <v>126</v>
      </c>
      <c r="H1258" t="s">
        <v>126</v>
      </c>
      <c r="I1258" t="s">
        <v>126</v>
      </c>
      <c r="J1258" t="s">
        <v>126</v>
      </c>
      <c r="K1258" t="s">
        <v>126</v>
      </c>
      <c r="L1258" t="s">
        <v>126</v>
      </c>
      <c r="M1258" t="s">
        <v>1919</v>
      </c>
      <c r="N1258" t="b">
        <v>0</v>
      </c>
    </row>
    <row r="1259" spans="1:14">
      <c r="A1259">
        <v>83</v>
      </c>
      <c r="B1259">
        <v>25</v>
      </c>
      <c r="C1259" t="s">
        <v>126</v>
      </c>
      <c r="D1259" t="s">
        <v>741</v>
      </c>
      <c r="E1259" t="s">
        <v>126</v>
      </c>
      <c r="F1259">
        <v>0</v>
      </c>
      <c r="G1259" t="s">
        <v>126</v>
      </c>
      <c r="H1259" t="s">
        <v>126</v>
      </c>
      <c r="I1259" t="s">
        <v>126</v>
      </c>
      <c r="J1259" t="s">
        <v>126</v>
      </c>
      <c r="K1259" t="s">
        <v>126</v>
      </c>
      <c r="L1259" t="s">
        <v>126</v>
      </c>
      <c r="M1259" t="s">
        <v>1920</v>
      </c>
      <c r="N1259" t="b">
        <v>0</v>
      </c>
    </row>
    <row r="1260" spans="1:14">
      <c r="A1260">
        <v>83</v>
      </c>
      <c r="B1260">
        <v>26</v>
      </c>
      <c r="C1260" t="s">
        <v>126</v>
      </c>
      <c r="D1260" t="s">
        <v>741</v>
      </c>
      <c r="E1260" t="s">
        <v>126</v>
      </c>
      <c r="F1260">
        <v>0</v>
      </c>
      <c r="G1260" t="s">
        <v>126</v>
      </c>
      <c r="H1260" t="s">
        <v>126</v>
      </c>
      <c r="I1260" t="s">
        <v>126</v>
      </c>
      <c r="J1260" t="s">
        <v>126</v>
      </c>
      <c r="K1260" t="s">
        <v>126</v>
      </c>
      <c r="L1260" t="s">
        <v>126</v>
      </c>
      <c r="M1260" t="s">
        <v>1921</v>
      </c>
      <c r="N1260" t="b">
        <v>0</v>
      </c>
    </row>
    <row r="1261" spans="1:14">
      <c r="A1261">
        <v>86</v>
      </c>
      <c r="B1261">
        <v>0</v>
      </c>
      <c r="C1261" t="s">
        <v>186</v>
      </c>
      <c r="D1261" t="s">
        <v>724</v>
      </c>
      <c r="E1261" t="s">
        <v>65</v>
      </c>
      <c r="F1261">
        <v>50</v>
      </c>
      <c r="G1261" t="s">
        <v>126</v>
      </c>
      <c r="H1261" t="s">
        <v>126</v>
      </c>
      <c r="I1261" t="s">
        <v>65</v>
      </c>
      <c r="J1261" t="s">
        <v>126</v>
      </c>
      <c r="K1261" t="s">
        <v>126</v>
      </c>
      <c r="L1261" t="s">
        <v>126</v>
      </c>
      <c r="M1261" t="s">
        <v>1922</v>
      </c>
      <c r="N1261" t="b">
        <v>0</v>
      </c>
    </row>
    <row r="1262" spans="1:14">
      <c r="A1262">
        <v>86</v>
      </c>
      <c r="B1262">
        <v>1</v>
      </c>
      <c r="C1262" t="s">
        <v>443</v>
      </c>
      <c r="D1262" t="s">
        <v>724</v>
      </c>
      <c r="E1262" t="s">
        <v>83</v>
      </c>
      <c r="F1262">
        <v>20</v>
      </c>
      <c r="G1262" t="s">
        <v>126</v>
      </c>
      <c r="H1262" t="s">
        <v>126</v>
      </c>
      <c r="I1262" t="s">
        <v>83</v>
      </c>
      <c r="J1262" t="s">
        <v>126</v>
      </c>
      <c r="K1262" t="s">
        <v>126</v>
      </c>
      <c r="L1262" t="s">
        <v>126</v>
      </c>
      <c r="M1262" t="s">
        <v>1923</v>
      </c>
      <c r="N1262" t="b">
        <v>0</v>
      </c>
    </row>
    <row r="1263" spans="1:14">
      <c r="A1263">
        <v>86</v>
      </c>
      <c r="B1263">
        <v>2</v>
      </c>
      <c r="C1263" t="s">
        <v>187</v>
      </c>
      <c r="D1263" t="s">
        <v>724</v>
      </c>
      <c r="E1263" t="s">
        <v>93</v>
      </c>
      <c r="F1263">
        <v>50</v>
      </c>
      <c r="G1263" t="s">
        <v>126</v>
      </c>
      <c r="H1263" t="s">
        <v>126</v>
      </c>
      <c r="I1263" t="s">
        <v>93</v>
      </c>
      <c r="J1263" t="s">
        <v>126</v>
      </c>
      <c r="K1263" t="s">
        <v>126</v>
      </c>
      <c r="L1263" t="s">
        <v>126</v>
      </c>
      <c r="M1263" t="s">
        <v>1924</v>
      </c>
      <c r="N1263" t="b">
        <v>0</v>
      </c>
    </row>
    <row r="1264" spans="1:14">
      <c r="A1264">
        <v>86</v>
      </c>
      <c r="B1264">
        <v>3</v>
      </c>
      <c r="C1264" t="s">
        <v>188</v>
      </c>
      <c r="D1264" t="s">
        <v>724</v>
      </c>
      <c r="E1264" t="s">
        <v>99</v>
      </c>
      <c r="F1264">
        <v>50</v>
      </c>
      <c r="G1264" t="s">
        <v>126</v>
      </c>
      <c r="H1264" t="s">
        <v>126</v>
      </c>
      <c r="I1264" t="s">
        <v>99</v>
      </c>
      <c r="J1264" t="s">
        <v>126</v>
      </c>
      <c r="K1264" t="s">
        <v>126</v>
      </c>
      <c r="L1264" t="s">
        <v>126</v>
      </c>
      <c r="M1264" t="s">
        <v>1925</v>
      </c>
      <c r="N1264" t="b">
        <v>0</v>
      </c>
    </row>
    <row r="1265" spans="1:14">
      <c r="A1265">
        <v>86</v>
      </c>
      <c r="B1265">
        <v>4</v>
      </c>
      <c r="C1265" t="s">
        <v>189</v>
      </c>
      <c r="D1265" t="s">
        <v>724</v>
      </c>
      <c r="E1265" t="s">
        <v>101</v>
      </c>
      <c r="F1265">
        <v>50</v>
      </c>
      <c r="G1265" t="s">
        <v>126</v>
      </c>
      <c r="H1265" t="s">
        <v>126</v>
      </c>
      <c r="I1265" t="s">
        <v>101</v>
      </c>
      <c r="J1265" t="s">
        <v>126</v>
      </c>
      <c r="K1265" t="s">
        <v>126</v>
      </c>
      <c r="L1265" t="s">
        <v>126</v>
      </c>
      <c r="M1265" t="s">
        <v>1926</v>
      </c>
      <c r="N1265" t="b">
        <v>0</v>
      </c>
    </row>
    <row r="1266" spans="1:14">
      <c r="A1266">
        <v>86</v>
      </c>
      <c r="B1266">
        <v>5</v>
      </c>
      <c r="C1266" t="s">
        <v>190</v>
      </c>
      <c r="D1266" t="s">
        <v>724</v>
      </c>
      <c r="E1266" t="s">
        <v>109</v>
      </c>
      <c r="F1266">
        <v>30</v>
      </c>
      <c r="G1266" t="s">
        <v>126</v>
      </c>
      <c r="H1266" t="s">
        <v>126</v>
      </c>
      <c r="I1266" t="s">
        <v>109</v>
      </c>
      <c r="J1266" t="s">
        <v>126</v>
      </c>
      <c r="K1266" t="s">
        <v>126</v>
      </c>
      <c r="L1266" t="s">
        <v>126</v>
      </c>
      <c r="M1266" t="s">
        <v>1927</v>
      </c>
      <c r="N1266" t="b">
        <v>0</v>
      </c>
    </row>
    <row r="1267" spans="1:14">
      <c r="A1267">
        <v>86</v>
      </c>
      <c r="B1267">
        <v>6</v>
      </c>
      <c r="C1267" t="s">
        <v>444</v>
      </c>
      <c r="D1267" t="s">
        <v>724</v>
      </c>
      <c r="E1267" t="s">
        <v>297</v>
      </c>
      <c r="F1267">
        <v>40</v>
      </c>
      <c r="G1267" t="s">
        <v>126</v>
      </c>
      <c r="H1267" t="s">
        <v>1897</v>
      </c>
      <c r="I1267" t="s">
        <v>1898</v>
      </c>
      <c r="J1267" t="s">
        <v>126</v>
      </c>
      <c r="K1267" t="s">
        <v>762</v>
      </c>
      <c r="L1267" t="s">
        <v>763</v>
      </c>
      <c r="M1267" t="s">
        <v>1928</v>
      </c>
      <c r="N1267" t="b">
        <v>0</v>
      </c>
    </row>
    <row r="1268" spans="1:14">
      <c r="A1268">
        <v>86</v>
      </c>
      <c r="B1268">
        <v>7</v>
      </c>
      <c r="C1268" t="s">
        <v>254</v>
      </c>
      <c r="D1268" t="s">
        <v>724</v>
      </c>
      <c r="E1268" t="s">
        <v>115</v>
      </c>
      <c r="F1268">
        <v>40</v>
      </c>
      <c r="G1268" t="s">
        <v>126</v>
      </c>
      <c r="H1268" t="s">
        <v>126</v>
      </c>
      <c r="I1268" t="s">
        <v>115</v>
      </c>
      <c r="J1268" t="s">
        <v>126</v>
      </c>
      <c r="K1268" t="s">
        <v>126</v>
      </c>
      <c r="L1268" t="s">
        <v>126</v>
      </c>
      <c r="M1268" t="s">
        <v>1929</v>
      </c>
      <c r="N1268" t="b">
        <v>0</v>
      </c>
    </row>
    <row r="1269" spans="1:14">
      <c r="A1269">
        <v>86</v>
      </c>
      <c r="B1269">
        <v>8</v>
      </c>
      <c r="C1269" t="s">
        <v>192</v>
      </c>
      <c r="D1269" t="s">
        <v>724</v>
      </c>
      <c r="E1269" t="s">
        <v>61</v>
      </c>
      <c r="F1269">
        <v>30</v>
      </c>
      <c r="G1269" t="s">
        <v>126</v>
      </c>
      <c r="H1269" t="s">
        <v>126</v>
      </c>
      <c r="I1269" t="s">
        <v>61</v>
      </c>
      <c r="J1269" t="s">
        <v>126</v>
      </c>
      <c r="K1269" t="s">
        <v>126</v>
      </c>
      <c r="L1269" t="s">
        <v>126</v>
      </c>
      <c r="M1269" t="s">
        <v>1930</v>
      </c>
      <c r="N1269" t="b">
        <v>0</v>
      </c>
    </row>
    <row r="1270" spans="1:14">
      <c r="A1270">
        <v>86</v>
      </c>
      <c r="B1270">
        <v>9</v>
      </c>
      <c r="C1270" t="s">
        <v>355</v>
      </c>
      <c r="D1270" t="s">
        <v>724</v>
      </c>
      <c r="E1270" t="s">
        <v>74</v>
      </c>
      <c r="F1270">
        <v>60</v>
      </c>
      <c r="G1270" t="s">
        <v>126</v>
      </c>
      <c r="H1270" t="s">
        <v>126</v>
      </c>
      <c r="I1270" t="s">
        <v>74</v>
      </c>
      <c r="J1270" t="s">
        <v>126</v>
      </c>
      <c r="K1270" t="s">
        <v>126</v>
      </c>
      <c r="L1270" t="s">
        <v>126</v>
      </c>
      <c r="M1270" t="s">
        <v>1931</v>
      </c>
      <c r="N1270" t="b">
        <v>0</v>
      </c>
    </row>
    <row r="1271" spans="1:14">
      <c r="A1271">
        <v>86</v>
      </c>
      <c r="B1271">
        <v>10</v>
      </c>
      <c r="C1271" t="s">
        <v>193</v>
      </c>
      <c r="D1271" t="s">
        <v>724</v>
      </c>
      <c r="E1271" t="s">
        <v>78</v>
      </c>
      <c r="F1271">
        <v>50</v>
      </c>
      <c r="G1271" t="s">
        <v>126</v>
      </c>
      <c r="H1271" t="s">
        <v>126</v>
      </c>
      <c r="I1271" t="s">
        <v>78</v>
      </c>
      <c r="J1271" t="s">
        <v>126</v>
      </c>
      <c r="K1271" t="s">
        <v>126</v>
      </c>
      <c r="L1271" t="s">
        <v>126</v>
      </c>
      <c r="M1271" t="s">
        <v>1932</v>
      </c>
      <c r="N1271" t="b">
        <v>0</v>
      </c>
    </row>
    <row r="1272" spans="1:14">
      <c r="A1272">
        <v>86</v>
      </c>
      <c r="B1272">
        <v>11</v>
      </c>
      <c r="C1272" t="s">
        <v>199</v>
      </c>
      <c r="D1272" t="s">
        <v>724</v>
      </c>
      <c r="E1272" t="s">
        <v>84</v>
      </c>
      <c r="F1272">
        <v>50</v>
      </c>
      <c r="G1272" t="s">
        <v>126</v>
      </c>
      <c r="H1272" t="s">
        <v>126</v>
      </c>
      <c r="I1272" t="s">
        <v>84</v>
      </c>
      <c r="J1272" t="s">
        <v>126</v>
      </c>
      <c r="K1272" t="s">
        <v>126</v>
      </c>
      <c r="L1272" t="s">
        <v>126</v>
      </c>
      <c r="M1272" t="s">
        <v>1933</v>
      </c>
      <c r="N1272" t="b">
        <v>0</v>
      </c>
    </row>
    <row r="1273" spans="1:14">
      <c r="A1273">
        <v>86</v>
      </c>
      <c r="B1273">
        <v>12</v>
      </c>
      <c r="C1273" t="s">
        <v>194</v>
      </c>
      <c r="D1273" t="s">
        <v>724</v>
      </c>
      <c r="E1273" t="s">
        <v>98</v>
      </c>
      <c r="F1273">
        <v>50</v>
      </c>
      <c r="G1273" t="s">
        <v>126</v>
      </c>
      <c r="H1273" t="s">
        <v>126</v>
      </c>
      <c r="I1273" t="s">
        <v>98</v>
      </c>
      <c r="J1273" t="s">
        <v>126</v>
      </c>
      <c r="K1273" t="s">
        <v>126</v>
      </c>
      <c r="L1273" t="s">
        <v>126</v>
      </c>
      <c r="M1273" t="s">
        <v>1934</v>
      </c>
      <c r="N1273" t="b">
        <v>0</v>
      </c>
    </row>
    <row r="1274" spans="1:14">
      <c r="A1274">
        <v>86</v>
      </c>
      <c r="B1274">
        <v>13</v>
      </c>
      <c r="C1274" t="s">
        <v>389</v>
      </c>
      <c r="D1274" t="s">
        <v>724</v>
      </c>
      <c r="E1274" t="s">
        <v>106</v>
      </c>
      <c r="F1274">
        <v>60</v>
      </c>
      <c r="G1274" t="s">
        <v>126</v>
      </c>
      <c r="H1274" t="s">
        <v>126</v>
      </c>
      <c r="I1274" t="s">
        <v>106</v>
      </c>
      <c r="J1274" t="s">
        <v>126</v>
      </c>
      <c r="K1274" t="s">
        <v>126</v>
      </c>
      <c r="L1274" t="s">
        <v>126</v>
      </c>
      <c r="M1274" t="s">
        <v>1935</v>
      </c>
      <c r="N1274" t="b">
        <v>0</v>
      </c>
    </row>
    <row r="1275" spans="1:14">
      <c r="A1275">
        <v>86</v>
      </c>
      <c r="B1275">
        <v>14</v>
      </c>
      <c r="C1275" t="s">
        <v>195</v>
      </c>
      <c r="D1275" t="s">
        <v>724</v>
      </c>
      <c r="E1275" t="s">
        <v>108</v>
      </c>
      <c r="F1275">
        <v>60</v>
      </c>
      <c r="G1275" t="s">
        <v>126</v>
      </c>
      <c r="H1275" t="s">
        <v>126</v>
      </c>
      <c r="I1275" t="s">
        <v>108</v>
      </c>
      <c r="J1275" t="s">
        <v>126</v>
      </c>
      <c r="K1275" t="s">
        <v>126</v>
      </c>
      <c r="L1275" t="s">
        <v>126</v>
      </c>
      <c r="M1275" t="s">
        <v>1936</v>
      </c>
      <c r="N1275" t="b">
        <v>0</v>
      </c>
    </row>
    <row r="1276" spans="1:14">
      <c r="A1276">
        <v>86</v>
      </c>
      <c r="B1276">
        <v>15</v>
      </c>
      <c r="C1276" t="s">
        <v>126</v>
      </c>
      <c r="D1276" t="s">
        <v>724</v>
      </c>
      <c r="E1276" t="s">
        <v>126</v>
      </c>
      <c r="F1276">
        <v>0</v>
      </c>
      <c r="G1276" t="s">
        <v>126</v>
      </c>
      <c r="H1276" t="s">
        <v>126</v>
      </c>
      <c r="I1276" t="s">
        <v>126</v>
      </c>
      <c r="J1276" t="s">
        <v>126</v>
      </c>
      <c r="K1276" t="s">
        <v>126</v>
      </c>
      <c r="L1276" t="s">
        <v>126</v>
      </c>
      <c r="M1276" t="s">
        <v>1937</v>
      </c>
      <c r="N1276" t="b">
        <v>0</v>
      </c>
    </row>
    <row r="1277" spans="1:14">
      <c r="A1277">
        <v>86</v>
      </c>
      <c r="B1277">
        <v>16</v>
      </c>
      <c r="C1277" t="s">
        <v>126</v>
      </c>
      <c r="D1277" t="s">
        <v>741</v>
      </c>
      <c r="E1277" t="s">
        <v>126</v>
      </c>
      <c r="F1277">
        <v>0</v>
      </c>
      <c r="G1277" t="s">
        <v>126</v>
      </c>
      <c r="H1277" t="s">
        <v>126</v>
      </c>
      <c r="I1277" t="s">
        <v>126</v>
      </c>
      <c r="J1277" t="s">
        <v>126</v>
      </c>
      <c r="K1277" t="s">
        <v>126</v>
      </c>
      <c r="L1277" t="s">
        <v>126</v>
      </c>
      <c r="M1277" t="s">
        <v>1938</v>
      </c>
      <c r="N1277" t="b">
        <v>0</v>
      </c>
    </row>
    <row r="1278" spans="1:14">
      <c r="A1278">
        <v>86</v>
      </c>
      <c r="B1278">
        <v>17</v>
      </c>
      <c r="C1278" t="s">
        <v>126</v>
      </c>
      <c r="D1278" t="s">
        <v>741</v>
      </c>
      <c r="E1278" t="s">
        <v>126</v>
      </c>
      <c r="F1278">
        <v>0</v>
      </c>
      <c r="G1278" t="s">
        <v>126</v>
      </c>
      <c r="H1278" t="s">
        <v>126</v>
      </c>
      <c r="I1278" t="s">
        <v>126</v>
      </c>
      <c r="J1278" t="s">
        <v>126</v>
      </c>
      <c r="K1278" t="s">
        <v>126</v>
      </c>
      <c r="L1278" t="s">
        <v>126</v>
      </c>
      <c r="M1278" t="s">
        <v>1939</v>
      </c>
      <c r="N1278" t="b">
        <v>0</v>
      </c>
    </row>
    <row r="1279" spans="1:14">
      <c r="A1279">
        <v>86</v>
      </c>
      <c r="B1279">
        <v>18</v>
      </c>
      <c r="C1279" t="s">
        <v>126</v>
      </c>
      <c r="D1279" t="s">
        <v>741</v>
      </c>
      <c r="E1279" t="s">
        <v>126</v>
      </c>
      <c r="F1279">
        <v>0</v>
      </c>
      <c r="G1279" t="s">
        <v>126</v>
      </c>
      <c r="H1279" t="s">
        <v>126</v>
      </c>
      <c r="I1279" t="s">
        <v>126</v>
      </c>
      <c r="J1279" t="s">
        <v>126</v>
      </c>
      <c r="K1279" t="s">
        <v>126</v>
      </c>
      <c r="L1279" t="s">
        <v>126</v>
      </c>
      <c r="M1279" t="s">
        <v>1940</v>
      </c>
      <c r="N1279" t="b">
        <v>0</v>
      </c>
    </row>
    <row r="1280" spans="1:14">
      <c r="A1280">
        <v>86</v>
      </c>
      <c r="B1280">
        <v>19</v>
      </c>
      <c r="C1280" t="s">
        <v>126</v>
      </c>
      <c r="D1280" t="s">
        <v>741</v>
      </c>
      <c r="E1280" t="s">
        <v>126</v>
      </c>
      <c r="F1280">
        <v>0</v>
      </c>
      <c r="G1280" t="s">
        <v>126</v>
      </c>
      <c r="H1280" t="s">
        <v>126</v>
      </c>
      <c r="I1280" t="s">
        <v>126</v>
      </c>
      <c r="J1280" t="s">
        <v>126</v>
      </c>
      <c r="K1280" t="s">
        <v>126</v>
      </c>
      <c r="L1280" t="s">
        <v>126</v>
      </c>
      <c r="M1280" t="s">
        <v>1941</v>
      </c>
      <c r="N1280" t="b">
        <v>0</v>
      </c>
    </row>
    <row r="1281" spans="1:14">
      <c r="A1281">
        <v>86</v>
      </c>
      <c r="B1281">
        <v>20</v>
      </c>
      <c r="C1281" t="s">
        <v>126</v>
      </c>
      <c r="D1281" t="s">
        <v>741</v>
      </c>
      <c r="E1281" t="s">
        <v>126</v>
      </c>
      <c r="F1281">
        <v>0</v>
      </c>
      <c r="G1281" t="s">
        <v>126</v>
      </c>
      <c r="H1281" t="s">
        <v>126</v>
      </c>
      <c r="I1281" t="s">
        <v>126</v>
      </c>
      <c r="J1281" t="s">
        <v>126</v>
      </c>
      <c r="K1281" t="s">
        <v>126</v>
      </c>
      <c r="L1281" t="s">
        <v>126</v>
      </c>
      <c r="M1281" t="s">
        <v>1942</v>
      </c>
      <c r="N1281" t="b">
        <v>0</v>
      </c>
    </row>
    <row r="1282" spans="1:14">
      <c r="A1282">
        <v>86</v>
      </c>
      <c r="B1282">
        <v>21</v>
      </c>
      <c r="C1282" t="s">
        <v>126</v>
      </c>
      <c r="D1282" t="s">
        <v>741</v>
      </c>
      <c r="E1282" t="s">
        <v>126</v>
      </c>
      <c r="F1282">
        <v>0</v>
      </c>
      <c r="G1282" t="s">
        <v>126</v>
      </c>
      <c r="H1282" t="s">
        <v>126</v>
      </c>
      <c r="I1282" t="s">
        <v>126</v>
      </c>
      <c r="J1282" t="s">
        <v>126</v>
      </c>
      <c r="K1282" t="s">
        <v>126</v>
      </c>
      <c r="L1282" t="s">
        <v>126</v>
      </c>
      <c r="M1282" t="s">
        <v>1943</v>
      </c>
      <c r="N1282" t="b">
        <v>0</v>
      </c>
    </row>
    <row r="1283" spans="1:14">
      <c r="A1283">
        <v>86</v>
      </c>
      <c r="B1283">
        <v>22</v>
      </c>
      <c r="C1283" t="s">
        <v>126</v>
      </c>
      <c r="D1283" t="s">
        <v>741</v>
      </c>
      <c r="E1283" t="s">
        <v>126</v>
      </c>
      <c r="F1283">
        <v>0</v>
      </c>
      <c r="G1283" t="s">
        <v>126</v>
      </c>
      <c r="H1283" t="s">
        <v>126</v>
      </c>
      <c r="I1283" t="s">
        <v>126</v>
      </c>
      <c r="J1283" t="s">
        <v>126</v>
      </c>
      <c r="K1283" t="s">
        <v>126</v>
      </c>
      <c r="L1283" t="s">
        <v>126</v>
      </c>
      <c r="M1283" t="s">
        <v>1944</v>
      </c>
      <c r="N1283" t="b">
        <v>0</v>
      </c>
    </row>
    <row r="1284" spans="1:14">
      <c r="A1284">
        <v>86</v>
      </c>
      <c r="B1284">
        <v>23</v>
      </c>
      <c r="C1284" t="s">
        <v>126</v>
      </c>
      <c r="D1284" t="s">
        <v>741</v>
      </c>
      <c r="E1284" t="s">
        <v>126</v>
      </c>
      <c r="F1284">
        <v>0</v>
      </c>
      <c r="G1284" t="s">
        <v>126</v>
      </c>
      <c r="H1284" t="s">
        <v>126</v>
      </c>
      <c r="I1284" t="s">
        <v>126</v>
      </c>
      <c r="J1284" t="s">
        <v>126</v>
      </c>
      <c r="K1284" t="s">
        <v>126</v>
      </c>
      <c r="L1284" t="s">
        <v>126</v>
      </c>
      <c r="M1284" t="s">
        <v>1945</v>
      </c>
      <c r="N1284" t="b">
        <v>0</v>
      </c>
    </row>
    <row r="1285" spans="1:14">
      <c r="A1285">
        <v>86</v>
      </c>
      <c r="B1285">
        <v>24</v>
      </c>
      <c r="C1285" t="s">
        <v>126</v>
      </c>
      <c r="D1285" t="s">
        <v>741</v>
      </c>
      <c r="E1285" t="s">
        <v>126</v>
      </c>
      <c r="F1285">
        <v>0</v>
      </c>
      <c r="G1285" t="s">
        <v>126</v>
      </c>
      <c r="H1285" t="s">
        <v>126</v>
      </c>
      <c r="I1285" t="s">
        <v>126</v>
      </c>
      <c r="J1285" t="s">
        <v>126</v>
      </c>
      <c r="K1285" t="s">
        <v>126</v>
      </c>
      <c r="L1285" t="s">
        <v>126</v>
      </c>
      <c r="M1285" t="s">
        <v>1946</v>
      </c>
      <c r="N1285" t="b">
        <v>0</v>
      </c>
    </row>
    <row r="1286" spans="1:14">
      <c r="A1286">
        <v>86</v>
      </c>
      <c r="B1286">
        <v>25</v>
      </c>
      <c r="C1286" t="s">
        <v>126</v>
      </c>
      <c r="D1286" t="s">
        <v>741</v>
      </c>
      <c r="E1286" t="s">
        <v>126</v>
      </c>
      <c r="F1286">
        <v>0</v>
      </c>
      <c r="G1286" t="s">
        <v>126</v>
      </c>
      <c r="H1286" t="s">
        <v>126</v>
      </c>
      <c r="I1286" t="s">
        <v>126</v>
      </c>
      <c r="J1286" t="s">
        <v>126</v>
      </c>
      <c r="K1286" t="s">
        <v>126</v>
      </c>
      <c r="L1286" t="s">
        <v>126</v>
      </c>
      <c r="M1286" t="s">
        <v>1947</v>
      </c>
      <c r="N1286" t="b">
        <v>0</v>
      </c>
    </row>
    <row r="1287" spans="1:14">
      <c r="A1287">
        <v>86</v>
      </c>
      <c r="B1287">
        <v>26</v>
      </c>
      <c r="C1287" t="s">
        <v>126</v>
      </c>
      <c r="D1287" t="s">
        <v>741</v>
      </c>
      <c r="E1287" t="s">
        <v>126</v>
      </c>
      <c r="F1287">
        <v>0</v>
      </c>
      <c r="G1287" t="s">
        <v>126</v>
      </c>
      <c r="H1287" t="s">
        <v>126</v>
      </c>
      <c r="I1287" t="s">
        <v>126</v>
      </c>
      <c r="J1287" t="s">
        <v>126</v>
      </c>
      <c r="K1287" t="s">
        <v>126</v>
      </c>
      <c r="L1287" t="s">
        <v>126</v>
      </c>
      <c r="M1287" t="s">
        <v>1948</v>
      </c>
      <c r="N1287" t="b">
        <v>0</v>
      </c>
    </row>
    <row r="1288" spans="1:14">
      <c r="A1288">
        <v>87</v>
      </c>
      <c r="B1288">
        <v>0</v>
      </c>
      <c r="C1288" t="s">
        <v>179</v>
      </c>
      <c r="D1288" t="s">
        <v>724</v>
      </c>
      <c r="E1288" t="s">
        <v>83</v>
      </c>
      <c r="F1288">
        <v>50</v>
      </c>
      <c r="G1288" t="s">
        <v>126</v>
      </c>
      <c r="H1288" t="s">
        <v>126</v>
      </c>
      <c r="I1288" t="s">
        <v>83</v>
      </c>
      <c r="J1288" t="s">
        <v>126</v>
      </c>
      <c r="K1288" t="s">
        <v>126</v>
      </c>
      <c r="L1288" t="s">
        <v>126</v>
      </c>
      <c r="M1288" t="s">
        <v>1949</v>
      </c>
      <c r="N1288" t="b">
        <v>0</v>
      </c>
    </row>
    <row r="1289" spans="1:14">
      <c r="A1289">
        <v>87</v>
      </c>
      <c r="B1289">
        <v>1</v>
      </c>
      <c r="C1289" t="s">
        <v>202</v>
      </c>
      <c r="D1289" t="s">
        <v>724</v>
      </c>
      <c r="E1289" t="s">
        <v>103</v>
      </c>
      <c r="F1289">
        <v>60</v>
      </c>
      <c r="G1289" t="s">
        <v>126</v>
      </c>
      <c r="H1289" t="s">
        <v>126</v>
      </c>
      <c r="I1289" t="s">
        <v>103</v>
      </c>
      <c r="J1289" t="s">
        <v>126</v>
      </c>
      <c r="K1289" t="s">
        <v>126</v>
      </c>
      <c r="L1289" t="s">
        <v>126</v>
      </c>
      <c r="M1289" t="s">
        <v>1950</v>
      </c>
      <c r="N1289" t="b">
        <v>0</v>
      </c>
    </row>
    <row r="1290" spans="1:14">
      <c r="A1290">
        <v>87</v>
      </c>
      <c r="B1290">
        <v>2</v>
      </c>
      <c r="C1290" t="s">
        <v>206</v>
      </c>
      <c r="D1290" t="s">
        <v>724</v>
      </c>
      <c r="E1290" t="s">
        <v>109</v>
      </c>
      <c r="F1290">
        <v>50</v>
      </c>
      <c r="G1290" t="s">
        <v>126</v>
      </c>
      <c r="H1290" t="s">
        <v>126</v>
      </c>
      <c r="I1290" t="s">
        <v>109</v>
      </c>
      <c r="J1290" t="s">
        <v>126</v>
      </c>
      <c r="K1290" t="s">
        <v>126</v>
      </c>
      <c r="L1290" t="s">
        <v>126</v>
      </c>
      <c r="M1290" t="s">
        <v>1951</v>
      </c>
      <c r="N1290" t="b">
        <v>0</v>
      </c>
    </row>
    <row r="1291" spans="1:14">
      <c r="A1291">
        <v>87</v>
      </c>
      <c r="B1291">
        <v>3</v>
      </c>
      <c r="C1291" t="s">
        <v>203</v>
      </c>
      <c r="D1291" t="s">
        <v>724</v>
      </c>
      <c r="E1291" t="s">
        <v>66</v>
      </c>
      <c r="F1291">
        <v>60</v>
      </c>
      <c r="G1291" t="s">
        <v>126</v>
      </c>
      <c r="H1291" t="s">
        <v>126</v>
      </c>
      <c r="I1291" t="s">
        <v>66</v>
      </c>
      <c r="J1291" t="s">
        <v>126</v>
      </c>
      <c r="K1291" t="s">
        <v>126</v>
      </c>
      <c r="L1291" t="s">
        <v>126</v>
      </c>
      <c r="M1291" t="s">
        <v>1952</v>
      </c>
      <c r="N1291" t="b">
        <v>0</v>
      </c>
    </row>
    <row r="1292" spans="1:14">
      <c r="A1292">
        <v>87</v>
      </c>
      <c r="B1292">
        <v>4</v>
      </c>
      <c r="C1292" t="s">
        <v>276</v>
      </c>
      <c r="D1292" t="s">
        <v>724</v>
      </c>
      <c r="E1292" t="s">
        <v>74</v>
      </c>
      <c r="F1292">
        <v>40</v>
      </c>
      <c r="G1292" t="s">
        <v>126</v>
      </c>
      <c r="H1292" t="s">
        <v>126</v>
      </c>
      <c r="I1292" t="s">
        <v>74</v>
      </c>
      <c r="J1292" t="s">
        <v>126</v>
      </c>
      <c r="K1292" t="s">
        <v>126</v>
      </c>
      <c r="L1292" t="s">
        <v>126</v>
      </c>
      <c r="M1292" t="s">
        <v>1953</v>
      </c>
      <c r="N1292" t="b">
        <v>0</v>
      </c>
    </row>
    <row r="1293" spans="1:14">
      <c r="A1293">
        <v>87</v>
      </c>
      <c r="B1293">
        <v>5</v>
      </c>
      <c r="C1293" t="s">
        <v>163</v>
      </c>
      <c r="D1293" t="s">
        <v>724</v>
      </c>
      <c r="E1293" t="s">
        <v>78</v>
      </c>
      <c r="F1293">
        <v>40</v>
      </c>
      <c r="G1293" t="s">
        <v>126</v>
      </c>
      <c r="H1293" t="s">
        <v>126</v>
      </c>
      <c r="I1293" t="s">
        <v>78</v>
      </c>
      <c r="J1293" t="s">
        <v>126</v>
      </c>
      <c r="K1293" t="s">
        <v>126</v>
      </c>
      <c r="L1293" t="s">
        <v>126</v>
      </c>
      <c r="M1293" t="s">
        <v>1954</v>
      </c>
      <c r="N1293" t="b">
        <v>0</v>
      </c>
    </row>
    <row r="1294" spans="1:14">
      <c r="A1294">
        <v>87</v>
      </c>
      <c r="B1294">
        <v>6</v>
      </c>
      <c r="C1294" t="s">
        <v>199</v>
      </c>
      <c r="D1294" t="s">
        <v>724</v>
      </c>
      <c r="E1294" t="s">
        <v>84</v>
      </c>
      <c r="F1294">
        <v>50</v>
      </c>
      <c r="G1294" t="s">
        <v>126</v>
      </c>
      <c r="H1294" t="s">
        <v>126</v>
      </c>
      <c r="I1294" t="s">
        <v>84</v>
      </c>
      <c r="J1294" t="s">
        <v>126</v>
      </c>
      <c r="K1294" t="s">
        <v>126</v>
      </c>
      <c r="L1294" t="s">
        <v>126</v>
      </c>
      <c r="M1294" t="s">
        <v>1955</v>
      </c>
      <c r="N1294" t="b">
        <v>0</v>
      </c>
    </row>
    <row r="1295" spans="1:14">
      <c r="A1295">
        <v>87</v>
      </c>
      <c r="B1295">
        <v>7</v>
      </c>
      <c r="C1295" t="s">
        <v>447</v>
      </c>
      <c r="D1295" t="s">
        <v>724</v>
      </c>
      <c r="E1295" t="s">
        <v>545</v>
      </c>
      <c r="F1295">
        <v>50</v>
      </c>
      <c r="G1295" t="s">
        <v>126</v>
      </c>
      <c r="H1295" t="s">
        <v>555</v>
      </c>
      <c r="I1295" t="s">
        <v>332</v>
      </c>
      <c r="J1295" t="s">
        <v>126</v>
      </c>
      <c r="K1295" t="s">
        <v>801</v>
      </c>
      <c r="L1295" t="s">
        <v>802</v>
      </c>
      <c r="M1295" t="s">
        <v>1956</v>
      </c>
      <c r="N1295" t="b">
        <v>0</v>
      </c>
    </row>
    <row r="1296" spans="1:14">
      <c r="A1296">
        <v>87</v>
      </c>
      <c r="B1296">
        <v>8</v>
      </c>
      <c r="C1296" t="s">
        <v>194</v>
      </c>
      <c r="D1296" t="s">
        <v>724</v>
      </c>
      <c r="E1296" t="s">
        <v>98</v>
      </c>
      <c r="F1296">
        <v>50</v>
      </c>
      <c r="G1296" t="s">
        <v>126</v>
      </c>
      <c r="H1296" t="s">
        <v>126</v>
      </c>
      <c r="I1296" t="s">
        <v>98</v>
      </c>
      <c r="J1296" t="s">
        <v>126</v>
      </c>
      <c r="K1296" t="s">
        <v>126</v>
      </c>
      <c r="L1296" t="s">
        <v>126</v>
      </c>
      <c r="M1296" t="s">
        <v>1957</v>
      </c>
      <c r="N1296" t="b">
        <v>0</v>
      </c>
    </row>
    <row r="1297" spans="1:14">
      <c r="A1297">
        <v>87</v>
      </c>
      <c r="B1297">
        <v>9</v>
      </c>
      <c r="C1297" t="s">
        <v>209</v>
      </c>
      <c r="D1297" t="s">
        <v>724</v>
      </c>
      <c r="E1297" t="s">
        <v>104</v>
      </c>
      <c r="F1297">
        <v>50</v>
      </c>
      <c r="G1297" t="s">
        <v>126</v>
      </c>
      <c r="H1297" t="s">
        <v>126</v>
      </c>
      <c r="I1297" t="s">
        <v>104</v>
      </c>
      <c r="J1297" t="s">
        <v>126</v>
      </c>
      <c r="K1297" t="s">
        <v>126</v>
      </c>
      <c r="L1297" t="s">
        <v>126</v>
      </c>
      <c r="M1297" t="s">
        <v>1958</v>
      </c>
      <c r="N1297" t="b">
        <v>0</v>
      </c>
    </row>
    <row r="1298" spans="1:14">
      <c r="A1298">
        <v>87</v>
      </c>
      <c r="B1298">
        <v>10</v>
      </c>
      <c r="C1298" t="s">
        <v>320</v>
      </c>
      <c r="D1298" t="s">
        <v>724</v>
      </c>
      <c r="E1298" t="s">
        <v>106</v>
      </c>
      <c r="F1298">
        <v>30</v>
      </c>
      <c r="G1298" t="s">
        <v>126</v>
      </c>
      <c r="H1298" t="s">
        <v>126</v>
      </c>
      <c r="I1298" t="s">
        <v>106</v>
      </c>
      <c r="J1298" t="s">
        <v>126</v>
      </c>
      <c r="K1298" t="s">
        <v>126</v>
      </c>
      <c r="L1298" t="s">
        <v>126</v>
      </c>
      <c r="M1298" t="s">
        <v>1959</v>
      </c>
      <c r="N1298" t="b">
        <v>0</v>
      </c>
    </row>
    <row r="1299" spans="1:14">
      <c r="A1299">
        <v>87</v>
      </c>
      <c r="B1299">
        <v>11</v>
      </c>
      <c r="C1299" t="s">
        <v>126</v>
      </c>
      <c r="D1299" t="s">
        <v>724</v>
      </c>
      <c r="E1299" t="s">
        <v>126</v>
      </c>
      <c r="F1299">
        <v>0</v>
      </c>
      <c r="G1299" t="s">
        <v>126</v>
      </c>
      <c r="H1299" t="s">
        <v>126</v>
      </c>
      <c r="I1299" t="s">
        <v>126</v>
      </c>
      <c r="J1299" t="s">
        <v>126</v>
      </c>
      <c r="K1299" t="s">
        <v>126</v>
      </c>
      <c r="L1299" t="s">
        <v>126</v>
      </c>
      <c r="M1299" t="s">
        <v>1960</v>
      </c>
      <c r="N1299" t="b">
        <v>0</v>
      </c>
    </row>
    <row r="1300" spans="1:14">
      <c r="A1300">
        <v>87</v>
      </c>
      <c r="B1300">
        <v>12</v>
      </c>
      <c r="C1300" t="s">
        <v>126</v>
      </c>
      <c r="D1300" t="s">
        <v>724</v>
      </c>
      <c r="E1300" t="s">
        <v>126</v>
      </c>
      <c r="F1300">
        <v>0</v>
      </c>
      <c r="G1300" t="s">
        <v>126</v>
      </c>
      <c r="H1300" t="s">
        <v>126</v>
      </c>
      <c r="I1300" t="s">
        <v>126</v>
      </c>
      <c r="J1300" t="s">
        <v>126</v>
      </c>
      <c r="K1300" t="s">
        <v>126</v>
      </c>
      <c r="L1300" t="s">
        <v>126</v>
      </c>
      <c r="M1300" t="s">
        <v>1961</v>
      </c>
      <c r="N1300" t="b">
        <v>0</v>
      </c>
    </row>
    <row r="1301" spans="1:14">
      <c r="A1301">
        <v>87</v>
      </c>
      <c r="B1301">
        <v>13</v>
      </c>
      <c r="C1301" t="s">
        <v>126</v>
      </c>
      <c r="D1301" t="s">
        <v>724</v>
      </c>
      <c r="E1301" t="s">
        <v>126</v>
      </c>
      <c r="F1301">
        <v>0</v>
      </c>
      <c r="G1301" t="s">
        <v>126</v>
      </c>
      <c r="H1301" t="s">
        <v>126</v>
      </c>
      <c r="I1301" t="s">
        <v>126</v>
      </c>
      <c r="J1301" t="s">
        <v>126</v>
      </c>
      <c r="K1301" t="s">
        <v>126</v>
      </c>
      <c r="L1301" t="s">
        <v>126</v>
      </c>
      <c r="M1301" t="s">
        <v>1962</v>
      </c>
      <c r="N1301" t="b">
        <v>0</v>
      </c>
    </row>
    <row r="1302" spans="1:14">
      <c r="A1302">
        <v>87</v>
      </c>
      <c r="B1302">
        <v>14</v>
      </c>
      <c r="C1302" t="s">
        <v>126</v>
      </c>
      <c r="D1302" t="s">
        <v>724</v>
      </c>
      <c r="E1302" t="s">
        <v>126</v>
      </c>
      <c r="F1302">
        <v>0</v>
      </c>
      <c r="G1302" t="s">
        <v>126</v>
      </c>
      <c r="H1302" t="s">
        <v>126</v>
      </c>
      <c r="I1302" t="s">
        <v>126</v>
      </c>
      <c r="J1302" t="s">
        <v>126</v>
      </c>
      <c r="K1302" t="s">
        <v>126</v>
      </c>
      <c r="L1302" t="s">
        <v>126</v>
      </c>
      <c r="M1302" t="s">
        <v>1963</v>
      </c>
      <c r="N1302" t="b">
        <v>0</v>
      </c>
    </row>
    <row r="1303" spans="1:14">
      <c r="A1303">
        <v>87</v>
      </c>
      <c r="B1303">
        <v>15</v>
      </c>
      <c r="C1303" t="s">
        <v>126</v>
      </c>
      <c r="D1303" t="s">
        <v>724</v>
      </c>
      <c r="E1303" t="s">
        <v>126</v>
      </c>
      <c r="F1303">
        <v>0</v>
      </c>
      <c r="G1303" t="s">
        <v>126</v>
      </c>
      <c r="H1303" t="s">
        <v>126</v>
      </c>
      <c r="I1303" t="s">
        <v>126</v>
      </c>
      <c r="J1303" t="s">
        <v>126</v>
      </c>
      <c r="K1303" t="s">
        <v>126</v>
      </c>
      <c r="L1303" t="s">
        <v>126</v>
      </c>
      <c r="M1303" t="s">
        <v>1964</v>
      </c>
      <c r="N1303" t="b">
        <v>0</v>
      </c>
    </row>
    <row r="1304" spans="1:14">
      <c r="A1304">
        <v>87</v>
      </c>
      <c r="B1304">
        <v>16</v>
      </c>
      <c r="C1304" t="s">
        <v>126</v>
      </c>
      <c r="D1304" t="s">
        <v>741</v>
      </c>
      <c r="E1304" t="s">
        <v>126</v>
      </c>
      <c r="F1304">
        <v>0</v>
      </c>
      <c r="G1304" t="s">
        <v>126</v>
      </c>
      <c r="H1304" t="s">
        <v>126</v>
      </c>
      <c r="I1304" t="s">
        <v>126</v>
      </c>
      <c r="J1304" t="s">
        <v>126</v>
      </c>
      <c r="K1304" t="s">
        <v>126</v>
      </c>
      <c r="L1304" t="s">
        <v>126</v>
      </c>
      <c r="M1304" t="s">
        <v>1965</v>
      </c>
      <c r="N1304" t="b">
        <v>0</v>
      </c>
    </row>
    <row r="1305" spans="1:14">
      <c r="A1305">
        <v>87</v>
      </c>
      <c r="B1305">
        <v>17</v>
      </c>
      <c r="C1305" t="s">
        <v>126</v>
      </c>
      <c r="D1305" t="s">
        <v>741</v>
      </c>
      <c r="E1305" t="s">
        <v>126</v>
      </c>
      <c r="F1305">
        <v>0</v>
      </c>
      <c r="G1305" t="s">
        <v>126</v>
      </c>
      <c r="H1305" t="s">
        <v>126</v>
      </c>
      <c r="I1305" t="s">
        <v>126</v>
      </c>
      <c r="J1305" t="s">
        <v>126</v>
      </c>
      <c r="K1305" t="s">
        <v>126</v>
      </c>
      <c r="L1305" t="s">
        <v>126</v>
      </c>
      <c r="M1305" t="s">
        <v>1966</v>
      </c>
      <c r="N1305" t="b">
        <v>0</v>
      </c>
    </row>
    <row r="1306" spans="1:14">
      <c r="A1306">
        <v>87</v>
      </c>
      <c r="B1306">
        <v>18</v>
      </c>
      <c r="C1306" t="s">
        <v>126</v>
      </c>
      <c r="D1306" t="s">
        <v>741</v>
      </c>
      <c r="E1306" t="s">
        <v>126</v>
      </c>
      <c r="F1306">
        <v>0</v>
      </c>
      <c r="G1306" t="s">
        <v>126</v>
      </c>
      <c r="H1306" t="s">
        <v>126</v>
      </c>
      <c r="I1306" t="s">
        <v>126</v>
      </c>
      <c r="J1306" t="s">
        <v>126</v>
      </c>
      <c r="K1306" t="s">
        <v>126</v>
      </c>
      <c r="L1306" t="s">
        <v>126</v>
      </c>
      <c r="M1306" t="s">
        <v>1967</v>
      </c>
      <c r="N1306" t="b">
        <v>0</v>
      </c>
    </row>
    <row r="1307" spans="1:14">
      <c r="A1307">
        <v>87</v>
      </c>
      <c r="B1307">
        <v>19</v>
      </c>
      <c r="C1307" t="s">
        <v>126</v>
      </c>
      <c r="D1307" t="s">
        <v>741</v>
      </c>
      <c r="E1307" t="s">
        <v>126</v>
      </c>
      <c r="F1307">
        <v>0</v>
      </c>
      <c r="G1307" t="s">
        <v>126</v>
      </c>
      <c r="H1307" t="s">
        <v>126</v>
      </c>
      <c r="I1307" t="s">
        <v>126</v>
      </c>
      <c r="J1307" t="s">
        <v>126</v>
      </c>
      <c r="K1307" t="s">
        <v>126</v>
      </c>
      <c r="L1307" t="s">
        <v>126</v>
      </c>
      <c r="M1307" t="s">
        <v>1968</v>
      </c>
      <c r="N1307" t="b">
        <v>0</v>
      </c>
    </row>
    <row r="1308" spans="1:14">
      <c r="A1308">
        <v>87</v>
      </c>
      <c r="B1308">
        <v>20</v>
      </c>
      <c r="C1308" t="s">
        <v>126</v>
      </c>
      <c r="D1308" t="s">
        <v>741</v>
      </c>
      <c r="E1308" t="s">
        <v>126</v>
      </c>
      <c r="F1308">
        <v>0</v>
      </c>
      <c r="G1308" t="s">
        <v>126</v>
      </c>
      <c r="H1308" t="s">
        <v>126</v>
      </c>
      <c r="I1308" t="s">
        <v>126</v>
      </c>
      <c r="J1308" t="s">
        <v>126</v>
      </c>
      <c r="K1308" t="s">
        <v>126</v>
      </c>
      <c r="L1308" t="s">
        <v>126</v>
      </c>
      <c r="M1308" t="s">
        <v>1969</v>
      </c>
      <c r="N1308" t="b">
        <v>0</v>
      </c>
    </row>
    <row r="1309" spans="1:14">
      <c r="A1309">
        <v>87</v>
      </c>
      <c r="B1309">
        <v>21</v>
      </c>
      <c r="C1309" t="s">
        <v>126</v>
      </c>
      <c r="D1309" t="s">
        <v>741</v>
      </c>
      <c r="E1309" t="s">
        <v>126</v>
      </c>
      <c r="F1309">
        <v>0</v>
      </c>
      <c r="G1309" t="s">
        <v>126</v>
      </c>
      <c r="H1309" t="s">
        <v>126</v>
      </c>
      <c r="I1309" t="s">
        <v>126</v>
      </c>
      <c r="J1309" t="s">
        <v>126</v>
      </c>
      <c r="K1309" t="s">
        <v>126</v>
      </c>
      <c r="L1309" t="s">
        <v>126</v>
      </c>
      <c r="M1309" t="s">
        <v>1970</v>
      </c>
      <c r="N1309" t="b">
        <v>0</v>
      </c>
    </row>
    <row r="1310" spans="1:14">
      <c r="A1310">
        <v>87</v>
      </c>
      <c r="B1310">
        <v>22</v>
      </c>
      <c r="C1310" t="s">
        <v>126</v>
      </c>
      <c r="D1310" t="s">
        <v>741</v>
      </c>
      <c r="E1310" t="s">
        <v>126</v>
      </c>
      <c r="F1310">
        <v>0</v>
      </c>
      <c r="G1310" t="s">
        <v>126</v>
      </c>
      <c r="H1310" t="s">
        <v>126</v>
      </c>
      <c r="I1310" t="s">
        <v>126</v>
      </c>
      <c r="J1310" t="s">
        <v>126</v>
      </c>
      <c r="K1310" t="s">
        <v>126</v>
      </c>
      <c r="L1310" t="s">
        <v>126</v>
      </c>
      <c r="M1310" t="s">
        <v>1971</v>
      </c>
      <c r="N1310" t="b">
        <v>0</v>
      </c>
    </row>
    <row r="1311" spans="1:14">
      <c r="A1311">
        <v>87</v>
      </c>
      <c r="B1311">
        <v>23</v>
      </c>
      <c r="C1311" t="s">
        <v>126</v>
      </c>
      <c r="D1311" t="s">
        <v>741</v>
      </c>
      <c r="E1311" t="s">
        <v>126</v>
      </c>
      <c r="F1311">
        <v>0</v>
      </c>
      <c r="G1311" t="s">
        <v>126</v>
      </c>
      <c r="H1311" t="s">
        <v>126</v>
      </c>
      <c r="I1311" t="s">
        <v>126</v>
      </c>
      <c r="J1311" t="s">
        <v>126</v>
      </c>
      <c r="K1311" t="s">
        <v>126</v>
      </c>
      <c r="L1311" t="s">
        <v>126</v>
      </c>
      <c r="M1311" t="s">
        <v>1972</v>
      </c>
      <c r="N1311" t="b">
        <v>0</v>
      </c>
    </row>
    <row r="1312" spans="1:14">
      <c r="A1312">
        <v>87</v>
      </c>
      <c r="B1312">
        <v>24</v>
      </c>
      <c r="C1312" t="s">
        <v>126</v>
      </c>
      <c r="D1312" t="s">
        <v>741</v>
      </c>
      <c r="E1312" t="s">
        <v>126</v>
      </c>
      <c r="F1312">
        <v>0</v>
      </c>
      <c r="G1312" t="s">
        <v>126</v>
      </c>
      <c r="H1312" t="s">
        <v>126</v>
      </c>
      <c r="I1312" t="s">
        <v>126</v>
      </c>
      <c r="J1312" t="s">
        <v>126</v>
      </c>
      <c r="K1312" t="s">
        <v>126</v>
      </c>
      <c r="L1312" t="s">
        <v>126</v>
      </c>
      <c r="M1312" t="s">
        <v>1973</v>
      </c>
      <c r="N1312" t="b">
        <v>0</v>
      </c>
    </row>
    <row r="1313" spans="1:14">
      <c r="A1313">
        <v>87</v>
      </c>
      <c r="B1313">
        <v>25</v>
      </c>
      <c r="C1313" t="s">
        <v>126</v>
      </c>
      <c r="D1313" t="s">
        <v>741</v>
      </c>
      <c r="E1313" t="s">
        <v>126</v>
      </c>
      <c r="F1313">
        <v>0</v>
      </c>
      <c r="G1313" t="s">
        <v>126</v>
      </c>
      <c r="H1313" t="s">
        <v>126</v>
      </c>
      <c r="I1313" t="s">
        <v>126</v>
      </c>
      <c r="J1313" t="s">
        <v>126</v>
      </c>
      <c r="K1313" t="s">
        <v>126</v>
      </c>
      <c r="L1313" t="s">
        <v>126</v>
      </c>
      <c r="M1313" t="s">
        <v>1974</v>
      </c>
      <c r="N1313" t="b">
        <v>0</v>
      </c>
    </row>
    <row r="1314" spans="1:14">
      <c r="A1314">
        <v>87</v>
      </c>
      <c r="B1314">
        <v>26</v>
      </c>
      <c r="C1314" t="s">
        <v>126</v>
      </c>
      <c r="D1314" t="s">
        <v>741</v>
      </c>
      <c r="E1314" t="s">
        <v>126</v>
      </c>
      <c r="F1314">
        <v>0</v>
      </c>
      <c r="G1314" t="s">
        <v>126</v>
      </c>
      <c r="H1314" t="s">
        <v>126</v>
      </c>
      <c r="I1314" t="s">
        <v>126</v>
      </c>
      <c r="J1314" t="s">
        <v>126</v>
      </c>
      <c r="K1314" t="s">
        <v>126</v>
      </c>
      <c r="L1314" t="s">
        <v>126</v>
      </c>
      <c r="M1314" t="s">
        <v>1975</v>
      </c>
      <c r="N1314" t="b">
        <v>0</v>
      </c>
    </row>
    <row r="1315" spans="1:14">
      <c r="A1315">
        <v>90</v>
      </c>
      <c r="B1315">
        <v>0</v>
      </c>
      <c r="C1315" t="s">
        <v>186</v>
      </c>
      <c r="D1315" t="s">
        <v>724</v>
      </c>
      <c r="E1315" t="s">
        <v>65</v>
      </c>
      <c r="F1315">
        <v>50</v>
      </c>
      <c r="G1315" t="s">
        <v>126</v>
      </c>
      <c r="H1315" t="s">
        <v>126</v>
      </c>
      <c r="I1315" t="s">
        <v>65</v>
      </c>
      <c r="J1315" t="s">
        <v>126</v>
      </c>
      <c r="K1315" t="s">
        <v>126</v>
      </c>
      <c r="L1315" t="s">
        <v>126</v>
      </c>
      <c r="M1315" t="s">
        <v>1976</v>
      </c>
      <c r="N1315" t="b">
        <v>0</v>
      </c>
    </row>
    <row r="1316" spans="1:14">
      <c r="A1316">
        <v>90</v>
      </c>
      <c r="B1316">
        <v>1</v>
      </c>
      <c r="C1316" t="s">
        <v>158</v>
      </c>
      <c r="D1316" t="s">
        <v>724</v>
      </c>
      <c r="E1316" t="s">
        <v>83</v>
      </c>
      <c r="F1316">
        <v>40</v>
      </c>
      <c r="G1316" t="s">
        <v>126</v>
      </c>
      <c r="H1316" t="s">
        <v>126</v>
      </c>
      <c r="I1316" t="s">
        <v>83</v>
      </c>
      <c r="J1316" t="s">
        <v>126</v>
      </c>
      <c r="K1316" t="s">
        <v>126</v>
      </c>
      <c r="L1316" t="s">
        <v>126</v>
      </c>
      <c r="M1316" t="s">
        <v>1977</v>
      </c>
      <c r="N1316" t="b">
        <v>0</v>
      </c>
    </row>
    <row r="1317" spans="1:14">
      <c r="A1317">
        <v>90</v>
      </c>
      <c r="B1317">
        <v>2</v>
      </c>
      <c r="C1317" t="s">
        <v>187</v>
      </c>
      <c r="D1317" t="s">
        <v>724</v>
      </c>
      <c r="E1317" t="s">
        <v>93</v>
      </c>
      <c r="F1317">
        <v>50</v>
      </c>
      <c r="G1317" t="s">
        <v>126</v>
      </c>
      <c r="H1317" t="s">
        <v>126</v>
      </c>
      <c r="I1317" t="s">
        <v>93</v>
      </c>
      <c r="J1317" t="s">
        <v>126</v>
      </c>
      <c r="K1317" t="s">
        <v>126</v>
      </c>
      <c r="L1317" t="s">
        <v>126</v>
      </c>
      <c r="M1317" t="s">
        <v>1978</v>
      </c>
      <c r="N1317" t="b">
        <v>0</v>
      </c>
    </row>
    <row r="1318" spans="1:14">
      <c r="A1318">
        <v>90</v>
      </c>
      <c r="B1318">
        <v>3</v>
      </c>
      <c r="C1318" t="s">
        <v>188</v>
      </c>
      <c r="D1318" t="s">
        <v>724</v>
      </c>
      <c r="E1318" t="s">
        <v>99</v>
      </c>
      <c r="F1318">
        <v>50</v>
      </c>
      <c r="G1318" t="s">
        <v>126</v>
      </c>
      <c r="H1318" t="s">
        <v>126</v>
      </c>
      <c r="I1318" t="s">
        <v>99</v>
      </c>
      <c r="J1318" t="s">
        <v>126</v>
      </c>
      <c r="K1318" t="s">
        <v>126</v>
      </c>
      <c r="L1318" t="s">
        <v>126</v>
      </c>
      <c r="M1318" t="s">
        <v>1979</v>
      </c>
      <c r="N1318" t="b">
        <v>0</v>
      </c>
    </row>
    <row r="1319" spans="1:14">
      <c r="A1319">
        <v>90</v>
      </c>
      <c r="B1319">
        <v>4</v>
      </c>
      <c r="C1319" t="s">
        <v>189</v>
      </c>
      <c r="D1319" t="s">
        <v>724</v>
      </c>
      <c r="E1319" t="s">
        <v>101</v>
      </c>
      <c r="F1319">
        <v>50</v>
      </c>
      <c r="G1319" t="s">
        <v>126</v>
      </c>
      <c r="H1319" t="s">
        <v>126</v>
      </c>
      <c r="I1319" t="s">
        <v>101</v>
      </c>
      <c r="J1319" t="s">
        <v>126</v>
      </c>
      <c r="K1319" t="s">
        <v>126</v>
      </c>
      <c r="L1319" t="s">
        <v>126</v>
      </c>
      <c r="M1319" t="s">
        <v>1980</v>
      </c>
      <c r="N1319" t="b">
        <v>0</v>
      </c>
    </row>
    <row r="1320" spans="1:14">
      <c r="A1320">
        <v>90</v>
      </c>
      <c r="B1320">
        <v>5</v>
      </c>
      <c r="C1320" t="s">
        <v>241</v>
      </c>
      <c r="D1320" t="s">
        <v>724</v>
      </c>
      <c r="E1320" t="s">
        <v>103</v>
      </c>
      <c r="F1320">
        <v>50</v>
      </c>
      <c r="G1320" t="s">
        <v>126</v>
      </c>
      <c r="H1320" t="s">
        <v>126</v>
      </c>
      <c r="I1320" t="s">
        <v>103</v>
      </c>
      <c r="J1320" t="s">
        <v>126</v>
      </c>
      <c r="K1320" t="s">
        <v>126</v>
      </c>
      <c r="L1320" t="s">
        <v>126</v>
      </c>
      <c r="M1320" t="s">
        <v>1981</v>
      </c>
      <c r="N1320" t="b">
        <v>0</v>
      </c>
    </row>
    <row r="1321" spans="1:14">
      <c r="A1321">
        <v>90</v>
      </c>
      <c r="B1321">
        <v>6</v>
      </c>
      <c r="C1321" t="s">
        <v>190</v>
      </c>
      <c r="D1321" t="s">
        <v>724</v>
      </c>
      <c r="E1321" t="s">
        <v>109</v>
      </c>
      <c r="F1321">
        <v>30</v>
      </c>
      <c r="G1321" t="s">
        <v>126</v>
      </c>
      <c r="H1321" t="s">
        <v>126</v>
      </c>
      <c r="I1321" t="s">
        <v>109</v>
      </c>
      <c r="J1321" t="s">
        <v>126</v>
      </c>
      <c r="K1321" t="s">
        <v>126</v>
      </c>
      <c r="L1321" t="s">
        <v>126</v>
      </c>
      <c r="M1321" t="s">
        <v>1982</v>
      </c>
      <c r="N1321" t="b">
        <v>0</v>
      </c>
    </row>
    <row r="1322" spans="1:14">
      <c r="A1322">
        <v>90</v>
      </c>
      <c r="B1322">
        <v>7</v>
      </c>
      <c r="C1322" t="s">
        <v>191</v>
      </c>
      <c r="D1322" t="s">
        <v>724</v>
      </c>
      <c r="E1322" t="s">
        <v>115</v>
      </c>
      <c r="F1322">
        <v>60</v>
      </c>
      <c r="G1322" t="s">
        <v>126</v>
      </c>
      <c r="H1322" t="s">
        <v>126</v>
      </c>
      <c r="I1322" t="s">
        <v>115</v>
      </c>
      <c r="J1322" t="s">
        <v>126</v>
      </c>
      <c r="K1322" t="s">
        <v>126</v>
      </c>
      <c r="L1322" t="s">
        <v>126</v>
      </c>
      <c r="M1322" t="s">
        <v>1983</v>
      </c>
      <c r="N1322" t="b">
        <v>0</v>
      </c>
    </row>
    <row r="1323" spans="1:14">
      <c r="A1323">
        <v>90</v>
      </c>
      <c r="B1323">
        <v>8</v>
      </c>
      <c r="C1323" t="s">
        <v>192</v>
      </c>
      <c r="D1323" t="s">
        <v>724</v>
      </c>
      <c r="E1323" t="s">
        <v>61</v>
      </c>
      <c r="F1323">
        <v>30</v>
      </c>
      <c r="G1323" t="s">
        <v>126</v>
      </c>
      <c r="H1323" t="s">
        <v>126</v>
      </c>
      <c r="I1323" t="s">
        <v>61</v>
      </c>
      <c r="J1323" t="s">
        <v>126</v>
      </c>
      <c r="K1323" t="s">
        <v>126</v>
      </c>
      <c r="L1323" t="s">
        <v>126</v>
      </c>
      <c r="M1323" t="s">
        <v>1984</v>
      </c>
      <c r="N1323" t="b">
        <v>0</v>
      </c>
    </row>
    <row r="1324" spans="1:14">
      <c r="A1324">
        <v>90</v>
      </c>
      <c r="B1324">
        <v>9</v>
      </c>
      <c r="C1324" t="s">
        <v>453</v>
      </c>
      <c r="D1324" t="s">
        <v>724</v>
      </c>
      <c r="E1324" t="s">
        <v>66</v>
      </c>
      <c r="F1324">
        <v>30</v>
      </c>
      <c r="G1324" t="s">
        <v>126</v>
      </c>
      <c r="H1324" t="s">
        <v>126</v>
      </c>
      <c r="I1324" t="s">
        <v>66</v>
      </c>
      <c r="J1324" t="s">
        <v>126</v>
      </c>
      <c r="K1324" t="s">
        <v>126</v>
      </c>
      <c r="L1324" t="s">
        <v>126</v>
      </c>
      <c r="M1324" t="s">
        <v>1985</v>
      </c>
      <c r="N1324" t="b">
        <v>0</v>
      </c>
    </row>
    <row r="1325" spans="1:14">
      <c r="A1325">
        <v>90</v>
      </c>
      <c r="B1325">
        <v>10</v>
      </c>
      <c r="C1325" t="s">
        <v>318</v>
      </c>
      <c r="D1325" t="s">
        <v>724</v>
      </c>
      <c r="E1325" t="s">
        <v>331</v>
      </c>
      <c r="F1325">
        <v>30</v>
      </c>
      <c r="G1325" t="s">
        <v>126</v>
      </c>
      <c r="H1325" t="s">
        <v>548</v>
      </c>
      <c r="I1325" t="s">
        <v>445</v>
      </c>
      <c r="J1325" t="s">
        <v>126</v>
      </c>
      <c r="K1325" t="s">
        <v>921</v>
      </c>
      <c r="L1325" t="s">
        <v>922</v>
      </c>
      <c r="M1325" t="s">
        <v>1986</v>
      </c>
      <c r="N1325" t="b">
        <v>0</v>
      </c>
    </row>
    <row r="1326" spans="1:14">
      <c r="A1326">
        <v>90</v>
      </c>
      <c r="B1326">
        <v>11</v>
      </c>
      <c r="C1326" t="s">
        <v>193</v>
      </c>
      <c r="D1326" t="s">
        <v>724</v>
      </c>
      <c r="E1326" t="s">
        <v>78</v>
      </c>
      <c r="F1326">
        <v>50</v>
      </c>
      <c r="G1326" t="s">
        <v>126</v>
      </c>
      <c r="H1326" t="s">
        <v>126</v>
      </c>
      <c r="I1326" t="s">
        <v>78</v>
      </c>
      <c r="J1326" t="s">
        <v>126</v>
      </c>
      <c r="K1326" t="s">
        <v>126</v>
      </c>
      <c r="L1326" t="s">
        <v>126</v>
      </c>
      <c r="M1326" t="s">
        <v>1987</v>
      </c>
      <c r="N1326" t="b">
        <v>0</v>
      </c>
    </row>
    <row r="1327" spans="1:14">
      <c r="A1327">
        <v>90</v>
      </c>
      <c r="B1327">
        <v>12</v>
      </c>
      <c r="C1327" t="s">
        <v>199</v>
      </c>
      <c r="D1327" t="s">
        <v>724</v>
      </c>
      <c r="E1327" t="s">
        <v>84</v>
      </c>
      <c r="F1327">
        <v>50</v>
      </c>
      <c r="G1327" t="s">
        <v>126</v>
      </c>
      <c r="H1327" t="s">
        <v>126</v>
      </c>
      <c r="I1327" t="s">
        <v>84</v>
      </c>
      <c r="J1327" t="s">
        <v>126</v>
      </c>
      <c r="K1327" t="s">
        <v>126</v>
      </c>
      <c r="L1327" t="s">
        <v>126</v>
      </c>
      <c r="M1327" t="s">
        <v>1988</v>
      </c>
      <c r="N1327" t="b">
        <v>0</v>
      </c>
    </row>
    <row r="1328" spans="1:14">
      <c r="A1328">
        <v>90</v>
      </c>
      <c r="B1328">
        <v>13</v>
      </c>
      <c r="C1328" t="s">
        <v>194</v>
      </c>
      <c r="D1328" t="s">
        <v>724</v>
      </c>
      <c r="E1328" t="s">
        <v>98</v>
      </c>
      <c r="F1328">
        <v>50</v>
      </c>
      <c r="G1328" t="s">
        <v>126</v>
      </c>
      <c r="H1328" t="s">
        <v>126</v>
      </c>
      <c r="I1328" t="s">
        <v>98</v>
      </c>
      <c r="J1328" t="s">
        <v>126</v>
      </c>
      <c r="K1328" t="s">
        <v>126</v>
      </c>
      <c r="L1328" t="s">
        <v>126</v>
      </c>
      <c r="M1328" t="s">
        <v>1989</v>
      </c>
      <c r="N1328" t="b">
        <v>0</v>
      </c>
    </row>
    <row r="1329" spans="1:14">
      <c r="A1329">
        <v>90</v>
      </c>
      <c r="B1329">
        <v>14</v>
      </c>
      <c r="C1329" t="s">
        <v>195</v>
      </c>
      <c r="D1329" t="s">
        <v>724</v>
      </c>
      <c r="E1329" t="s">
        <v>108</v>
      </c>
      <c r="F1329">
        <v>60</v>
      </c>
      <c r="G1329" t="s">
        <v>126</v>
      </c>
      <c r="H1329" t="s">
        <v>126</v>
      </c>
      <c r="I1329" t="s">
        <v>108</v>
      </c>
      <c r="J1329" t="s">
        <v>126</v>
      </c>
      <c r="K1329" t="s">
        <v>126</v>
      </c>
      <c r="L1329" t="s">
        <v>126</v>
      </c>
      <c r="M1329" t="s">
        <v>1990</v>
      </c>
      <c r="N1329" t="b">
        <v>0</v>
      </c>
    </row>
    <row r="1330" spans="1:14">
      <c r="A1330">
        <v>90</v>
      </c>
      <c r="B1330">
        <v>15</v>
      </c>
      <c r="C1330" t="s">
        <v>126</v>
      </c>
      <c r="D1330" t="s">
        <v>724</v>
      </c>
      <c r="E1330" t="s">
        <v>126</v>
      </c>
      <c r="F1330">
        <v>0</v>
      </c>
      <c r="G1330" t="s">
        <v>126</v>
      </c>
      <c r="H1330" t="s">
        <v>126</v>
      </c>
      <c r="I1330" t="s">
        <v>126</v>
      </c>
      <c r="J1330" t="s">
        <v>126</v>
      </c>
      <c r="K1330" t="s">
        <v>126</v>
      </c>
      <c r="L1330" t="s">
        <v>126</v>
      </c>
      <c r="M1330" t="s">
        <v>1991</v>
      </c>
      <c r="N1330" t="b">
        <v>0</v>
      </c>
    </row>
    <row r="1331" spans="1:14">
      <c r="A1331">
        <v>90</v>
      </c>
      <c r="B1331">
        <v>16</v>
      </c>
      <c r="C1331" t="s">
        <v>126</v>
      </c>
      <c r="D1331" t="s">
        <v>741</v>
      </c>
      <c r="E1331" t="s">
        <v>126</v>
      </c>
      <c r="F1331">
        <v>0</v>
      </c>
      <c r="G1331" t="s">
        <v>126</v>
      </c>
      <c r="H1331" t="s">
        <v>126</v>
      </c>
      <c r="I1331" t="s">
        <v>126</v>
      </c>
      <c r="J1331" t="s">
        <v>126</v>
      </c>
      <c r="K1331" t="s">
        <v>126</v>
      </c>
      <c r="L1331" t="s">
        <v>126</v>
      </c>
      <c r="M1331" t="s">
        <v>1992</v>
      </c>
      <c r="N1331" t="b">
        <v>0</v>
      </c>
    </row>
    <row r="1332" spans="1:14">
      <c r="A1332">
        <v>90</v>
      </c>
      <c r="B1332">
        <v>17</v>
      </c>
      <c r="C1332" t="s">
        <v>126</v>
      </c>
      <c r="D1332" t="s">
        <v>741</v>
      </c>
      <c r="E1332" t="s">
        <v>126</v>
      </c>
      <c r="F1332">
        <v>0</v>
      </c>
      <c r="G1332" t="s">
        <v>126</v>
      </c>
      <c r="H1332" t="s">
        <v>126</v>
      </c>
      <c r="I1332" t="s">
        <v>126</v>
      </c>
      <c r="J1332" t="s">
        <v>126</v>
      </c>
      <c r="K1332" t="s">
        <v>126</v>
      </c>
      <c r="L1332" t="s">
        <v>126</v>
      </c>
      <c r="M1332" t="s">
        <v>1993</v>
      </c>
      <c r="N1332" t="b">
        <v>0</v>
      </c>
    </row>
    <row r="1333" spans="1:14">
      <c r="A1333">
        <v>90</v>
      </c>
      <c r="B1333">
        <v>18</v>
      </c>
      <c r="C1333" t="s">
        <v>126</v>
      </c>
      <c r="D1333" t="s">
        <v>741</v>
      </c>
      <c r="E1333" t="s">
        <v>126</v>
      </c>
      <c r="F1333">
        <v>0</v>
      </c>
      <c r="G1333" t="s">
        <v>126</v>
      </c>
      <c r="H1333" t="s">
        <v>126</v>
      </c>
      <c r="I1333" t="s">
        <v>126</v>
      </c>
      <c r="J1333" t="s">
        <v>126</v>
      </c>
      <c r="K1333" t="s">
        <v>126</v>
      </c>
      <c r="L1333" t="s">
        <v>126</v>
      </c>
      <c r="M1333" t="s">
        <v>1994</v>
      </c>
      <c r="N1333" t="b">
        <v>0</v>
      </c>
    </row>
    <row r="1334" spans="1:14">
      <c r="A1334">
        <v>90</v>
      </c>
      <c r="B1334">
        <v>19</v>
      </c>
      <c r="C1334" t="s">
        <v>126</v>
      </c>
      <c r="D1334" t="s">
        <v>741</v>
      </c>
      <c r="E1334" t="s">
        <v>126</v>
      </c>
      <c r="F1334">
        <v>0</v>
      </c>
      <c r="G1334" t="s">
        <v>126</v>
      </c>
      <c r="H1334" t="s">
        <v>126</v>
      </c>
      <c r="I1334" t="s">
        <v>126</v>
      </c>
      <c r="J1334" t="s">
        <v>126</v>
      </c>
      <c r="K1334" t="s">
        <v>126</v>
      </c>
      <c r="L1334" t="s">
        <v>126</v>
      </c>
      <c r="M1334" t="s">
        <v>1995</v>
      </c>
      <c r="N1334" t="b">
        <v>0</v>
      </c>
    </row>
    <row r="1335" spans="1:14">
      <c r="A1335">
        <v>90</v>
      </c>
      <c r="B1335">
        <v>20</v>
      </c>
      <c r="C1335" t="s">
        <v>126</v>
      </c>
      <c r="D1335" t="s">
        <v>741</v>
      </c>
      <c r="E1335" t="s">
        <v>126</v>
      </c>
      <c r="F1335">
        <v>0</v>
      </c>
      <c r="G1335" t="s">
        <v>126</v>
      </c>
      <c r="H1335" t="s">
        <v>126</v>
      </c>
      <c r="I1335" t="s">
        <v>126</v>
      </c>
      <c r="J1335" t="s">
        <v>126</v>
      </c>
      <c r="K1335" t="s">
        <v>126</v>
      </c>
      <c r="L1335" t="s">
        <v>126</v>
      </c>
      <c r="M1335" t="s">
        <v>1996</v>
      </c>
      <c r="N1335" t="b">
        <v>0</v>
      </c>
    </row>
    <row r="1336" spans="1:14">
      <c r="A1336">
        <v>90</v>
      </c>
      <c r="B1336">
        <v>21</v>
      </c>
      <c r="C1336" t="s">
        <v>126</v>
      </c>
      <c r="D1336" t="s">
        <v>741</v>
      </c>
      <c r="E1336" t="s">
        <v>126</v>
      </c>
      <c r="F1336">
        <v>0</v>
      </c>
      <c r="G1336" t="s">
        <v>126</v>
      </c>
      <c r="H1336" t="s">
        <v>126</v>
      </c>
      <c r="I1336" t="s">
        <v>126</v>
      </c>
      <c r="J1336" t="s">
        <v>126</v>
      </c>
      <c r="K1336" t="s">
        <v>126</v>
      </c>
      <c r="L1336" t="s">
        <v>126</v>
      </c>
      <c r="M1336" t="s">
        <v>1997</v>
      </c>
      <c r="N1336" t="b">
        <v>0</v>
      </c>
    </row>
    <row r="1337" spans="1:14">
      <c r="A1337">
        <v>90</v>
      </c>
      <c r="B1337">
        <v>22</v>
      </c>
      <c r="C1337" t="s">
        <v>126</v>
      </c>
      <c r="D1337" t="s">
        <v>741</v>
      </c>
      <c r="E1337" t="s">
        <v>126</v>
      </c>
      <c r="F1337">
        <v>0</v>
      </c>
      <c r="G1337" t="s">
        <v>126</v>
      </c>
      <c r="H1337" t="s">
        <v>126</v>
      </c>
      <c r="I1337" t="s">
        <v>126</v>
      </c>
      <c r="J1337" t="s">
        <v>126</v>
      </c>
      <c r="K1337" t="s">
        <v>126</v>
      </c>
      <c r="L1337" t="s">
        <v>126</v>
      </c>
      <c r="M1337" t="s">
        <v>1998</v>
      </c>
      <c r="N1337" t="b">
        <v>0</v>
      </c>
    </row>
    <row r="1338" spans="1:14">
      <c r="A1338">
        <v>90</v>
      </c>
      <c r="B1338">
        <v>23</v>
      </c>
      <c r="C1338" t="s">
        <v>126</v>
      </c>
      <c r="D1338" t="s">
        <v>741</v>
      </c>
      <c r="E1338" t="s">
        <v>126</v>
      </c>
      <c r="F1338">
        <v>0</v>
      </c>
      <c r="G1338" t="s">
        <v>126</v>
      </c>
      <c r="H1338" t="s">
        <v>126</v>
      </c>
      <c r="I1338" t="s">
        <v>126</v>
      </c>
      <c r="J1338" t="s">
        <v>126</v>
      </c>
      <c r="K1338" t="s">
        <v>126</v>
      </c>
      <c r="L1338" t="s">
        <v>126</v>
      </c>
      <c r="M1338" t="s">
        <v>1999</v>
      </c>
      <c r="N1338" t="b">
        <v>0</v>
      </c>
    </row>
    <row r="1339" spans="1:14">
      <c r="A1339">
        <v>90</v>
      </c>
      <c r="B1339">
        <v>24</v>
      </c>
      <c r="C1339" t="s">
        <v>126</v>
      </c>
      <c r="D1339" t="s">
        <v>741</v>
      </c>
      <c r="E1339" t="s">
        <v>126</v>
      </c>
      <c r="F1339">
        <v>0</v>
      </c>
      <c r="G1339" t="s">
        <v>126</v>
      </c>
      <c r="H1339" t="s">
        <v>126</v>
      </c>
      <c r="I1339" t="s">
        <v>126</v>
      </c>
      <c r="J1339" t="s">
        <v>126</v>
      </c>
      <c r="K1339" t="s">
        <v>126</v>
      </c>
      <c r="L1339" t="s">
        <v>126</v>
      </c>
      <c r="M1339" t="s">
        <v>2000</v>
      </c>
      <c r="N1339" t="b">
        <v>0</v>
      </c>
    </row>
    <row r="1340" spans="1:14">
      <c r="A1340">
        <v>90</v>
      </c>
      <c r="B1340">
        <v>25</v>
      </c>
      <c r="C1340" t="s">
        <v>126</v>
      </c>
      <c r="D1340" t="s">
        <v>741</v>
      </c>
      <c r="E1340" t="s">
        <v>126</v>
      </c>
      <c r="F1340">
        <v>0</v>
      </c>
      <c r="G1340" t="s">
        <v>126</v>
      </c>
      <c r="H1340" t="s">
        <v>126</v>
      </c>
      <c r="I1340" t="s">
        <v>126</v>
      </c>
      <c r="J1340" t="s">
        <v>126</v>
      </c>
      <c r="K1340" t="s">
        <v>126</v>
      </c>
      <c r="L1340" t="s">
        <v>126</v>
      </c>
      <c r="M1340" t="s">
        <v>2001</v>
      </c>
      <c r="N1340" t="b">
        <v>0</v>
      </c>
    </row>
    <row r="1341" spans="1:14">
      <c r="A1341">
        <v>90</v>
      </c>
      <c r="B1341">
        <v>26</v>
      </c>
      <c r="C1341" t="s">
        <v>126</v>
      </c>
      <c r="D1341" t="s">
        <v>741</v>
      </c>
      <c r="E1341" t="s">
        <v>126</v>
      </c>
      <c r="F1341">
        <v>0</v>
      </c>
      <c r="G1341" t="s">
        <v>126</v>
      </c>
      <c r="H1341" t="s">
        <v>126</v>
      </c>
      <c r="I1341" t="s">
        <v>126</v>
      </c>
      <c r="J1341" t="s">
        <v>126</v>
      </c>
      <c r="K1341" t="s">
        <v>126</v>
      </c>
      <c r="L1341" t="s">
        <v>126</v>
      </c>
      <c r="M1341" t="s">
        <v>2002</v>
      </c>
      <c r="N1341" t="b">
        <v>0</v>
      </c>
    </row>
    <row r="1342" spans="1:14">
      <c r="A1342">
        <v>91</v>
      </c>
      <c r="B1342">
        <v>0</v>
      </c>
      <c r="C1342" t="s">
        <v>216</v>
      </c>
      <c r="D1342" t="s">
        <v>724</v>
      </c>
      <c r="E1342" t="s">
        <v>65</v>
      </c>
      <c r="F1342">
        <v>60</v>
      </c>
      <c r="G1342" t="s">
        <v>126</v>
      </c>
      <c r="H1342" t="s">
        <v>126</v>
      </c>
      <c r="I1342" t="s">
        <v>65</v>
      </c>
      <c r="J1342" t="s">
        <v>126</v>
      </c>
      <c r="K1342" t="s">
        <v>126</v>
      </c>
      <c r="L1342" t="s">
        <v>126</v>
      </c>
      <c r="M1342" t="s">
        <v>2003</v>
      </c>
      <c r="N1342" t="b">
        <v>0</v>
      </c>
    </row>
    <row r="1343" spans="1:14">
      <c r="A1343">
        <v>91</v>
      </c>
      <c r="B1343">
        <v>1</v>
      </c>
      <c r="C1343" t="s">
        <v>217</v>
      </c>
      <c r="D1343" t="s">
        <v>724</v>
      </c>
      <c r="E1343" t="s">
        <v>77</v>
      </c>
      <c r="F1343">
        <v>60</v>
      </c>
      <c r="G1343" t="s">
        <v>126</v>
      </c>
      <c r="H1343" t="s">
        <v>126</v>
      </c>
      <c r="I1343" t="s">
        <v>77</v>
      </c>
      <c r="J1343" t="s">
        <v>126</v>
      </c>
      <c r="K1343" t="s">
        <v>126</v>
      </c>
      <c r="L1343" t="s">
        <v>126</v>
      </c>
      <c r="M1343" t="s">
        <v>2004</v>
      </c>
      <c r="N1343" t="b">
        <v>0</v>
      </c>
    </row>
    <row r="1344" spans="1:14">
      <c r="A1344">
        <v>91</v>
      </c>
      <c r="B1344">
        <v>2</v>
      </c>
      <c r="C1344" t="s">
        <v>240</v>
      </c>
      <c r="D1344" t="s">
        <v>724</v>
      </c>
      <c r="E1344" t="s">
        <v>95</v>
      </c>
      <c r="F1344">
        <v>50</v>
      </c>
      <c r="G1344" t="s">
        <v>126</v>
      </c>
      <c r="H1344" t="s">
        <v>126</v>
      </c>
      <c r="I1344" t="s">
        <v>95</v>
      </c>
      <c r="J1344" t="s">
        <v>126</v>
      </c>
      <c r="K1344" t="s">
        <v>126</v>
      </c>
      <c r="L1344" t="s">
        <v>126</v>
      </c>
      <c r="M1344" t="s">
        <v>2005</v>
      </c>
      <c r="N1344" t="b">
        <v>0</v>
      </c>
    </row>
    <row r="1345" spans="1:14">
      <c r="A1345">
        <v>91</v>
      </c>
      <c r="B1345">
        <v>3</v>
      </c>
      <c r="C1345" t="s">
        <v>456</v>
      </c>
      <c r="D1345" t="s">
        <v>724</v>
      </c>
      <c r="E1345" t="s">
        <v>97</v>
      </c>
      <c r="F1345">
        <v>60</v>
      </c>
      <c r="G1345" t="s">
        <v>126</v>
      </c>
      <c r="H1345" t="s">
        <v>126</v>
      </c>
      <c r="I1345" t="s">
        <v>97</v>
      </c>
      <c r="J1345" t="s">
        <v>126</v>
      </c>
      <c r="K1345" t="s">
        <v>126</v>
      </c>
      <c r="L1345" t="s">
        <v>126</v>
      </c>
      <c r="M1345" t="s">
        <v>2006</v>
      </c>
      <c r="N1345" t="b">
        <v>0</v>
      </c>
    </row>
    <row r="1346" spans="1:14">
      <c r="A1346">
        <v>91</v>
      </c>
      <c r="B1346">
        <v>4</v>
      </c>
      <c r="C1346" t="s">
        <v>219</v>
      </c>
      <c r="D1346" t="s">
        <v>724</v>
      </c>
      <c r="E1346" t="s">
        <v>101</v>
      </c>
      <c r="F1346">
        <v>60</v>
      </c>
      <c r="G1346" t="s">
        <v>126</v>
      </c>
      <c r="H1346" t="s">
        <v>126</v>
      </c>
      <c r="I1346" t="s">
        <v>101</v>
      </c>
      <c r="J1346" t="s">
        <v>126</v>
      </c>
      <c r="K1346" t="s">
        <v>126</v>
      </c>
      <c r="L1346" t="s">
        <v>126</v>
      </c>
      <c r="M1346" t="s">
        <v>2007</v>
      </c>
      <c r="N1346" t="b">
        <v>0</v>
      </c>
    </row>
    <row r="1347" spans="1:14">
      <c r="A1347">
        <v>91</v>
      </c>
      <c r="B1347">
        <v>5</v>
      </c>
      <c r="C1347" t="s">
        <v>287</v>
      </c>
      <c r="D1347" t="s">
        <v>724</v>
      </c>
      <c r="E1347" t="s">
        <v>103</v>
      </c>
      <c r="F1347">
        <v>40</v>
      </c>
      <c r="G1347" t="s">
        <v>126</v>
      </c>
      <c r="H1347" t="s">
        <v>126</v>
      </c>
      <c r="I1347" t="s">
        <v>103</v>
      </c>
      <c r="J1347" t="s">
        <v>126</v>
      </c>
      <c r="K1347" t="s">
        <v>126</v>
      </c>
      <c r="L1347" t="s">
        <v>126</v>
      </c>
      <c r="M1347" t="s">
        <v>2008</v>
      </c>
      <c r="N1347" t="b">
        <v>0</v>
      </c>
    </row>
    <row r="1348" spans="1:14">
      <c r="A1348">
        <v>91</v>
      </c>
      <c r="B1348">
        <v>6</v>
      </c>
      <c r="C1348" t="s">
        <v>198</v>
      </c>
      <c r="D1348" t="s">
        <v>724</v>
      </c>
      <c r="E1348" t="s">
        <v>113</v>
      </c>
      <c r="F1348">
        <v>50</v>
      </c>
      <c r="G1348" t="s">
        <v>126</v>
      </c>
      <c r="H1348" t="s">
        <v>126</v>
      </c>
      <c r="I1348" t="s">
        <v>113</v>
      </c>
      <c r="J1348" t="s">
        <v>126</v>
      </c>
      <c r="K1348" t="s">
        <v>126</v>
      </c>
      <c r="L1348" t="s">
        <v>126</v>
      </c>
      <c r="M1348" t="s">
        <v>2009</v>
      </c>
      <c r="N1348" t="b">
        <v>0</v>
      </c>
    </row>
    <row r="1349" spans="1:14">
      <c r="A1349">
        <v>91</v>
      </c>
      <c r="B1349">
        <v>7</v>
      </c>
      <c r="C1349" t="s">
        <v>220</v>
      </c>
      <c r="D1349" t="s">
        <v>724</v>
      </c>
      <c r="E1349" t="s">
        <v>68</v>
      </c>
      <c r="F1349">
        <v>50</v>
      </c>
      <c r="G1349" t="s">
        <v>126</v>
      </c>
      <c r="H1349" t="s">
        <v>126</v>
      </c>
      <c r="I1349" t="s">
        <v>68</v>
      </c>
      <c r="J1349" t="s">
        <v>126</v>
      </c>
      <c r="K1349" t="s">
        <v>126</v>
      </c>
      <c r="L1349" t="s">
        <v>126</v>
      </c>
      <c r="M1349" t="s">
        <v>2010</v>
      </c>
      <c r="N1349" t="b">
        <v>0</v>
      </c>
    </row>
    <row r="1350" spans="1:14">
      <c r="A1350">
        <v>91</v>
      </c>
      <c r="B1350">
        <v>8</v>
      </c>
      <c r="C1350" t="s">
        <v>318</v>
      </c>
      <c r="D1350" t="s">
        <v>724</v>
      </c>
      <c r="E1350" t="s">
        <v>331</v>
      </c>
      <c r="F1350">
        <v>30</v>
      </c>
      <c r="G1350" t="s">
        <v>126</v>
      </c>
      <c r="H1350" t="s">
        <v>548</v>
      </c>
      <c r="I1350" t="s">
        <v>445</v>
      </c>
      <c r="J1350" t="s">
        <v>126</v>
      </c>
      <c r="K1350" t="s">
        <v>921</v>
      </c>
      <c r="L1350" t="s">
        <v>922</v>
      </c>
      <c r="M1350" t="s">
        <v>2011</v>
      </c>
      <c r="N1350" t="b">
        <v>0</v>
      </c>
    </row>
    <row r="1351" spans="1:14">
      <c r="A1351">
        <v>91</v>
      </c>
      <c r="B1351">
        <v>9</v>
      </c>
      <c r="C1351" t="s">
        <v>167</v>
      </c>
      <c r="D1351" t="s">
        <v>724</v>
      </c>
      <c r="E1351" t="s">
        <v>74</v>
      </c>
      <c r="F1351">
        <v>50</v>
      </c>
      <c r="G1351" t="s">
        <v>126</v>
      </c>
      <c r="H1351" t="s">
        <v>126</v>
      </c>
      <c r="I1351" t="s">
        <v>74</v>
      </c>
      <c r="J1351" t="s">
        <v>126</v>
      </c>
      <c r="K1351" t="s">
        <v>126</v>
      </c>
      <c r="L1351" t="s">
        <v>126</v>
      </c>
      <c r="M1351" t="s">
        <v>2012</v>
      </c>
      <c r="N1351" t="b">
        <v>0</v>
      </c>
    </row>
    <row r="1352" spans="1:14">
      <c r="A1352">
        <v>91</v>
      </c>
      <c r="B1352">
        <v>10</v>
      </c>
      <c r="C1352" t="s">
        <v>391</v>
      </c>
      <c r="D1352" t="s">
        <v>724</v>
      </c>
      <c r="E1352" t="s">
        <v>102</v>
      </c>
      <c r="F1352">
        <v>60</v>
      </c>
      <c r="G1352" t="s">
        <v>126</v>
      </c>
      <c r="H1352" t="s">
        <v>126</v>
      </c>
      <c r="I1352" t="s">
        <v>102</v>
      </c>
      <c r="J1352" t="s">
        <v>126</v>
      </c>
      <c r="K1352" t="s">
        <v>126</v>
      </c>
      <c r="L1352" t="s">
        <v>126</v>
      </c>
      <c r="M1352" t="s">
        <v>2013</v>
      </c>
      <c r="N1352" t="b">
        <v>0</v>
      </c>
    </row>
    <row r="1353" spans="1:14">
      <c r="A1353">
        <v>91</v>
      </c>
      <c r="B1353">
        <v>11</v>
      </c>
      <c r="C1353" t="s">
        <v>170</v>
      </c>
      <c r="D1353" t="s">
        <v>724</v>
      </c>
      <c r="E1353" t="s">
        <v>106</v>
      </c>
      <c r="F1353">
        <v>50</v>
      </c>
      <c r="G1353" t="s">
        <v>126</v>
      </c>
      <c r="H1353" t="s">
        <v>126</v>
      </c>
      <c r="I1353" t="s">
        <v>106</v>
      </c>
      <c r="J1353" t="s">
        <v>126</v>
      </c>
      <c r="K1353" t="s">
        <v>126</v>
      </c>
      <c r="L1353" t="s">
        <v>126</v>
      </c>
      <c r="M1353" t="s">
        <v>2014</v>
      </c>
      <c r="N1353" t="b">
        <v>0</v>
      </c>
    </row>
    <row r="1354" spans="1:14">
      <c r="A1354">
        <v>91</v>
      </c>
      <c r="B1354">
        <v>12</v>
      </c>
      <c r="C1354" t="s">
        <v>223</v>
      </c>
      <c r="D1354" t="s">
        <v>724</v>
      </c>
      <c r="E1354" t="s">
        <v>107</v>
      </c>
      <c r="F1354">
        <v>50</v>
      </c>
      <c r="G1354" t="s">
        <v>126</v>
      </c>
      <c r="H1354" t="s">
        <v>126</v>
      </c>
      <c r="I1354" t="s">
        <v>107</v>
      </c>
      <c r="J1354" t="s">
        <v>126</v>
      </c>
      <c r="K1354" t="s">
        <v>126</v>
      </c>
      <c r="L1354" t="s">
        <v>126</v>
      </c>
      <c r="M1354" t="s">
        <v>2015</v>
      </c>
      <c r="N1354" t="b">
        <v>0</v>
      </c>
    </row>
    <row r="1355" spans="1:14">
      <c r="A1355">
        <v>91</v>
      </c>
      <c r="B1355">
        <v>13</v>
      </c>
      <c r="C1355" t="s">
        <v>195</v>
      </c>
      <c r="D1355" t="s">
        <v>724</v>
      </c>
      <c r="E1355" t="s">
        <v>108</v>
      </c>
      <c r="F1355">
        <v>60</v>
      </c>
      <c r="G1355" t="s">
        <v>126</v>
      </c>
      <c r="H1355" t="s">
        <v>126</v>
      </c>
      <c r="I1355" t="s">
        <v>108</v>
      </c>
      <c r="J1355" t="s">
        <v>126</v>
      </c>
      <c r="K1355" t="s">
        <v>126</v>
      </c>
      <c r="L1355" t="s">
        <v>126</v>
      </c>
      <c r="M1355" t="s">
        <v>2016</v>
      </c>
      <c r="N1355" t="b">
        <v>0</v>
      </c>
    </row>
    <row r="1356" spans="1:14">
      <c r="A1356">
        <v>91</v>
      </c>
      <c r="B1356">
        <v>14</v>
      </c>
      <c r="C1356" t="s">
        <v>126</v>
      </c>
      <c r="D1356" t="s">
        <v>724</v>
      </c>
      <c r="E1356" t="s">
        <v>126</v>
      </c>
      <c r="F1356">
        <v>0</v>
      </c>
      <c r="G1356" t="s">
        <v>126</v>
      </c>
      <c r="H1356" t="s">
        <v>126</v>
      </c>
      <c r="I1356" t="s">
        <v>126</v>
      </c>
      <c r="J1356" t="s">
        <v>126</v>
      </c>
      <c r="K1356" t="s">
        <v>126</v>
      </c>
      <c r="L1356" t="s">
        <v>126</v>
      </c>
      <c r="M1356" t="s">
        <v>2017</v>
      </c>
      <c r="N1356" t="b">
        <v>0</v>
      </c>
    </row>
    <row r="1357" spans="1:14">
      <c r="A1357">
        <v>91</v>
      </c>
      <c r="B1357">
        <v>15</v>
      </c>
      <c r="C1357" t="s">
        <v>126</v>
      </c>
      <c r="D1357" t="s">
        <v>724</v>
      </c>
      <c r="E1357" t="s">
        <v>126</v>
      </c>
      <c r="F1357">
        <v>0</v>
      </c>
      <c r="G1357" t="s">
        <v>126</v>
      </c>
      <c r="H1357" t="s">
        <v>126</v>
      </c>
      <c r="I1357" t="s">
        <v>126</v>
      </c>
      <c r="J1357" t="s">
        <v>126</v>
      </c>
      <c r="K1357" t="s">
        <v>126</v>
      </c>
      <c r="L1357" t="s">
        <v>126</v>
      </c>
      <c r="M1357" t="s">
        <v>2018</v>
      </c>
      <c r="N1357" t="b">
        <v>0</v>
      </c>
    </row>
    <row r="1358" spans="1:14">
      <c r="A1358">
        <v>91</v>
      </c>
      <c r="B1358">
        <v>16</v>
      </c>
      <c r="C1358" t="s">
        <v>126</v>
      </c>
      <c r="D1358" t="s">
        <v>741</v>
      </c>
      <c r="E1358" t="s">
        <v>126</v>
      </c>
      <c r="F1358">
        <v>0</v>
      </c>
      <c r="G1358" t="s">
        <v>126</v>
      </c>
      <c r="H1358" t="s">
        <v>126</v>
      </c>
      <c r="I1358" t="s">
        <v>126</v>
      </c>
      <c r="J1358" t="s">
        <v>126</v>
      </c>
      <c r="K1358" t="s">
        <v>126</v>
      </c>
      <c r="L1358" t="s">
        <v>126</v>
      </c>
      <c r="M1358" t="s">
        <v>2019</v>
      </c>
      <c r="N1358" t="b">
        <v>0</v>
      </c>
    </row>
    <row r="1359" spans="1:14">
      <c r="A1359">
        <v>91</v>
      </c>
      <c r="B1359">
        <v>17</v>
      </c>
      <c r="C1359" t="s">
        <v>126</v>
      </c>
      <c r="D1359" t="s">
        <v>741</v>
      </c>
      <c r="E1359" t="s">
        <v>126</v>
      </c>
      <c r="F1359">
        <v>0</v>
      </c>
      <c r="G1359" t="s">
        <v>126</v>
      </c>
      <c r="H1359" t="s">
        <v>126</v>
      </c>
      <c r="I1359" t="s">
        <v>126</v>
      </c>
      <c r="J1359" t="s">
        <v>126</v>
      </c>
      <c r="K1359" t="s">
        <v>126</v>
      </c>
      <c r="L1359" t="s">
        <v>126</v>
      </c>
      <c r="M1359" t="s">
        <v>2020</v>
      </c>
      <c r="N1359" t="b">
        <v>0</v>
      </c>
    </row>
    <row r="1360" spans="1:14">
      <c r="A1360">
        <v>91</v>
      </c>
      <c r="B1360">
        <v>18</v>
      </c>
      <c r="C1360" t="s">
        <v>126</v>
      </c>
      <c r="D1360" t="s">
        <v>741</v>
      </c>
      <c r="E1360" t="s">
        <v>126</v>
      </c>
      <c r="F1360">
        <v>0</v>
      </c>
      <c r="G1360" t="s">
        <v>126</v>
      </c>
      <c r="H1360" t="s">
        <v>126</v>
      </c>
      <c r="I1360" t="s">
        <v>126</v>
      </c>
      <c r="J1360" t="s">
        <v>126</v>
      </c>
      <c r="K1360" t="s">
        <v>126</v>
      </c>
      <c r="L1360" t="s">
        <v>126</v>
      </c>
      <c r="M1360" t="s">
        <v>2021</v>
      </c>
      <c r="N1360" t="b">
        <v>0</v>
      </c>
    </row>
    <row r="1361" spans="1:14">
      <c r="A1361">
        <v>91</v>
      </c>
      <c r="B1361">
        <v>19</v>
      </c>
      <c r="C1361" t="s">
        <v>126</v>
      </c>
      <c r="D1361" t="s">
        <v>741</v>
      </c>
      <c r="E1361" t="s">
        <v>126</v>
      </c>
      <c r="F1361">
        <v>0</v>
      </c>
      <c r="G1361" t="s">
        <v>126</v>
      </c>
      <c r="H1361" t="s">
        <v>126</v>
      </c>
      <c r="I1361" t="s">
        <v>126</v>
      </c>
      <c r="J1361" t="s">
        <v>126</v>
      </c>
      <c r="K1361" t="s">
        <v>126</v>
      </c>
      <c r="L1361" t="s">
        <v>126</v>
      </c>
      <c r="M1361" t="s">
        <v>2022</v>
      </c>
      <c r="N1361" t="b">
        <v>0</v>
      </c>
    </row>
    <row r="1362" spans="1:14">
      <c r="A1362">
        <v>91</v>
      </c>
      <c r="B1362">
        <v>20</v>
      </c>
      <c r="C1362" t="s">
        <v>126</v>
      </c>
      <c r="D1362" t="s">
        <v>741</v>
      </c>
      <c r="E1362" t="s">
        <v>126</v>
      </c>
      <c r="F1362">
        <v>0</v>
      </c>
      <c r="G1362" t="s">
        <v>126</v>
      </c>
      <c r="H1362" t="s">
        <v>126</v>
      </c>
      <c r="I1362" t="s">
        <v>126</v>
      </c>
      <c r="J1362" t="s">
        <v>126</v>
      </c>
      <c r="K1362" t="s">
        <v>126</v>
      </c>
      <c r="L1362" t="s">
        <v>126</v>
      </c>
      <c r="M1362" t="s">
        <v>2023</v>
      </c>
      <c r="N1362" t="b">
        <v>0</v>
      </c>
    </row>
    <row r="1363" spans="1:14">
      <c r="A1363">
        <v>91</v>
      </c>
      <c r="B1363">
        <v>21</v>
      </c>
      <c r="C1363" t="s">
        <v>126</v>
      </c>
      <c r="D1363" t="s">
        <v>741</v>
      </c>
      <c r="E1363" t="s">
        <v>126</v>
      </c>
      <c r="F1363">
        <v>0</v>
      </c>
      <c r="G1363" t="s">
        <v>126</v>
      </c>
      <c r="H1363" t="s">
        <v>126</v>
      </c>
      <c r="I1363" t="s">
        <v>126</v>
      </c>
      <c r="J1363" t="s">
        <v>126</v>
      </c>
      <c r="K1363" t="s">
        <v>126</v>
      </c>
      <c r="L1363" t="s">
        <v>126</v>
      </c>
      <c r="M1363" t="s">
        <v>2024</v>
      </c>
      <c r="N1363" t="b">
        <v>0</v>
      </c>
    </row>
    <row r="1364" spans="1:14">
      <c r="A1364">
        <v>91</v>
      </c>
      <c r="B1364">
        <v>22</v>
      </c>
      <c r="C1364" t="s">
        <v>126</v>
      </c>
      <c r="D1364" t="s">
        <v>741</v>
      </c>
      <c r="E1364" t="s">
        <v>126</v>
      </c>
      <c r="F1364">
        <v>0</v>
      </c>
      <c r="G1364" t="s">
        <v>126</v>
      </c>
      <c r="H1364" t="s">
        <v>126</v>
      </c>
      <c r="I1364" t="s">
        <v>126</v>
      </c>
      <c r="J1364" t="s">
        <v>126</v>
      </c>
      <c r="K1364" t="s">
        <v>126</v>
      </c>
      <c r="L1364" t="s">
        <v>126</v>
      </c>
      <c r="M1364" t="s">
        <v>2025</v>
      </c>
      <c r="N1364" t="b">
        <v>0</v>
      </c>
    </row>
    <row r="1365" spans="1:14">
      <c r="A1365">
        <v>91</v>
      </c>
      <c r="B1365">
        <v>23</v>
      </c>
      <c r="C1365" t="s">
        <v>126</v>
      </c>
      <c r="D1365" t="s">
        <v>741</v>
      </c>
      <c r="E1365" t="s">
        <v>126</v>
      </c>
      <c r="F1365">
        <v>0</v>
      </c>
      <c r="G1365" t="s">
        <v>126</v>
      </c>
      <c r="H1365" t="s">
        <v>126</v>
      </c>
      <c r="I1365" t="s">
        <v>126</v>
      </c>
      <c r="J1365" t="s">
        <v>126</v>
      </c>
      <c r="K1365" t="s">
        <v>126</v>
      </c>
      <c r="L1365" t="s">
        <v>126</v>
      </c>
      <c r="M1365" t="s">
        <v>2026</v>
      </c>
      <c r="N1365" t="b">
        <v>0</v>
      </c>
    </row>
    <row r="1366" spans="1:14">
      <c r="A1366">
        <v>91</v>
      </c>
      <c r="B1366">
        <v>24</v>
      </c>
      <c r="C1366" t="s">
        <v>126</v>
      </c>
      <c r="D1366" t="s">
        <v>741</v>
      </c>
      <c r="E1366" t="s">
        <v>126</v>
      </c>
      <c r="F1366">
        <v>0</v>
      </c>
      <c r="G1366" t="s">
        <v>126</v>
      </c>
      <c r="H1366" t="s">
        <v>126</v>
      </c>
      <c r="I1366" t="s">
        <v>126</v>
      </c>
      <c r="J1366" t="s">
        <v>126</v>
      </c>
      <c r="K1366" t="s">
        <v>126</v>
      </c>
      <c r="L1366" t="s">
        <v>126</v>
      </c>
      <c r="M1366" t="s">
        <v>2027</v>
      </c>
      <c r="N1366" t="b">
        <v>0</v>
      </c>
    </row>
    <row r="1367" spans="1:14">
      <c r="A1367">
        <v>91</v>
      </c>
      <c r="B1367">
        <v>25</v>
      </c>
      <c r="C1367" t="s">
        <v>126</v>
      </c>
      <c r="D1367" t="s">
        <v>741</v>
      </c>
      <c r="E1367" t="s">
        <v>126</v>
      </c>
      <c r="F1367">
        <v>0</v>
      </c>
      <c r="G1367" t="s">
        <v>126</v>
      </c>
      <c r="H1367" t="s">
        <v>126</v>
      </c>
      <c r="I1367" t="s">
        <v>126</v>
      </c>
      <c r="J1367" t="s">
        <v>126</v>
      </c>
      <c r="K1367" t="s">
        <v>126</v>
      </c>
      <c r="L1367" t="s">
        <v>126</v>
      </c>
      <c r="M1367" t="s">
        <v>2028</v>
      </c>
      <c r="N1367" t="b">
        <v>0</v>
      </c>
    </row>
    <row r="1368" spans="1:14">
      <c r="A1368">
        <v>91</v>
      </c>
      <c r="B1368">
        <v>26</v>
      </c>
      <c r="C1368" t="s">
        <v>126</v>
      </c>
      <c r="D1368" t="s">
        <v>741</v>
      </c>
      <c r="E1368" t="s">
        <v>126</v>
      </c>
      <c r="F1368">
        <v>0</v>
      </c>
      <c r="G1368" t="s">
        <v>126</v>
      </c>
      <c r="H1368" t="s">
        <v>126</v>
      </c>
      <c r="I1368" t="s">
        <v>126</v>
      </c>
      <c r="J1368" t="s">
        <v>126</v>
      </c>
      <c r="K1368" t="s">
        <v>126</v>
      </c>
      <c r="L1368" t="s">
        <v>126</v>
      </c>
      <c r="M1368" t="s">
        <v>2029</v>
      </c>
      <c r="N1368" t="b">
        <v>0</v>
      </c>
    </row>
    <row r="1369" spans="1:14">
      <c r="A1369">
        <v>93</v>
      </c>
      <c r="B1369">
        <v>0</v>
      </c>
      <c r="C1369" t="s">
        <v>158</v>
      </c>
      <c r="D1369" t="s">
        <v>724</v>
      </c>
      <c r="E1369" t="s">
        <v>83</v>
      </c>
      <c r="F1369">
        <v>40</v>
      </c>
      <c r="G1369" t="s">
        <v>126</v>
      </c>
      <c r="H1369" t="s">
        <v>126</v>
      </c>
      <c r="I1369" t="s">
        <v>83</v>
      </c>
      <c r="J1369" t="s">
        <v>126</v>
      </c>
      <c r="K1369" t="s">
        <v>126</v>
      </c>
      <c r="L1369" t="s">
        <v>126</v>
      </c>
      <c r="M1369" t="s">
        <v>2030</v>
      </c>
      <c r="N1369" t="b">
        <v>0</v>
      </c>
    </row>
    <row r="1370" spans="1:14">
      <c r="A1370">
        <v>93</v>
      </c>
      <c r="B1370">
        <v>1</v>
      </c>
      <c r="C1370" t="s">
        <v>210</v>
      </c>
      <c r="D1370" t="s">
        <v>724</v>
      </c>
      <c r="E1370" t="s">
        <v>87</v>
      </c>
      <c r="F1370">
        <v>40</v>
      </c>
      <c r="G1370" t="s">
        <v>126</v>
      </c>
      <c r="H1370" t="s">
        <v>126</v>
      </c>
      <c r="I1370" t="s">
        <v>87</v>
      </c>
      <c r="J1370" t="s">
        <v>126</v>
      </c>
      <c r="K1370" t="s">
        <v>126</v>
      </c>
      <c r="L1370" t="s">
        <v>126</v>
      </c>
      <c r="M1370" t="s">
        <v>2031</v>
      </c>
      <c r="N1370" t="b">
        <v>0</v>
      </c>
    </row>
    <row r="1371" spans="1:14">
      <c r="A1371">
        <v>93</v>
      </c>
      <c r="B1371">
        <v>2</v>
      </c>
      <c r="C1371" t="s">
        <v>187</v>
      </c>
      <c r="D1371" t="s">
        <v>724</v>
      </c>
      <c r="E1371" t="s">
        <v>93</v>
      </c>
      <c r="F1371">
        <v>50</v>
      </c>
      <c r="G1371" t="s">
        <v>126</v>
      </c>
      <c r="H1371" t="s">
        <v>126</v>
      </c>
      <c r="I1371" t="s">
        <v>93</v>
      </c>
      <c r="J1371" t="s">
        <v>126</v>
      </c>
      <c r="K1371" t="s">
        <v>126</v>
      </c>
      <c r="L1371" t="s">
        <v>126</v>
      </c>
      <c r="M1371" t="s">
        <v>2032</v>
      </c>
      <c r="N1371" t="b">
        <v>0</v>
      </c>
    </row>
    <row r="1372" spans="1:14">
      <c r="A1372">
        <v>93</v>
      </c>
      <c r="B1372">
        <v>3</v>
      </c>
      <c r="C1372" t="s">
        <v>444</v>
      </c>
      <c r="D1372" t="s">
        <v>724</v>
      </c>
      <c r="E1372" t="s">
        <v>297</v>
      </c>
      <c r="F1372">
        <v>40</v>
      </c>
      <c r="G1372" t="s">
        <v>126</v>
      </c>
      <c r="H1372" t="s">
        <v>1897</v>
      </c>
      <c r="I1372" t="s">
        <v>1898</v>
      </c>
      <c r="J1372" t="s">
        <v>126</v>
      </c>
      <c r="K1372" t="s">
        <v>762</v>
      </c>
      <c r="L1372" t="s">
        <v>763</v>
      </c>
      <c r="M1372" t="s">
        <v>2033</v>
      </c>
      <c r="N1372" t="b">
        <v>0</v>
      </c>
    </row>
    <row r="1373" spans="1:14">
      <c r="A1373">
        <v>93</v>
      </c>
      <c r="B1373">
        <v>4</v>
      </c>
      <c r="C1373" t="s">
        <v>191</v>
      </c>
      <c r="D1373" t="s">
        <v>724</v>
      </c>
      <c r="E1373" t="s">
        <v>115</v>
      </c>
      <c r="F1373">
        <v>60</v>
      </c>
      <c r="G1373" t="s">
        <v>126</v>
      </c>
      <c r="H1373" t="s">
        <v>126</v>
      </c>
      <c r="I1373" t="s">
        <v>115</v>
      </c>
      <c r="J1373" t="s">
        <v>126</v>
      </c>
      <c r="K1373" t="s">
        <v>126</v>
      </c>
      <c r="L1373" t="s">
        <v>126</v>
      </c>
      <c r="M1373" t="s">
        <v>2034</v>
      </c>
      <c r="N1373" t="b">
        <v>0</v>
      </c>
    </row>
    <row r="1374" spans="1:14">
      <c r="A1374">
        <v>93</v>
      </c>
      <c r="B1374">
        <v>5</v>
      </c>
      <c r="C1374" t="s">
        <v>212</v>
      </c>
      <c r="D1374" t="s">
        <v>724</v>
      </c>
      <c r="E1374" t="s">
        <v>109</v>
      </c>
      <c r="F1374">
        <v>40</v>
      </c>
      <c r="G1374" t="s">
        <v>126</v>
      </c>
      <c r="H1374" t="s">
        <v>126</v>
      </c>
      <c r="I1374" t="s">
        <v>109</v>
      </c>
      <c r="J1374" t="s">
        <v>126</v>
      </c>
      <c r="K1374" t="s">
        <v>126</v>
      </c>
      <c r="L1374" t="s">
        <v>126</v>
      </c>
      <c r="M1374" t="s">
        <v>2035</v>
      </c>
      <c r="N1374" t="b">
        <v>0</v>
      </c>
    </row>
    <row r="1375" spans="1:14">
      <c r="A1375">
        <v>93</v>
      </c>
      <c r="B1375">
        <v>6</v>
      </c>
      <c r="C1375" t="s">
        <v>182</v>
      </c>
      <c r="D1375" t="s">
        <v>724</v>
      </c>
      <c r="E1375" t="s">
        <v>61</v>
      </c>
      <c r="F1375">
        <v>40</v>
      </c>
      <c r="G1375" t="s">
        <v>126</v>
      </c>
      <c r="H1375" t="s">
        <v>126</v>
      </c>
      <c r="I1375" t="s">
        <v>61</v>
      </c>
      <c r="J1375" t="s">
        <v>126</v>
      </c>
      <c r="K1375" t="s">
        <v>126</v>
      </c>
      <c r="L1375" t="s">
        <v>126</v>
      </c>
      <c r="M1375" t="s">
        <v>2036</v>
      </c>
      <c r="N1375" t="b">
        <v>0</v>
      </c>
    </row>
    <row r="1376" spans="1:14">
      <c r="A1376">
        <v>93</v>
      </c>
      <c r="B1376">
        <v>7</v>
      </c>
      <c r="C1376" t="s">
        <v>459</v>
      </c>
      <c r="D1376" t="s">
        <v>724</v>
      </c>
      <c r="E1376" t="s">
        <v>91</v>
      </c>
      <c r="F1376">
        <v>30</v>
      </c>
      <c r="G1376" t="s">
        <v>126</v>
      </c>
      <c r="H1376" t="s">
        <v>126</v>
      </c>
      <c r="I1376" t="s">
        <v>91</v>
      </c>
      <c r="J1376" t="s">
        <v>126</v>
      </c>
      <c r="K1376" t="s">
        <v>126</v>
      </c>
      <c r="L1376" t="s">
        <v>126</v>
      </c>
      <c r="M1376" t="s">
        <v>2037</v>
      </c>
      <c r="N1376" t="b">
        <v>0</v>
      </c>
    </row>
    <row r="1377" spans="1:14">
      <c r="A1377">
        <v>93</v>
      </c>
      <c r="B1377">
        <v>8</v>
      </c>
      <c r="C1377" t="s">
        <v>460</v>
      </c>
      <c r="D1377" t="s">
        <v>724</v>
      </c>
      <c r="E1377" t="s">
        <v>545</v>
      </c>
      <c r="F1377">
        <v>50</v>
      </c>
      <c r="G1377" t="s">
        <v>126</v>
      </c>
      <c r="H1377" t="s">
        <v>580</v>
      </c>
      <c r="I1377" t="s">
        <v>373</v>
      </c>
      <c r="J1377" t="s">
        <v>126</v>
      </c>
      <c r="K1377" t="s">
        <v>801</v>
      </c>
      <c r="L1377" t="s">
        <v>802</v>
      </c>
      <c r="M1377" t="s">
        <v>2038</v>
      </c>
      <c r="N1377" t="b">
        <v>0</v>
      </c>
    </row>
    <row r="1378" spans="1:14">
      <c r="A1378">
        <v>93</v>
      </c>
      <c r="B1378">
        <v>9</v>
      </c>
      <c r="C1378" t="s">
        <v>447</v>
      </c>
      <c r="D1378" t="s">
        <v>724</v>
      </c>
      <c r="E1378" t="s">
        <v>545</v>
      </c>
      <c r="F1378">
        <v>50</v>
      </c>
      <c r="G1378" t="s">
        <v>126</v>
      </c>
      <c r="H1378" t="s">
        <v>555</v>
      </c>
      <c r="I1378" t="s">
        <v>332</v>
      </c>
      <c r="J1378" t="s">
        <v>126</v>
      </c>
      <c r="K1378" t="s">
        <v>825</v>
      </c>
      <c r="L1378" t="s">
        <v>826</v>
      </c>
      <c r="M1378" t="s">
        <v>2039</v>
      </c>
      <c r="N1378" t="b">
        <v>0</v>
      </c>
    </row>
    <row r="1379" spans="1:14">
      <c r="A1379">
        <v>93</v>
      </c>
      <c r="B1379">
        <v>10</v>
      </c>
      <c r="C1379" t="s">
        <v>126</v>
      </c>
      <c r="D1379" t="s">
        <v>724</v>
      </c>
      <c r="E1379" t="s">
        <v>126</v>
      </c>
      <c r="F1379">
        <v>0</v>
      </c>
      <c r="G1379" t="s">
        <v>126</v>
      </c>
      <c r="H1379" t="s">
        <v>126</v>
      </c>
      <c r="I1379" t="s">
        <v>126</v>
      </c>
      <c r="J1379" t="s">
        <v>126</v>
      </c>
      <c r="K1379" t="s">
        <v>126</v>
      </c>
      <c r="L1379" t="s">
        <v>126</v>
      </c>
      <c r="M1379" t="s">
        <v>2040</v>
      </c>
      <c r="N1379" t="b">
        <v>0</v>
      </c>
    </row>
    <row r="1380" spans="1:14">
      <c r="A1380">
        <v>93</v>
      </c>
      <c r="B1380">
        <v>11</v>
      </c>
      <c r="C1380" t="s">
        <v>126</v>
      </c>
      <c r="D1380" t="s">
        <v>724</v>
      </c>
      <c r="E1380" t="s">
        <v>126</v>
      </c>
      <c r="F1380">
        <v>0</v>
      </c>
      <c r="G1380" t="s">
        <v>126</v>
      </c>
      <c r="H1380" t="s">
        <v>126</v>
      </c>
      <c r="I1380" t="s">
        <v>126</v>
      </c>
      <c r="J1380" t="s">
        <v>126</v>
      </c>
      <c r="K1380" t="s">
        <v>126</v>
      </c>
      <c r="L1380" t="s">
        <v>126</v>
      </c>
      <c r="M1380" t="s">
        <v>2041</v>
      </c>
      <c r="N1380" t="b">
        <v>0</v>
      </c>
    </row>
    <row r="1381" spans="1:14">
      <c r="A1381">
        <v>93</v>
      </c>
      <c r="B1381">
        <v>12</v>
      </c>
      <c r="C1381" t="s">
        <v>126</v>
      </c>
      <c r="D1381" t="s">
        <v>724</v>
      </c>
      <c r="E1381" t="s">
        <v>126</v>
      </c>
      <c r="F1381">
        <v>0</v>
      </c>
      <c r="G1381" t="s">
        <v>126</v>
      </c>
      <c r="H1381" t="s">
        <v>126</v>
      </c>
      <c r="I1381" t="s">
        <v>126</v>
      </c>
      <c r="J1381" t="s">
        <v>126</v>
      </c>
      <c r="K1381" t="s">
        <v>126</v>
      </c>
      <c r="L1381" t="s">
        <v>126</v>
      </c>
      <c r="M1381" t="s">
        <v>2042</v>
      </c>
      <c r="N1381" t="b">
        <v>0</v>
      </c>
    </row>
    <row r="1382" spans="1:14">
      <c r="A1382">
        <v>93</v>
      </c>
      <c r="B1382">
        <v>13</v>
      </c>
      <c r="C1382" t="s">
        <v>126</v>
      </c>
      <c r="D1382" t="s">
        <v>724</v>
      </c>
      <c r="E1382" t="s">
        <v>126</v>
      </c>
      <c r="F1382">
        <v>0</v>
      </c>
      <c r="G1382" t="s">
        <v>126</v>
      </c>
      <c r="H1382" t="s">
        <v>126</v>
      </c>
      <c r="I1382" t="s">
        <v>126</v>
      </c>
      <c r="J1382" t="s">
        <v>126</v>
      </c>
      <c r="K1382" t="s">
        <v>126</v>
      </c>
      <c r="L1382" t="s">
        <v>126</v>
      </c>
      <c r="M1382" t="s">
        <v>2043</v>
      </c>
      <c r="N1382" t="b">
        <v>0</v>
      </c>
    </row>
    <row r="1383" spans="1:14">
      <c r="A1383">
        <v>93</v>
      </c>
      <c r="B1383">
        <v>14</v>
      </c>
      <c r="C1383" t="s">
        <v>126</v>
      </c>
      <c r="D1383" t="s">
        <v>724</v>
      </c>
      <c r="E1383" t="s">
        <v>126</v>
      </c>
      <c r="F1383">
        <v>0</v>
      </c>
      <c r="G1383" t="s">
        <v>126</v>
      </c>
      <c r="H1383" t="s">
        <v>126</v>
      </c>
      <c r="I1383" t="s">
        <v>126</v>
      </c>
      <c r="J1383" t="s">
        <v>126</v>
      </c>
      <c r="K1383" t="s">
        <v>126</v>
      </c>
      <c r="L1383" t="s">
        <v>126</v>
      </c>
      <c r="M1383" t="s">
        <v>2044</v>
      </c>
      <c r="N1383" t="b">
        <v>0</v>
      </c>
    </row>
    <row r="1384" spans="1:14">
      <c r="A1384">
        <v>93</v>
      </c>
      <c r="B1384">
        <v>15</v>
      </c>
      <c r="C1384" t="s">
        <v>126</v>
      </c>
      <c r="D1384" t="s">
        <v>724</v>
      </c>
      <c r="E1384" t="s">
        <v>126</v>
      </c>
      <c r="F1384">
        <v>0</v>
      </c>
      <c r="G1384" t="s">
        <v>126</v>
      </c>
      <c r="H1384" t="s">
        <v>126</v>
      </c>
      <c r="I1384" t="s">
        <v>126</v>
      </c>
      <c r="J1384" t="s">
        <v>126</v>
      </c>
      <c r="K1384" t="s">
        <v>126</v>
      </c>
      <c r="L1384" t="s">
        <v>126</v>
      </c>
      <c r="M1384" t="s">
        <v>2045</v>
      </c>
      <c r="N1384" t="b">
        <v>0</v>
      </c>
    </row>
    <row r="1385" spans="1:14">
      <c r="A1385">
        <v>93</v>
      </c>
      <c r="B1385">
        <v>16</v>
      </c>
      <c r="C1385" t="s">
        <v>126</v>
      </c>
      <c r="D1385" t="s">
        <v>741</v>
      </c>
      <c r="E1385" t="s">
        <v>126</v>
      </c>
      <c r="F1385">
        <v>0</v>
      </c>
      <c r="G1385" t="s">
        <v>126</v>
      </c>
      <c r="H1385" t="s">
        <v>126</v>
      </c>
      <c r="I1385" t="s">
        <v>126</v>
      </c>
      <c r="J1385" t="s">
        <v>126</v>
      </c>
      <c r="K1385" t="s">
        <v>126</v>
      </c>
      <c r="L1385" t="s">
        <v>126</v>
      </c>
      <c r="M1385" t="s">
        <v>2046</v>
      </c>
      <c r="N1385" t="b">
        <v>0</v>
      </c>
    </row>
    <row r="1386" spans="1:14">
      <c r="A1386">
        <v>93</v>
      </c>
      <c r="B1386">
        <v>17</v>
      </c>
      <c r="C1386" t="s">
        <v>126</v>
      </c>
      <c r="D1386" t="s">
        <v>741</v>
      </c>
      <c r="E1386" t="s">
        <v>126</v>
      </c>
      <c r="F1386">
        <v>0</v>
      </c>
      <c r="G1386" t="s">
        <v>126</v>
      </c>
      <c r="H1386" t="s">
        <v>126</v>
      </c>
      <c r="I1386" t="s">
        <v>126</v>
      </c>
      <c r="J1386" t="s">
        <v>126</v>
      </c>
      <c r="K1386" t="s">
        <v>126</v>
      </c>
      <c r="L1386" t="s">
        <v>126</v>
      </c>
      <c r="M1386" t="s">
        <v>2047</v>
      </c>
      <c r="N1386" t="b">
        <v>0</v>
      </c>
    </row>
    <row r="1387" spans="1:14">
      <c r="A1387">
        <v>93</v>
      </c>
      <c r="B1387">
        <v>18</v>
      </c>
      <c r="C1387" t="s">
        <v>126</v>
      </c>
      <c r="D1387" t="s">
        <v>741</v>
      </c>
      <c r="E1387" t="s">
        <v>126</v>
      </c>
      <c r="F1387">
        <v>0</v>
      </c>
      <c r="G1387" t="s">
        <v>126</v>
      </c>
      <c r="H1387" t="s">
        <v>126</v>
      </c>
      <c r="I1387" t="s">
        <v>126</v>
      </c>
      <c r="J1387" t="s">
        <v>126</v>
      </c>
      <c r="K1387" t="s">
        <v>126</v>
      </c>
      <c r="L1387" t="s">
        <v>126</v>
      </c>
      <c r="M1387" t="s">
        <v>2048</v>
      </c>
      <c r="N1387" t="b">
        <v>0</v>
      </c>
    </row>
    <row r="1388" spans="1:14">
      <c r="A1388">
        <v>93</v>
      </c>
      <c r="B1388">
        <v>19</v>
      </c>
      <c r="C1388" t="s">
        <v>126</v>
      </c>
      <c r="D1388" t="s">
        <v>741</v>
      </c>
      <c r="E1388" t="s">
        <v>126</v>
      </c>
      <c r="F1388">
        <v>0</v>
      </c>
      <c r="G1388" t="s">
        <v>126</v>
      </c>
      <c r="H1388" t="s">
        <v>126</v>
      </c>
      <c r="I1388" t="s">
        <v>126</v>
      </c>
      <c r="J1388" t="s">
        <v>126</v>
      </c>
      <c r="K1388" t="s">
        <v>126</v>
      </c>
      <c r="L1388" t="s">
        <v>126</v>
      </c>
      <c r="M1388" t="s">
        <v>2049</v>
      </c>
      <c r="N1388" t="b">
        <v>0</v>
      </c>
    </row>
    <row r="1389" spans="1:14">
      <c r="A1389">
        <v>93</v>
      </c>
      <c r="B1389">
        <v>20</v>
      </c>
      <c r="C1389" t="s">
        <v>126</v>
      </c>
      <c r="D1389" t="s">
        <v>741</v>
      </c>
      <c r="E1389" t="s">
        <v>126</v>
      </c>
      <c r="F1389">
        <v>0</v>
      </c>
      <c r="G1389" t="s">
        <v>126</v>
      </c>
      <c r="H1389" t="s">
        <v>126</v>
      </c>
      <c r="I1389" t="s">
        <v>126</v>
      </c>
      <c r="J1389" t="s">
        <v>126</v>
      </c>
      <c r="K1389" t="s">
        <v>126</v>
      </c>
      <c r="L1389" t="s">
        <v>126</v>
      </c>
      <c r="M1389" t="s">
        <v>2050</v>
      </c>
      <c r="N1389" t="b">
        <v>0</v>
      </c>
    </row>
    <row r="1390" spans="1:14">
      <c r="A1390">
        <v>93</v>
      </c>
      <c r="B1390">
        <v>21</v>
      </c>
      <c r="C1390" t="s">
        <v>126</v>
      </c>
      <c r="D1390" t="s">
        <v>741</v>
      </c>
      <c r="E1390" t="s">
        <v>126</v>
      </c>
      <c r="F1390">
        <v>0</v>
      </c>
      <c r="G1390" t="s">
        <v>126</v>
      </c>
      <c r="H1390" t="s">
        <v>126</v>
      </c>
      <c r="I1390" t="s">
        <v>126</v>
      </c>
      <c r="J1390" t="s">
        <v>126</v>
      </c>
      <c r="K1390" t="s">
        <v>126</v>
      </c>
      <c r="L1390" t="s">
        <v>126</v>
      </c>
      <c r="M1390" t="s">
        <v>2051</v>
      </c>
      <c r="N1390" t="b">
        <v>0</v>
      </c>
    </row>
    <row r="1391" spans="1:14">
      <c r="A1391">
        <v>93</v>
      </c>
      <c r="B1391">
        <v>22</v>
      </c>
      <c r="C1391" t="s">
        <v>126</v>
      </c>
      <c r="D1391" t="s">
        <v>741</v>
      </c>
      <c r="E1391" t="s">
        <v>126</v>
      </c>
      <c r="F1391">
        <v>0</v>
      </c>
      <c r="G1391" t="s">
        <v>126</v>
      </c>
      <c r="H1391" t="s">
        <v>126</v>
      </c>
      <c r="I1391" t="s">
        <v>126</v>
      </c>
      <c r="J1391" t="s">
        <v>126</v>
      </c>
      <c r="K1391" t="s">
        <v>126</v>
      </c>
      <c r="L1391" t="s">
        <v>126</v>
      </c>
      <c r="M1391" t="s">
        <v>2052</v>
      </c>
      <c r="N1391" t="b">
        <v>0</v>
      </c>
    </row>
    <row r="1392" spans="1:14">
      <c r="A1392">
        <v>93</v>
      </c>
      <c r="B1392">
        <v>23</v>
      </c>
      <c r="C1392" t="s">
        <v>126</v>
      </c>
      <c r="D1392" t="s">
        <v>741</v>
      </c>
      <c r="E1392" t="s">
        <v>126</v>
      </c>
      <c r="F1392">
        <v>0</v>
      </c>
      <c r="G1392" t="s">
        <v>126</v>
      </c>
      <c r="H1392" t="s">
        <v>126</v>
      </c>
      <c r="I1392" t="s">
        <v>126</v>
      </c>
      <c r="J1392" t="s">
        <v>126</v>
      </c>
      <c r="K1392" t="s">
        <v>126</v>
      </c>
      <c r="L1392" t="s">
        <v>126</v>
      </c>
      <c r="M1392" t="s">
        <v>2053</v>
      </c>
      <c r="N1392" t="b">
        <v>0</v>
      </c>
    </row>
    <row r="1393" spans="1:14">
      <c r="A1393">
        <v>93</v>
      </c>
      <c r="B1393">
        <v>24</v>
      </c>
      <c r="C1393" t="s">
        <v>126</v>
      </c>
      <c r="D1393" t="s">
        <v>741</v>
      </c>
      <c r="E1393" t="s">
        <v>126</v>
      </c>
      <c r="F1393">
        <v>0</v>
      </c>
      <c r="G1393" t="s">
        <v>126</v>
      </c>
      <c r="H1393" t="s">
        <v>126</v>
      </c>
      <c r="I1393" t="s">
        <v>126</v>
      </c>
      <c r="J1393" t="s">
        <v>126</v>
      </c>
      <c r="K1393" t="s">
        <v>126</v>
      </c>
      <c r="L1393" t="s">
        <v>126</v>
      </c>
      <c r="M1393" t="s">
        <v>2054</v>
      </c>
      <c r="N1393" t="b">
        <v>0</v>
      </c>
    </row>
    <row r="1394" spans="1:14">
      <c r="A1394">
        <v>93</v>
      </c>
      <c r="B1394">
        <v>25</v>
      </c>
      <c r="C1394" t="s">
        <v>126</v>
      </c>
      <c r="D1394" t="s">
        <v>741</v>
      </c>
      <c r="E1394" t="s">
        <v>126</v>
      </c>
      <c r="F1394">
        <v>0</v>
      </c>
      <c r="G1394" t="s">
        <v>126</v>
      </c>
      <c r="H1394" t="s">
        <v>126</v>
      </c>
      <c r="I1394" t="s">
        <v>126</v>
      </c>
      <c r="J1394" t="s">
        <v>126</v>
      </c>
      <c r="K1394" t="s">
        <v>126</v>
      </c>
      <c r="L1394" t="s">
        <v>126</v>
      </c>
      <c r="M1394" t="s">
        <v>2055</v>
      </c>
      <c r="N1394" t="b">
        <v>0</v>
      </c>
    </row>
    <row r="1395" spans="1:14">
      <c r="A1395">
        <v>93</v>
      </c>
      <c r="B1395">
        <v>26</v>
      </c>
      <c r="C1395" t="s">
        <v>126</v>
      </c>
      <c r="D1395" t="s">
        <v>741</v>
      </c>
      <c r="E1395" t="s">
        <v>126</v>
      </c>
      <c r="F1395">
        <v>0</v>
      </c>
      <c r="G1395" t="s">
        <v>126</v>
      </c>
      <c r="H1395" t="s">
        <v>126</v>
      </c>
      <c r="I1395" t="s">
        <v>126</v>
      </c>
      <c r="J1395" t="s">
        <v>126</v>
      </c>
      <c r="K1395" t="s">
        <v>126</v>
      </c>
      <c r="L1395" t="s">
        <v>126</v>
      </c>
      <c r="M1395" t="s">
        <v>2056</v>
      </c>
      <c r="N1395" t="b">
        <v>0</v>
      </c>
    </row>
    <row r="1396" spans="1:14">
      <c r="A1396">
        <v>94</v>
      </c>
      <c r="B1396">
        <v>0</v>
      </c>
      <c r="C1396" t="s">
        <v>216</v>
      </c>
      <c r="D1396" t="s">
        <v>724</v>
      </c>
      <c r="E1396" t="s">
        <v>65</v>
      </c>
      <c r="F1396">
        <v>60</v>
      </c>
      <c r="G1396" t="s">
        <v>126</v>
      </c>
      <c r="H1396" t="s">
        <v>126</v>
      </c>
      <c r="I1396" t="s">
        <v>65</v>
      </c>
      <c r="J1396" t="s">
        <v>126</v>
      </c>
      <c r="K1396" t="s">
        <v>126</v>
      </c>
      <c r="L1396" t="s">
        <v>126</v>
      </c>
      <c r="M1396" t="s">
        <v>2057</v>
      </c>
      <c r="N1396" t="b">
        <v>0</v>
      </c>
    </row>
    <row r="1397" spans="1:14">
      <c r="A1397">
        <v>94</v>
      </c>
      <c r="B1397">
        <v>1</v>
      </c>
      <c r="C1397" t="s">
        <v>217</v>
      </c>
      <c r="D1397" t="s">
        <v>724</v>
      </c>
      <c r="E1397" t="s">
        <v>77</v>
      </c>
      <c r="F1397">
        <v>60</v>
      </c>
      <c r="G1397" t="s">
        <v>126</v>
      </c>
      <c r="H1397" t="s">
        <v>126</v>
      </c>
      <c r="I1397" t="s">
        <v>77</v>
      </c>
      <c r="J1397" t="s">
        <v>126</v>
      </c>
      <c r="K1397" t="s">
        <v>126</v>
      </c>
      <c r="L1397" t="s">
        <v>126</v>
      </c>
      <c r="M1397" t="s">
        <v>2058</v>
      </c>
      <c r="N1397" t="b">
        <v>0</v>
      </c>
    </row>
    <row r="1398" spans="1:14">
      <c r="A1398">
        <v>94</v>
      </c>
      <c r="B1398">
        <v>2</v>
      </c>
      <c r="C1398" t="s">
        <v>290</v>
      </c>
      <c r="D1398" t="s">
        <v>724</v>
      </c>
      <c r="E1398" t="s">
        <v>75</v>
      </c>
      <c r="F1398">
        <v>40</v>
      </c>
      <c r="G1398" t="s">
        <v>126</v>
      </c>
      <c r="H1398" t="s">
        <v>126</v>
      </c>
      <c r="I1398" t="s">
        <v>75</v>
      </c>
      <c r="J1398" t="s">
        <v>126</v>
      </c>
      <c r="K1398" t="s">
        <v>126</v>
      </c>
      <c r="L1398" t="s">
        <v>126</v>
      </c>
      <c r="M1398" t="s">
        <v>2059</v>
      </c>
      <c r="N1398" t="b">
        <v>0</v>
      </c>
    </row>
    <row r="1399" spans="1:14">
      <c r="A1399">
        <v>94</v>
      </c>
      <c r="B1399">
        <v>3</v>
      </c>
      <c r="C1399" t="s">
        <v>381</v>
      </c>
      <c r="D1399" t="s">
        <v>724</v>
      </c>
      <c r="E1399" t="s">
        <v>95</v>
      </c>
      <c r="F1399">
        <v>60</v>
      </c>
      <c r="G1399" t="s">
        <v>126</v>
      </c>
      <c r="H1399" t="s">
        <v>126</v>
      </c>
      <c r="I1399" t="s">
        <v>95</v>
      </c>
      <c r="J1399" t="s">
        <v>126</v>
      </c>
      <c r="K1399" t="s">
        <v>126</v>
      </c>
      <c r="L1399" t="s">
        <v>126</v>
      </c>
      <c r="M1399" t="s">
        <v>2060</v>
      </c>
      <c r="N1399" t="b">
        <v>0</v>
      </c>
    </row>
    <row r="1400" spans="1:14">
      <c r="A1400">
        <v>94</v>
      </c>
      <c r="B1400">
        <v>4</v>
      </c>
      <c r="C1400" t="s">
        <v>456</v>
      </c>
      <c r="D1400" t="s">
        <v>724</v>
      </c>
      <c r="E1400" t="s">
        <v>97</v>
      </c>
      <c r="F1400">
        <v>60</v>
      </c>
      <c r="G1400" t="s">
        <v>126</v>
      </c>
      <c r="H1400" t="s">
        <v>126</v>
      </c>
      <c r="I1400" t="s">
        <v>97</v>
      </c>
      <c r="J1400" t="s">
        <v>126</v>
      </c>
      <c r="K1400" t="s">
        <v>126</v>
      </c>
      <c r="L1400" t="s">
        <v>126</v>
      </c>
      <c r="M1400" t="s">
        <v>2061</v>
      </c>
      <c r="N1400" t="b">
        <v>0</v>
      </c>
    </row>
    <row r="1401" spans="1:14">
      <c r="A1401">
        <v>94</v>
      </c>
      <c r="B1401">
        <v>5</v>
      </c>
      <c r="C1401" t="s">
        <v>189</v>
      </c>
      <c r="D1401" t="s">
        <v>724</v>
      </c>
      <c r="E1401" t="s">
        <v>101</v>
      </c>
      <c r="F1401">
        <v>50</v>
      </c>
      <c r="G1401" t="s">
        <v>126</v>
      </c>
      <c r="H1401" t="s">
        <v>126</v>
      </c>
      <c r="I1401" t="s">
        <v>101</v>
      </c>
      <c r="J1401" t="s">
        <v>126</v>
      </c>
      <c r="K1401" t="s">
        <v>126</v>
      </c>
      <c r="L1401" t="s">
        <v>126</v>
      </c>
      <c r="M1401" t="s">
        <v>2062</v>
      </c>
      <c r="N1401" t="b">
        <v>0</v>
      </c>
    </row>
    <row r="1402" spans="1:14">
      <c r="A1402">
        <v>94</v>
      </c>
      <c r="B1402">
        <v>6</v>
      </c>
      <c r="C1402" t="s">
        <v>287</v>
      </c>
      <c r="D1402" t="s">
        <v>724</v>
      </c>
      <c r="E1402" t="s">
        <v>103</v>
      </c>
      <c r="F1402">
        <v>40</v>
      </c>
      <c r="G1402" t="s">
        <v>126</v>
      </c>
      <c r="H1402" t="s">
        <v>126</v>
      </c>
      <c r="I1402" t="s">
        <v>103</v>
      </c>
      <c r="J1402" t="s">
        <v>126</v>
      </c>
      <c r="K1402" t="s">
        <v>126</v>
      </c>
      <c r="L1402" t="s">
        <v>126</v>
      </c>
      <c r="M1402" t="s">
        <v>2063</v>
      </c>
      <c r="N1402" t="b">
        <v>0</v>
      </c>
    </row>
    <row r="1403" spans="1:14">
      <c r="A1403">
        <v>94</v>
      </c>
      <c r="B1403">
        <v>7</v>
      </c>
      <c r="C1403" t="s">
        <v>277</v>
      </c>
      <c r="D1403" t="s">
        <v>724</v>
      </c>
      <c r="E1403" t="s">
        <v>112</v>
      </c>
      <c r="F1403">
        <v>60</v>
      </c>
      <c r="G1403" t="s">
        <v>126</v>
      </c>
      <c r="H1403" t="s">
        <v>126</v>
      </c>
      <c r="I1403" t="s">
        <v>112</v>
      </c>
      <c r="J1403" t="s">
        <v>126</v>
      </c>
      <c r="K1403" t="s">
        <v>126</v>
      </c>
      <c r="L1403" t="s">
        <v>126</v>
      </c>
      <c r="M1403" t="s">
        <v>2064</v>
      </c>
      <c r="N1403" t="b">
        <v>0</v>
      </c>
    </row>
    <row r="1404" spans="1:14">
      <c r="A1404">
        <v>94</v>
      </c>
      <c r="B1404">
        <v>8</v>
      </c>
      <c r="C1404" t="s">
        <v>198</v>
      </c>
      <c r="D1404" t="s">
        <v>724</v>
      </c>
      <c r="E1404" t="s">
        <v>113</v>
      </c>
      <c r="F1404">
        <v>50</v>
      </c>
      <c r="G1404" t="s">
        <v>126</v>
      </c>
      <c r="H1404" t="s">
        <v>126</v>
      </c>
      <c r="I1404" t="s">
        <v>113</v>
      </c>
      <c r="J1404" t="s">
        <v>126</v>
      </c>
      <c r="K1404" t="s">
        <v>126</v>
      </c>
      <c r="L1404" t="s">
        <v>126</v>
      </c>
      <c r="M1404" t="s">
        <v>2065</v>
      </c>
      <c r="N1404" t="b">
        <v>0</v>
      </c>
    </row>
    <row r="1405" spans="1:14">
      <c r="A1405">
        <v>94</v>
      </c>
      <c r="B1405">
        <v>9</v>
      </c>
      <c r="C1405" t="s">
        <v>354</v>
      </c>
      <c r="D1405" t="s">
        <v>724</v>
      </c>
      <c r="E1405" t="s">
        <v>331</v>
      </c>
      <c r="F1405">
        <v>20</v>
      </c>
      <c r="G1405" t="s">
        <v>126</v>
      </c>
      <c r="H1405" t="s">
        <v>548</v>
      </c>
      <c r="I1405" t="s">
        <v>445</v>
      </c>
      <c r="J1405" t="s">
        <v>126</v>
      </c>
      <c r="K1405" t="s">
        <v>921</v>
      </c>
      <c r="L1405" t="s">
        <v>922</v>
      </c>
      <c r="M1405" t="s">
        <v>2066</v>
      </c>
      <c r="N1405" t="b">
        <v>0</v>
      </c>
    </row>
    <row r="1406" spans="1:14">
      <c r="A1406">
        <v>94</v>
      </c>
      <c r="B1406">
        <v>10</v>
      </c>
      <c r="C1406" t="s">
        <v>222</v>
      </c>
      <c r="D1406" t="s">
        <v>724</v>
      </c>
      <c r="E1406" t="s">
        <v>102</v>
      </c>
      <c r="F1406">
        <v>50</v>
      </c>
      <c r="G1406" t="s">
        <v>126</v>
      </c>
      <c r="H1406" t="s">
        <v>126</v>
      </c>
      <c r="I1406" t="s">
        <v>102</v>
      </c>
      <c r="J1406" t="s">
        <v>126</v>
      </c>
      <c r="K1406" t="s">
        <v>126</v>
      </c>
      <c r="L1406" t="s">
        <v>126</v>
      </c>
      <c r="M1406" t="s">
        <v>2067</v>
      </c>
      <c r="N1406" t="b">
        <v>0</v>
      </c>
    </row>
    <row r="1407" spans="1:14">
      <c r="A1407">
        <v>94</v>
      </c>
      <c r="B1407">
        <v>11</v>
      </c>
      <c r="C1407" t="s">
        <v>170</v>
      </c>
      <c r="D1407" t="s">
        <v>724</v>
      </c>
      <c r="E1407" t="s">
        <v>106</v>
      </c>
      <c r="F1407">
        <v>50</v>
      </c>
      <c r="G1407" t="s">
        <v>126</v>
      </c>
      <c r="H1407" t="s">
        <v>126</v>
      </c>
      <c r="I1407" t="s">
        <v>106</v>
      </c>
      <c r="J1407" t="s">
        <v>126</v>
      </c>
      <c r="K1407" t="s">
        <v>126</v>
      </c>
      <c r="L1407" t="s">
        <v>126</v>
      </c>
      <c r="M1407" t="s">
        <v>2068</v>
      </c>
      <c r="N1407" t="b">
        <v>0</v>
      </c>
    </row>
    <row r="1408" spans="1:14">
      <c r="A1408">
        <v>94</v>
      </c>
      <c r="B1408">
        <v>12</v>
      </c>
      <c r="C1408" t="s">
        <v>223</v>
      </c>
      <c r="D1408" t="s">
        <v>724</v>
      </c>
      <c r="E1408" t="s">
        <v>107</v>
      </c>
      <c r="F1408">
        <v>50</v>
      </c>
      <c r="G1408" t="s">
        <v>126</v>
      </c>
      <c r="H1408" t="s">
        <v>126</v>
      </c>
      <c r="I1408" t="s">
        <v>107</v>
      </c>
      <c r="J1408" t="s">
        <v>126</v>
      </c>
      <c r="K1408" t="s">
        <v>126</v>
      </c>
      <c r="L1408" t="s">
        <v>126</v>
      </c>
      <c r="M1408" t="s">
        <v>2069</v>
      </c>
      <c r="N1408" t="b">
        <v>0</v>
      </c>
    </row>
    <row r="1409" spans="1:14">
      <c r="A1409">
        <v>94</v>
      </c>
      <c r="B1409">
        <v>13</v>
      </c>
      <c r="C1409" t="s">
        <v>232</v>
      </c>
      <c r="D1409" t="s">
        <v>724</v>
      </c>
      <c r="E1409" t="s">
        <v>108</v>
      </c>
      <c r="F1409">
        <v>50</v>
      </c>
      <c r="G1409" t="s">
        <v>126</v>
      </c>
      <c r="H1409" t="s">
        <v>126</v>
      </c>
      <c r="I1409" t="s">
        <v>108</v>
      </c>
      <c r="J1409" t="s">
        <v>126</v>
      </c>
      <c r="K1409" t="s">
        <v>126</v>
      </c>
      <c r="L1409" t="s">
        <v>126</v>
      </c>
      <c r="M1409" t="s">
        <v>2070</v>
      </c>
      <c r="N1409" t="b">
        <v>0</v>
      </c>
    </row>
    <row r="1410" spans="1:14">
      <c r="A1410">
        <v>94</v>
      </c>
      <c r="B1410">
        <v>14</v>
      </c>
      <c r="C1410" t="s">
        <v>126</v>
      </c>
      <c r="D1410" t="s">
        <v>724</v>
      </c>
      <c r="E1410" t="s">
        <v>126</v>
      </c>
      <c r="F1410">
        <v>0</v>
      </c>
      <c r="G1410" t="s">
        <v>126</v>
      </c>
      <c r="H1410" t="s">
        <v>126</v>
      </c>
      <c r="I1410" t="s">
        <v>126</v>
      </c>
      <c r="J1410" t="s">
        <v>126</v>
      </c>
      <c r="K1410" t="s">
        <v>126</v>
      </c>
      <c r="L1410" t="s">
        <v>126</v>
      </c>
      <c r="M1410" t="s">
        <v>2071</v>
      </c>
      <c r="N1410" t="b">
        <v>0</v>
      </c>
    </row>
    <row r="1411" spans="1:14">
      <c r="A1411">
        <v>94</v>
      </c>
      <c r="B1411">
        <v>15</v>
      </c>
      <c r="C1411" t="s">
        <v>126</v>
      </c>
      <c r="D1411" t="s">
        <v>724</v>
      </c>
      <c r="E1411" t="s">
        <v>126</v>
      </c>
      <c r="F1411">
        <v>0</v>
      </c>
      <c r="G1411" t="s">
        <v>126</v>
      </c>
      <c r="H1411" t="s">
        <v>126</v>
      </c>
      <c r="I1411" t="s">
        <v>126</v>
      </c>
      <c r="J1411" t="s">
        <v>126</v>
      </c>
      <c r="K1411" t="s">
        <v>126</v>
      </c>
      <c r="L1411" t="s">
        <v>126</v>
      </c>
      <c r="M1411" t="s">
        <v>2072</v>
      </c>
      <c r="N1411" t="b">
        <v>0</v>
      </c>
    </row>
    <row r="1412" spans="1:14">
      <c r="A1412">
        <v>94</v>
      </c>
      <c r="B1412">
        <v>16</v>
      </c>
      <c r="C1412" t="s">
        <v>126</v>
      </c>
      <c r="D1412" t="s">
        <v>741</v>
      </c>
      <c r="E1412" t="s">
        <v>126</v>
      </c>
      <c r="F1412">
        <v>0</v>
      </c>
      <c r="G1412" t="s">
        <v>126</v>
      </c>
      <c r="H1412" t="s">
        <v>126</v>
      </c>
      <c r="I1412" t="s">
        <v>126</v>
      </c>
      <c r="J1412" t="s">
        <v>126</v>
      </c>
      <c r="K1412" t="s">
        <v>126</v>
      </c>
      <c r="L1412" t="s">
        <v>126</v>
      </c>
      <c r="M1412" t="s">
        <v>2073</v>
      </c>
      <c r="N1412" t="b">
        <v>0</v>
      </c>
    </row>
    <row r="1413" spans="1:14">
      <c r="A1413">
        <v>94</v>
      </c>
      <c r="B1413">
        <v>17</v>
      </c>
      <c r="C1413" t="s">
        <v>126</v>
      </c>
      <c r="D1413" t="s">
        <v>741</v>
      </c>
      <c r="E1413" t="s">
        <v>126</v>
      </c>
      <c r="F1413">
        <v>0</v>
      </c>
      <c r="G1413" t="s">
        <v>126</v>
      </c>
      <c r="H1413" t="s">
        <v>126</v>
      </c>
      <c r="I1413" t="s">
        <v>126</v>
      </c>
      <c r="J1413" t="s">
        <v>126</v>
      </c>
      <c r="K1413" t="s">
        <v>126</v>
      </c>
      <c r="L1413" t="s">
        <v>126</v>
      </c>
      <c r="M1413" t="s">
        <v>2074</v>
      </c>
      <c r="N1413" t="b">
        <v>0</v>
      </c>
    </row>
    <row r="1414" spans="1:14">
      <c r="A1414">
        <v>94</v>
      </c>
      <c r="B1414">
        <v>18</v>
      </c>
      <c r="C1414" t="s">
        <v>126</v>
      </c>
      <c r="D1414" t="s">
        <v>741</v>
      </c>
      <c r="E1414" t="s">
        <v>126</v>
      </c>
      <c r="F1414">
        <v>0</v>
      </c>
      <c r="G1414" t="s">
        <v>126</v>
      </c>
      <c r="H1414" t="s">
        <v>126</v>
      </c>
      <c r="I1414" t="s">
        <v>126</v>
      </c>
      <c r="J1414" t="s">
        <v>126</v>
      </c>
      <c r="K1414" t="s">
        <v>126</v>
      </c>
      <c r="L1414" t="s">
        <v>126</v>
      </c>
      <c r="M1414" t="s">
        <v>2075</v>
      </c>
      <c r="N1414" t="b">
        <v>0</v>
      </c>
    </row>
    <row r="1415" spans="1:14">
      <c r="A1415">
        <v>94</v>
      </c>
      <c r="B1415">
        <v>19</v>
      </c>
      <c r="C1415" t="s">
        <v>126</v>
      </c>
      <c r="D1415" t="s">
        <v>741</v>
      </c>
      <c r="E1415" t="s">
        <v>126</v>
      </c>
      <c r="F1415">
        <v>0</v>
      </c>
      <c r="G1415" t="s">
        <v>126</v>
      </c>
      <c r="H1415" t="s">
        <v>126</v>
      </c>
      <c r="I1415" t="s">
        <v>126</v>
      </c>
      <c r="J1415" t="s">
        <v>126</v>
      </c>
      <c r="K1415" t="s">
        <v>126</v>
      </c>
      <c r="L1415" t="s">
        <v>126</v>
      </c>
      <c r="M1415" t="s">
        <v>2076</v>
      </c>
      <c r="N1415" t="b">
        <v>0</v>
      </c>
    </row>
    <row r="1416" spans="1:14">
      <c r="A1416">
        <v>94</v>
      </c>
      <c r="B1416">
        <v>20</v>
      </c>
      <c r="C1416" t="s">
        <v>126</v>
      </c>
      <c r="D1416" t="s">
        <v>741</v>
      </c>
      <c r="E1416" t="s">
        <v>126</v>
      </c>
      <c r="F1416">
        <v>0</v>
      </c>
      <c r="G1416" t="s">
        <v>126</v>
      </c>
      <c r="H1416" t="s">
        <v>126</v>
      </c>
      <c r="I1416" t="s">
        <v>126</v>
      </c>
      <c r="J1416" t="s">
        <v>126</v>
      </c>
      <c r="K1416" t="s">
        <v>126</v>
      </c>
      <c r="L1416" t="s">
        <v>126</v>
      </c>
      <c r="M1416" t="s">
        <v>2077</v>
      </c>
      <c r="N1416" t="b">
        <v>0</v>
      </c>
    </row>
    <row r="1417" spans="1:14">
      <c r="A1417">
        <v>94</v>
      </c>
      <c r="B1417">
        <v>21</v>
      </c>
      <c r="C1417" t="s">
        <v>126</v>
      </c>
      <c r="D1417" t="s">
        <v>741</v>
      </c>
      <c r="E1417" t="s">
        <v>126</v>
      </c>
      <c r="F1417">
        <v>0</v>
      </c>
      <c r="G1417" t="s">
        <v>126</v>
      </c>
      <c r="H1417" t="s">
        <v>126</v>
      </c>
      <c r="I1417" t="s">
        <v>126</v>
      </c>
      <c r="J1417" t="s">
        <v>126</v>
      </c>
      <c r="K1417" t="s">
        <v>126</v>
      </c>
      <c r="L1417" t="s">
        <v>126</v>
      </c>
      <c r="M1417" t="s">
        <v>2078</v>
      </c>
      <c r="N1417" t="b">
        <v>0</v>
      </c>
    </row>
    <row r="1418" spans="1:14">
      <c r="A1418">
        <v>94</v>
      </c>
      <c r="B1418">
        <v>22</v>
      </c>
      <c r="C1418" t="s">
        <v>126</v>
      </c>
      <c r="D1418" t="s">
        <v>741</v>
      </c>
      <c r="E1418" t="s">
        <v>126</v>
      </c>
      <c r="F1418">
        <v>0</v>
      </c>
      <c r="G1418" t="s">
        <v>126</v>
      </c>
      <c r="H1418" t="s">
        <v>126</v>
      </c>
      <c r="I1418" t="s">
        <v>126</v>
      </c>
      <c r="J1418" t="s">
        <v>126</v>
      </c>
      <c r="K1418" t="s">
        <v>126</v>
      </c>
      <c r="L1418" t="s">
        <v>126</v>
      </c>
      <c r="M1418" t="s">
        <v>2079</v>
      </c>
      <c r="N1418" t="b">
        <v>0</v>
      </c>
    </row>
    <row r="1419" spans="1:14">
      <c r="A1419">
        <v>94</v>
      </c>
      <c r="B1419">
        <v>23</v>
      </c>
      <c r="C1419" t="s">
        <v>126</v>
      </c>
      <c r="D1419" t="s">
        <v>741</v>
      </c>
      <c r="E1419" t="s">
        <v>126</v>
      </c>
      <c r="F1419">
        <v>0</v>
      </c>
      <c r="G1419" t="s">
        <v>126</v>
      </c>
      <c r="H1419" t="s">
        <v>126</v>
      </c>
      <c r="I1419" t="s">
        <v>126</v>
      </c>
      <c r="J1419" t="s">
        <v>126</v>
      </c>
      <c r="K1419" t="s">
        <v>126</v>
      </c>
      <c r="L1419" t="s">
        <v>126</v>
      </c>
      <c r="M1419" t="s">
        <v>2080</v>
      </c>
      <c r="N1419" t="b">
        <v>0</v>
      </c>
    </row>
    <row r="1420" spans="1:14">
      <c r="A1420">
        <v>94</v>
      </c>
      <c r="B1420">
        <v>24</v>
      </c>
      <c r="C1420" t="s">
        <v>126</v>
      </c>
      <c r="D1420" t="s">
        <v>741</v>
      </c>
      <c r="E1420" t="s">
        <v>126</v>
      </c>
      <c r="F1420">
        <v>0</v>
      </c>
      <c r="G1420" t="s">
        <v>126</v>
      </c>
      <c r="H1420" t="s">
        <v>126</v>
      </c>
      <c r="I1420" t="s">
        <v>126</v>
      </c>
      <c r="J1420" t="s">
        <v>126</v>
      </c>
      <c r="K1420" t="s">
        <v>126</v>
      </c>
      <c r="L1420" t="s">
        <v>126</v>
      </c>
      <c r="M1420" t="s">
        <v>2081</v>
      </c>
      <c r="N1420" t="b">
        <v>0</v>
      </c>
    </row>
    <row r="1421" spans="1:14">
      <c r="A1421">
        <v>94</v>
      </c>
      <c r="B1421">
        <v>25</v>
      </c>
      <c r="C1421" t="s">
        <v>126</v>
      </c>
      <c r="D1421" t="s">
        <v>741</v>
      </c>
      <c r="E1421" t="s">
        <v>126</v>
      </c>
      <c r="F1421">
        <v>0</v>
      </c>
      <c r="G1421" t="s">
        <v>126</v>
      </c>
      <c r="H1421" t="s">
        <v>126</v>
      </c>
      <c r="I1421" t="s">
        <v>126</v>
      </c>
      <c r="J1421" t="s">
        <v>126</v>
      </c>
      <c r="K1421" t="s">
        <v>126</v>
      </c>
      <c r="L1421" t="s">
        <v>126</v>
      </c>
      <c r="M1421" t="s">
        <v>2082</v>
      </c>
      <c r="N1421" t="b">
        <v>0</v>
      </c>
    </row>
    <row r="1422" spans="1:14">
      <c r="A1422">
        <v>94</v>
      </c>
      <c r="B1422">
        <v>26</v>
      </c>
      <c r="C1422" t="s">
        <v>126</v>
      </c>
      <c r="D1422" t="s">
        <v>741</v>
      </c>
      <c r="E1422" t="s">
        <v>126</v>
      </c>
      <c r="F1422">
        <v>0</v>
      </c>
      <c r="G1422" t="s">
        <v>126</v>
      </c>
      <c r="H1422" t="s">
        <v>126</v>
      </c>
      <c r="I1422" t="s">
        <v>126</v>
      </c>
      <c r="J1422" t="s">
        <v>126</v>
      </c>
      <c r="K1422" t="s">
        <v>126</v>
      </c>
      <c r="L1422" t="s">
        <v>126</v>
      </c>
      <c r="M1422" t="s">
        <v>2083</v>
      </c>
      <c r="N1422" t="b">
        <v>0</v>
      </c>
    </row>
    <row r="1423" spans="1:14">
      <c r="A1423">
        <v>96</v>
      </c>
      <c r="B1423">
        <v>0</v>
      </c>
      <c r="C1423" t="s">
        <v>216</v>
      </c>
      <c r="D1423" t="s">
        <v>724</v>
      </c>
      <c r="E1423" t="s">
        <v>65</v>
      </c>
      <c r="F1423">
        <v>60</v>
      </c>
      <c r="G1423" t="s">
        <v>126</v>
      </c>
      <c r="H1423" t="s">
        <v>126</v>
      </c>
      <c r="I1423" t="s">
        <v>65</v>
      </c>
      <c r="J1423" t="s">
        <v>126</v>
      </c>
      <c r="K1423" t="s">
        <v>126</v>
      </c>
      <c r="L1423" t="s">
        <v>126</v>
      </c>
      <c r="M1423" t="s">
        <v>2084</v>
      </c>
      <c r="N1423" t="b">
        <v>0</v>
      </c>
    </row>
    <row r="1424" spans="1:14">
      <c r="A1424">
        <v>96</v>
      </c>
      <c r="B1424">
        <v>1</v>
      </c>
      <c r="C1424" t="s">
        <v>226</v>
      </c>
      <c r="D1424" t="s">
        <v>724</v>
      </c>
      <c r="E1424" t="s">
        <v>77</v>
      </c>
      <c r="F1424">
        <v>50</v>
      </c>
      <c r="G1424" t="s">
        <v>126</v>
      </c>
      <c r="H1424" t="s">
        <v>126</v>
      </c>
      <c r="I1424" t="s">
        <v>77</v>
      </c>
      <c r="J1424" t="s">
        <v>126</v>
      </c>
      <c r="K1424" t="s">
        <v>126</v>
      </c>
      <c r="L1424" t="s">
        <v>126</v>
      </c>
      <c r="M1424" t="s">
        <v>2085</v>
      </c>
      <c r="N1424" t="b">
        <v>0</v>
      </c>
    </row>
    <row r="1425" spans="1:14">
      <c r="A1425">
        <v>96</v>
      </c>
      <c r="B1425">
        <v>2</v>
      </c>
      <c r="C1425" t="s">
        <v>280</v>
      </c>
      <c r="D1425" t="s">
        <v>724</v>
      </c>
      <c r="E1425" t="s">
        <v>93</v>
      </c>
      <c r="F1425">
        <v>30</v>
      </c>
      <c r="G1425" t="s">
        <v>126</v>
      </c>
      <c r="H1425" t="s">
        <v>126</v>
      </c>
      <c r="I1425" t="s">
        <v>93</v>
      </c>
      <c r="J1425" t="s">
        <v>126</v>
      </c>
      <c r="K1425" t="s">
        <v>126</v>
      </c>
      <c r="L1425" t="s">
        <v>126</v>
      </c>
      <c r="M1425" t="s">
        <v>2086</v>
      </c>
      <c r="N1425" t="b">
        <v>0</v>
      </c>
    </row>
    <row r="1426" spans="1:14">
      <c r="A1426">
        <v>96</v>
      </c>
      <c r="B1426">
        <v>3</v>
      </c>
      <c r="C1426" t="s">
        <v>218</v>
      </c>
      <c r="D1426" t="s">
        <v>724</v>
      </c>
      <c r="E1426" t="s">
        <v>95</v>
      </c>
      <c r="F1426">
        <v>40</v>
      </c>
      <c r="G1426" t="s">
        <v>126</v>
      </c>
      <c r="H1426" t="s">
        <v>126</v>
      </c>
      <c r="I1426" t="s">
        <v>95</v>
      </c>
      <c r="J1426" t="s">
        <v>126</v>
      </c>
      <c r="K1426" t="s">
        <v>126</v>
      </c>
      <c r="L1426" t="s">
        <v>126</v>
      </c>
      <c r="M1426" t="s">
        <v>2087</v>
      </c>
      <c r="N1426" t="b">
        <v>0</v>
      </c>
    </row>
    <row r="1427" spans="1:14">
      <c r="A1427">
        <v>96</v>
      </c>
      <c r="B1427">
        <v>4</v>
      </c>
      <c r="C1427" t="s">
        <v>188</v>
      </c>
      <c r="D1427" t="s">
        <v>724</v>
      </c>
      <c r="E1427" t="s">
        <v>99</v>
      </c>
      <c r="F1427">
        <v>50</v>
      </c>
      <c r="G1427" t="s">
        <v>126</v>
      </c>
      <c r="H1427" t="s">
        <v>126</v>
      </c>
      <c r="I1427" t="s">
        <v>99</v>
      </c>
      <c r="J1427" t="s">
        <v>126</v>
      </c>
      <c r="K1427" t="s">
        <v>126</v>
      </c>
      <c r="L1427" t="s">
        <v>126</v>
      </c>
      <c r="M1427" t="s">
        <v>2088</v>
      </c>
      <c r="N1427" t="b">
        <v>0</v>
      </c>
    </row>
    <row r="1428" spans="1:14">
      <c r="A1428">
        <v>96</v>
      </c>
      <c r="B1428">
        <v>5</v>
      </c>
      <c r="C1428" t="s">
        <v>219</v>
      </c>
      <c r="D1428" t="s">
        <v>724</v>
      </c>
      <c r="E1428" t="s">
        <v>101</v>
      </c>
      <c r="F1428">
        <v>60</v>
      </c>
      <c r="G1428" t="s">
        <v>126</v>
      </c>
      <c r="H1428" t="s">
        <v>126</v>
      </c>
      <c r="I1428" t="s">
        <v>101</v>
      </c>
      <c r="J1428" t="s">
        <v>126</v>
      </c>
      <c r="K1428" t="s">
        <v>126</v>
      </c>
      <c r="L1428" t="s">
        <v>126</v>
      </c>
      <c r="M1428" t="s">
        <v>2089</v>
      </c>
      <c r="N1428" t="b">
        <v>0</v>
      </c>
    </row>
    <row r="1429" spans="1:14">
      <c r="A1429">
        <v>96</v>
      </c>
      <c r="B1429">
        <v>6</v>
      </c>
      <c r="C1429" t="s">
        <v>198</v>
      </c>
      <c r="D1429" t="s">
        <v>724</v>
      </c>
      <c r="E1429" t="s">
        <v>113</v>
      </c>
      <c r="F1429">
        <v>50</v>
      </c>
      <c r="G1429" t="s">
        <v>126</v>
      </c>
      <c r="H1429" t="s">
        <v>126</v>
      </c>
      <c r="I1429" t="s">
        <v>113</v>
      </c>
      <c r="J1429" t="s">
        <v>126</v>
      </c>
      <c r="K1429" t="s">
        <v>126</v>
      </c>
      <c r="L1429" t="s">
        <v>126</v>
      </c>
      <c r="M1429" t="s">
        <v>2090</v>
      </c>
      <c r="N1429" t="b">
        <v>0</v>
      </c>
    </row>
    <row r="1430" spans="1:14">
      <c r="A1430">
        <v>96</v>
      </c>
      <c r="B1430">
        <v>7</v>
      </c>
      <c r="C1430" t="s">
        <v>191</v>
      </c>
      <c r="D1430" t="s">
        <v>724</v>
      </c>
      <c r="E1430" t="s">
        <v>115</v>
      </c>
      <c r="F1430">
        <v>60</v>
      </c>
      <c r="G1430" t="s">
        <v>126</v>
      </c>
      <c r="H1430" t="s">
        <v>126</v>
      </c>
      <c r="I1430" t="s">
        <v>115</v>
      </c>
      <c r="J1430" t="s">
        <v>126</v>
      </c>
      <c r="K1430" t="s">
        <v>126</v>
      </c>
      <c r="L1430" t="s">
        <v>126</v>
      </c>
      <c r="M1430" t="s">
        <v>2091</v>
      </c>
      <c r="N1430" t="b">
        <v>0</v>
      </c>
    </row>
    <row r="1431" spans="1:14">
      <c r="A1431">
        <v>96</v>
      </c>
      <c r="B1431">
        <v>8</v>
      </c>
      <c r="C1431" t="s">
        <v>230</v>
      </c>
      <c r="D1431" t="s">
        <v>724</v>
      </c>
      <c r="E1431" t="s">
        <v>61</v>
      </c>
      <c r="F1431">
        <v>20</v>
      </c>
      <c r="G1431" t="s">
        <v>126</v>
      </c>
      <c r="H1431" t="s">
        <v>126</v>
      </c>
      <c r="I1431" t="s">
        <v>61</v>
      </c>
      <c r="J1431" t="s">
        <v>126</v>
      </c>
      <c r="K1431" t="s">
        <v>126</v>
      </c>
      <c r="L1431" t="s">
        <v>126</v>
      </c>
      <c r="M1431" t="s">
        <v>2092</v>
      </c>
      <c r="N1431" t="b">
        <v>0</v>
      </c>
    </row>
    <row r="1432" spans="1:14">
      <c r="A1432">
        <v>96</v>
      </c>
      <c r="B1432">
        <v>9</v>
      </c>
      <c r="C1432" t="s">
        <v>220</v>
      </c>
      <c r="D1432" t="s">
        <v>724</v>
      </c>
      <c r="E1432" t="s">
        <v>68</v>
      </c>
      <c r="F1432">
        <v>50</v>
      </c>
      <c r="G1432" t="s">
        <v>126</v>
      </c>
      <c r="H1432" t="s">
        <v>126</v>
      </c>
      <c r="I1432" t="s">
        <v>68</v>
      </c>
      <c r="J1432" t="s">
        <v>126</v>
      </c>
      <c r="K1432" t="s">
        <v>126</v>
      </c>
      <c r="L1432" t="s">
        <v>126</v>
      </c>
      <c r="M1432" t="s">
        <v>2093</v>
      </c>
      <c r="N1432" t="b">
        <v>0</v>
      </c>
    </row>
    <row r="1433" spans="1:14">
      <c r="A1433">
        <v>96</v>
      </c>
      <c r="B1433">
        <v>10</v>
      </c>
      <c r="C1433" t="s">
        <v>167</v>
      </c>
      <c r="D1433" t="s">
        <v>724</v>
      </c>
      <c r="E1433" t="s">
        <v>74</v>
      </c>
      <c r="F1433">
        <v>50</v>
      </c>
      <c r="G1433" t="s">
        <v>126</v>
      </c>
      <c r="H1433" t="s">
        <v>126</v>
      </c>
      <c r="I1433" t="s">
        <v>74</v>
      </c>
      <c r="J1433" t="s">
        <v>126</v>
      </c>
      <c r="K1433" t="s">
        <v>126</v>
      </c>
      <c r="L1433" t="s">
        <v>126</v>
      </c>
      <c r="M1433" t="s">
        <v>2094</v>
      </c>
      <c r="N1433" t="b">
        <v>0</v>
      </c>
    </row>
    <row r="1434" spans="1:14">
      <c r="A1434">
        <v>96</v>
      </c>
      <c r="B1434">
        <v>11</v>
      </c>
      <c r="C1434" t="s">
        <v>222</v>
      </c>
      <c r="D1434" t="s">
        <v>724</v>
      </c>
      <c r="E1434" t="s">
        <v>102</v>
      </c>
      <c r="F1434">
        <v>50</v>
      </c>
      <c r="G1434" t="s">
        <v>126</v>
      </c>
      <c r="H1434" t="s">
        <v>126</v>
      </c>
      <c r="I1434" t="s">
        <v>102</v>
      </c>
      <c r="J1434" t="s">
        <v>126</v>
      </c>
      <c r="K1434" t="s">
        <v>126</v>
      </c>
      <c r="L1434" t="s">
        <v>126</v>
      </c>
      <c r="M1434" t="s">
        <v>2095</v>
      </c>
      <c r="N1434" t="b">
        <v>0</v>
      </c>
    </row>
    <row r="1435" spans="1:14">
      <c r="A1435">
        <v>96</v>
      </c>
      <c r="B1435">
        <v>12</v>
      </c>
      <c r="C1435" t="s">
        <v>170</v>
      </c>
      <c r="D1435" t="s">
        <v>724</v>
      </c>
      <c r="E1435" t="s">
        <v>106</v>
      </c>
      <c r="F1435">
        <v>50</v>
      </c>
      <c r="G1435" t="s">
        <v>126</v>
      </c>
      <c r="H1435" t="s">
        <v>126</v>
      </c>
      <c r="I1435" t="s">
        <v>106</v>
      </c>
      <c r="J1435" t="s">
        <v>126</v>
      </c>
      <c r="K1435" t="s">
        <v>126</v>
      </c>
      <c r="L1435" t="s">
        <v>126</v>
      </c>
      <c r="M1435" t="s">
        <v>2096</v>
      </c>
      <c r="N1435" t="b">
        <v>0</v>
      </c>
    </row>
    <row r="1436" spans="1:14">
      <c r="A1436">
        <v>96</v>
      </c>
      <c r="B1436">
        <v>13</v>
      </c>
      <c r="C1436" t="s">
        <v>223</v>
      </c>
      <c r="D1436" t="s">
        <v>724</v>
      </c>
      <c r="E1436" t="s">
        <v>107</v>
      </c>
      <c r="F1436">
        <v>50</v>
      </c>
      <c r="G1436" t="s">
        <v>126</v>
      </c>
      <c r="H1436" t="s">
        <v>126</v>
      </c>
      <c r="I1436" t="s">
        <v>107</v>
      </c>
      <c r="J1436" t="s">
        <v>126</v>
      </c>
      <c r="K1436" t="s">
        <v>126</v>
      </c>
      <c r="L1436" t="s">
        <v>126</v>
      </c>
      <c r="M1436" t="s">
        <v>2097</v>
      </c>
      <c r="N1436" t="b">
        <v>0</v>
      </c>
    </row>
    <row r="1437" spans="1:14">
      <c r="A1437">
        <v>96</v>
      </c>
      <c r="B1437">
        <v>14</v>
      </c>
      <c r="C1437" t="s">
        <v>195</v>
      </c>
      <c r="D1437" t="s">
        <v>724</v>
      </c>
      <c r="E1437" t="s">
        <v>108</v>
      </c>
      <c r="F1437">
        <v>60</v>
      </c>
      <c r="G1437" t="s">
        <v>126</v>
      </c>
      <c r="H1437" t="s">
        <v>126</v>
      </c>
      <c r="I1437" t="s">
        <v>108</v>
      </c>
      <c r="J1437" t="s">
        <v>126</v>
      </c>
      <c r="K1437" t="s">
        <v>126</v>
      </c>
      <c r="L1437" t="s">
        <v>126</v>
      </c>
      <c r="M1437" t="s">
        <v>2098</v>
      </c>
      <c r="N1437" t="b">
        <v>0</v>
      </c>
    </row>
    <row r="1438" spans="1:14">
      <c r="A1438">
        <v>96</v>
      </c>
      <c r="B1438">
        <v>15</v>
      </c>
      <c r="C1438" t="s">
        <v>126</v>
      </c>
      <c r="D1438" t="s">
        <v>724</v>
      </c>
      <c r="E1438" t="s">
        <v>126</v>
      </c>
      <c r="F1438">
        <v>0</v>
      </c>
      <c r="G1438" t="s">
        <v>126</v>
      </c>
      <c r="H1438" t="s">
        <v>126</v>
      </c>
      <c r="I1438" t="s">
        <v>126</v>
      </c>
      <c r="J1438" t="s">
        <v>126</v>
      </c>
      <c r="K1438" t="s">
        <v>126</v>
      </c>
      <c r="L1438" t="s">
        <v>126</v>
      </c>
      <c r="M1438" t="s">
        <v>2099</v>
      </c>
      <c r="N1438" t="b">
        <v>0</v>
      </c>
    </row>
    <row r="1439" spans="1:14">
      <c r="A1439">
        <v>96</v>
      </c>
      <c r="B1439">
        <v>16</v>
      </c>
      <c r="C1439" t="s">
        <v>126</v>
      </c>
      <c r="D1439" t="s">
        <v>741</v>
      </c>
      <c r="E1439" t="s">
        <v>126</v>
      </c>
      <c r="F1439">
        <v>0</v>
      </c>
      <c r="G1439" t="s">
        <v>126</v>
      </c>
      <c r="H1439" t="s">
        <v>126</v>
      </c>
      <c r="I1439" t="s">
        <v>126</v>
      </c>
      <c r="J1439" t="s">
        <v>126</v>
      </c>
      <c r="K1439" t="s">
        <v>126</v>
      </c>
      <c r="L1439" t="s">
        <v>126</v>
      </c>
      <c r="M1439" t="s">
        <v>2100</v>
      </c>
      <c r="N1439" t="b">
        <v>0</v>
      </c>
    </row>
    <row r="1440" spans="1:14">
      <c r="A1440">
        <v>96</v>
      </c>
      <c r="B1440">
        <v>17</v>
      </c>
      <c r="C1440" t="s">
        <v>126</v>
      </c>
      <c r="D1440" t="s">
        <v>741</v>
      </c>
      <c r="E1440" t="s">
        <v>126</v>
      </c>
      <c r="F1440">
        <v>0</v>
      </c>
      <c r="G1440" t="s">
        <v>126</v>
      </c>
      <c r="H1440" t="s">
        <v>126</v>
      </c>
      <c r="I1440" t="s">
        <v>126</v>
      </c>
      <c r="J1440" t="s">
        <v>126</v>
      </c>
      <c r="K1440" t="s">
        <v>126</v>
      </c>
      <c r="L1440" t="s">
        <v>126</v>
      </c>
      <c r="M1440" t="s">
        <v>2101</v>
      </c>
      <c r="N1440" t="b">
        <v>0</v>
      </c>
    </row>
    <row r="1441" spans="1:14">
      <c r="A1441">
        <v>96</v>
      </c>
      <c r="B1441">
        <v>18</v>
      </c>
      <c r="C1441" t="s">
        <v>126</v>
      </c>
      <c r="D1441" t="s">
        <v>741</v>
      </c>
      <c r="E1441" t="s">
        <v>126</v>
      </c>
      <c r="F1441">
        <v>0</v>
      </c>
      <c r="G1441" t="s">
        <v>126</v>
      </c>
      <c r="H1441" t="s">
        <v>126</v>
      </c>
      <c r="I1441" t="s">
        <v>126</v>
      </c>
      <c r="J1441" t="s">
        <v>126</v>
      </c>
      <c r="K1441" t="s">
        <v>126</v>
      </c>
      <c r="L1441" t="s">
        <v>126</v>
      </c>
      <c r="M1441" t="s">
        <v>2102</v>
      </c>
      <c r="N1441" t="b">
        <v>0</v>
      </c>
    </row>
    <row r="1442" spans="1:14">
      <c r="A1442">
        <v>96</v>
      </c>
      <c r="B1442">
        <v>19</v>
      </c>
      <c r="C1442" t="s">
        <v>126</v>
      </c>
      <c r="D1442" t="s">
        <v>741</v>
      </c>
      <c r="E1442" t="s">
        <v>126</v>
      </c>
      <c r="F1442">
        <v>0</v>
      </c>
      <c r="G1442" t="s">
        <v>126</v>
      </c>
      <c r="H1442" t="s">
        <v>126</v>
      </c>
      <c r="I1442" t="s">
        <v>126</v>
      </c>
      <c r="J1442" t="s">
        <v>126</v>
      </c>
      <c r="K1442" t="s">
        <v>126</v>
      </c>
      <c r="L1442" t="s">
        <v>126</v>
      </c>
      <c r="M1442" t="s">
        <v>2103</v>
      </c>
      <c r="N1442" t="b">
        <v>0</v>
      </c>
    </row>
    <row r="1443" spans="1:14">
      <c r="A1443">
        <v>96</v>
      </c>
      <c r="B1443">
        <v>20</v>
      </c>
      <c r="C1443" t="s">
        <v>126</v>
      </c>
      <c r="D1443" t="s">
        <v>741</v>
      </c>
      <c r="E1443" t="s">
        <v>126</v>
      </c>
      <c r="F1443">
        <v>0</v>
      </c>
      <c r="G1443" t="s">
        <v>126</v>
      </c>
      <c r="H1443" t="s">
        <v>126</v>
      </c>
      <c r="I1443" t="s">
        <v>126</v>
      </c>
      <c r="J1443" t="s">
        <v>126</v>
      </c>
      <c r="K1443" t="s">
        <v>126</v>
      </c>
      <c r="L1443" t="s">
        <v>126</v>
      </c>
      <c r="M1443" t="s">
        <v>2104</v>
      </c>
      <c r="N1443" t="b">
        <v>0</v>
      </c>
    </row>
    <row r="1444" spans="1:14">
      <c r="A1444">
        <v>96</v>
      </c>
      <c r="B1444">
        <v>21</v>
      </c>
      <c r="C1444" t="s">
        <v>126</v>
      </c>
      <c r="D1444" t="s">
        <v>741</v>
      </c>
      <c r="E1444" t="s">
        <v>126</v>
      </c>
      <c r="F1444">
        <v>0</v>
      </c>
      <c r="G1444" t="s">
        <v>126</v>
      </c>
      <c r="H1444" t="s">
        <v>126</v>
      </c>
      <c r="I1444" t="s">
        <v>126</v>
      </c>
      <c r="J1444" t="s">
        <v>126</v>
      </c>
      <c r="K1444" t="s">
        <v>126</v>
      </c>
      <c r="L1444" t="s">
        <v>126</v>
      </c>
      <c r="M1444" t="s">
        <v>2105</v>
      </c>
      <c r="N1444" t="b">
        <v>0</v>
      </c>
    </row>
    <row r="1445" spans="1:14">
      <c r="A1445">
        <v>96</v>
      </c>
      <c r="B1445">
        <v>22</v>
      </c>
      <c r="C1445" t="s">
        <v>126</v>
      </c>
      <c r="D1445" t="s">
        <v>741</v>
      </c>
      <c r="E1445" t="s">
        <v>126</v>
      </c>
      <c r="F1445">
        <v>0</v>
      </c>
      <c r="G1445" t="s">
        <v>126</v>
      </c>
      <c r="H1445" t="s">
        <v>126</v>
      </c>
      <c r="I1445" t="s">
        <v>126</v>
      </c>
      <c r="J1445" t="s">
        <v>126</v>
      </c>
      <c r="K1445" t="s">
        <v>126</v>
      </c>
      <c r="L1445" t="s">
        <v>126</v>
      </c>
      <c r="M1445" t="s">
        <v>2106</v>
      </c>
      <c r="N1445" t="b">
        <v>0</v>
      </c>
    </row>
    <row r="1446" spans="1:14">
      <c r="A1446">
        <v>96</v>
      </c>
      <c r="B1446">
        <v>23</v>
      </c>
      <c r="C1446" t="s">
        <v>126</v>
      </c>
      <c r="D1446" t="s">
        <v>741</v>
      </c>
      <c r="E1446" t="s">
        <v>126</v>
      </c>
      <c r="F1446">
        <v>0</v>
      </c>
      <c r="G1446" t="s">
        <v>126</v>
      </c>
      <c r="H1446" t="s">
        <v>126</v>
      </c>
      <c r="I1446" t="s">
        <v>126</v>
      </c>
      <c r="J1446" t="s">
        <v>126</v>
      </c>
      <c r="K1446" t="s">
        <v>126</v>
      </c>
      <c r="L1446" t="s">
        <v>126</v>
      </c>
      <c r="M1446" t="s">
        <v>2107</v>
      </c>
      <c r="N1446" t="b">
        <v>0</v>
      </c>
    </row>
    <row r="1447" spans="1:14">
      <c r="A1447">
        <v>96</v>
      </c>
      <c r="B1447">
        <v>24</v>
      </c>
      <c r="C1447" t="s">
        <v>126</v>
      </c>
      <c r="D1447" t="s">
        <v>741</v>
      </c>
      <c r="E1447" t="s">
        <v>126</v>
      </c>
      <c r="F1447">
        <v>0</v>
      </c>
      <c r="G1447" t="s">
        <v>126</v>
      </c>
      <c r="H1447" t="s">
        <v>126</v>
      </c>
      <c r="I1447" t="s">
        <v>126</v>
      </c>
      <c r="J1447" t="s">
        <v>126</v>
      </c>
      <c r="K1447" t="s">
        <v>126</v>
      </c>
      <c r="L1447" t="s">
        <v>126</v>
      </c>
      <c r="M1447" t="s">
        <v>2108</v>
      </c>
      <c r="N1447" t="b">
        <v>0</v>
      </c>
    </row>
    <row r="1448" spans="1:14">
      <c r="A1448">
        <v>96</v>
      </c>
      <c r="B1448">
        <v>25</v>
      </c>
      <c r="C1448" t="s">
        <v>126</v>
      </c>
      <c r="D1448" t="s">
        <v>741</v>
      </c>
      <c r="E1448" t="s">
        <v>126</v>
      </c>
      <c r="F1448">
        <v>0</v>
      </c>
      <c r="G1448" t="s">
        <v>126</v>
      </c>
      <c r="H1448" t="s">
        <v>126</v>
      </c>
      <c r="I1448" t="s">
        <v>126</v>
      </c>
      <c r="J1448" t="s">
        <v>126</v>
      </c>
      <c r="K1448" t="s">
        <v>126</v>
      </c>
      <c r="L1448" t="s">
        <v>126</v>
      </c>
      <c r="M1448" t="s">
        <v>2109</v>
      </c>
      <c r="N1448" t="b">
        <v>0</v>
      </c>
    </row>
    <row r="1449" spans="1:14">
      <c r="A1449">
        <v>96</v>
      </c>
      <c r="B1449">
        <v>26</v>
      </c>
      <c r="C1449" t="s">
        <v>126</v>
      </c>
      <c r="D1449" t="s">
        <v>741</v>
      </c>
      <c r="E1449" t="s">
        <v>126</v>
      </c>
      <c r="F1449">
        <v>0</v>
      </c>
      <c r="G1449" t="s">
        <v>126</v>
      </c>
      <c r="H1449" t="s">
        <v>126</v>
      </c>
      <c r="I1449" t="s">
        <v>126</v>
      </c>
      <c r="J1449" t="s">
        <v>126</v>
      </c>
      <c r="K1449" t="s">
        <v>126</v>
      </c>
      <c r="L1449" t="s">
        <v>126</v>
      </c>
      <c r="M1449" t="s">
        <v>2110</v>
      </c>
      <c r="N1449" t="b">
        <v>0</v>
      </c>
    </row>
    <row r="1450" spans="1:14">
      <c r="A1450">
        <v>97</v>
      </c>
      <c r="B1450">
        <v>0</v>
      </c>
      <c r="C1450" t="s">
        <v>216</v>
      </c>
      <c r="D1450" t="s">
        <v>724</v>
      </c>
      <c r="E1450" t="s">
        <v>65</v>
      </c>
      <c r="F1450">
        <v>60</v>
      </c>
      <c r="G1450" t="s">
        <v>126</v>
      </c>
      <c r="H1450" t="s">
        <v>126</v>
      </c>
      <c r="I1450" t="s">
        <v>65</v>
      </c>
      <c r="J1450" t="s">
        <v>126</v>
      </c>
      <c r="K1450" t="s">
        <v>126</v>
      </c>
      <c r="L1450" t="s">
        <v>126</v>
      </c>
      <c r="M1450" t="s">
        <v>2111</v>
      </c>
      <c r="N1450" t="b">
        <v>0</v>
      </c>
    </row>
    <row r="1451" spans="1:14">
      <c r="A1451">
        <v>97</v>
      </c>
      <c r="B1451">
        <v>1</v>
      </c>
      <c r="C1451" t="s">
        <v>217</v>
      </c>
      <c r="D1451" t="s">
        <v>724</v>
      </c>
      <c r="E1451" t="s">
        <v>77</v>
      </c>
      <c r="F1451">
        <v>60</v>
      </c>
      <c r="G1451" t="s">
        <v>126</v>
      </c>
      <c r="H1451" t="s">
        <v>126</v>
      </c>
      <c r="I1451" t="s">
        <v>77</v>
      </c>
      <c r="J1451" t="s">
        <v>126</v>
      </c>
      <c r="K1451" t="s">
        <v>126</v>
      </c>
      <c r="L1451" t="s">
        <v>126</v>
      </c>
      <c r="M1451" t="s">
        <v>2112</v>
      </c>
      <c r="N1451" t="b">
        <v>0</v>
      </c>
    </row>
    <row r="1452" spans="1:14">
      <c r="A1452">
        <v>97</v>
      </c>
      <c r="B1452">
        <v>2</v>
      </c>
      <c r="C1452" t="s">
        <v>218</v>
      </c>
      <c r="D1452" t="s">
        <v>724</v>
      </c>
      <c r="E1452" t="s">
        <v>95</v>
      </c>
      <c r="F1452">
        <v>40</v>
      </c>
      <c r="G1452" t="s">
        <v>126</v>
      </c>
      <c r="H1452" t="s">
        <v>126</v>
      </c>
      <c r="I1452" t="s">
        <v>95</v>
      </c>
      <c r="J1452" t="s">
        <v>126</v>
      </c>
      <c r="K1452" t="s">
        <v>126</v>
      </c>
      <c r="L1452" t="s">
        <v>126</v>
      </c>
      <c r="M1452" t="s">
        <v>2113</v>
      </c>
      <c r="N1452" t="b">
        <v>0</v>
      </c>
    </row>
    <row r="1453" spans="1:14">
      <c r="A1453">
        <v>97</v>
      </c>
      <c r="B1453">
        <v>3</v>
      </c>
      <c r="C1453" t="s">
        <v>188</v>
      </c>
      <c r="D1453" t="s">
        <v>724</v>
      </c>
      <c r="E1453" t="s">
        <v>99</v>
      </c>
      <c r="F1453">
        <v>50</v>
      </c>
      <c r="G1453" t="s">
        <v>126</v>
      </c>
      <c r="H1453" t="s">
        <v>126</v>
      </c>
      <c r="I1453" t="s">
        <v>99</v>
      </c>
      <c r="J1453" t="s">
        <v>126</v>
      </c>
      <c r="K1453" t="s">
        <v>126</v>
      </c>
      <c r="L1453" t="s">
        <v>126</v>
      </c>
      <c r="M1453" t="s">
        <v>2114</v>
      </c>
      <c r="N1453" t="b">
        <v>0</v>
      </c>
    </row>
    <row r="1454" spans="1:14">
      <c r="A1454">
        <v>97</v>
      </c>
      <c r="B1454">
        <v>4</v>
      </c>
      <c r="C1454" t="s">
        <v>219</v>
      </c>
      <c r="D1454" t="s">
        <v>724</v>
      </c>
      <c r="E1454" t="s">
        <v>101</v>
      </c>
      <c r="F1454">
        <v>60</v>
      </c>
      <c r="G1454" t="s">
        <v>126</v>
      </c>
      <c r="H1454" t="s">
        <v>126</v>
      </c>
      <c r="I1454" t="s">
        <v>101</v>
      </c>
      <c r="J1454" t="s">
        <v>126</v>
      </c>
      <c r="K1454" t="s">
        <v>126</v>
      </c>
      <c r="L1454" t="s">
        <v>126</v>
      </c>
      <c r="M1454" t="s">
        <v>2115</v>
      </c>
      <c r="N1454" t="b">
        <v>0</v>
      </c>
    </row>
    <row r="1455" spans="1:14">
      <c r="A1455">
        <v>97</v>
      </c>
      <c r="B1455">
        <v>5</v>
      </c>
      <c r="C1455" t="s">
        <v>287</v>
      </c>
      <c r="D1455" t="s">
        <v>724</v>
      </c>
      <c r="E1455" t="s">
        <v>103</v>
      </c>
      <c r="F1455">
        <v>40</v>
      </c>
      <c r="G1455" t="s">
        <v>126</v>
      </c>
      <c r="H1455" t="s">
        <v>126</v>
      </c>
      <c r="I1455" t="s">
        <v>103</v>
      </c>
      <c r="J1455" t="s">
        <v>126</v>
      </c>
      <c r="K1455" t="s">
        <v>126</v>
      </c>
      <c r="L1455" t="s">
        <v>126</v>
      </c>
      <c r="M1455" t="s">
        <v>2116</v>
      </c>
      <c r="N1455" t="b">
        <v>0</v>
      </c>
    </row>
    <row r="1456" spans="1:14">
      <c r="A1456">
        <v>97</v>
      </c>
      <c r="B1456">
        <v>6</v>
      </c>
      <c r="C1456" t="s">
        <v>198</v>
      </c>
      <c r="D1456" t="s">
        <v>724</v>
      </c>
      <c r="E1456" t="s">
        <v>113</v>
      </c>
      <c r="F1456">
        <v>50</v>
      </c>
      <c r="G1456" t="s">
        <v>126</v>
      </c>
      <c r="H1456" t="s">
        <v>126</v>
      </c>
      <c r="I1456" t="s">
        <v>113</v>
      </c>
      <c r="J1456" t="s">
        <v>126</v>
      </c>
      <c r="K1456" t="s">
        <v>126</v>
      </c>
      <c r="L1456" t="s">
        <v>126</v>
      </c>
      <c r="M1456" t="s">
        <v>2117</v>
      </c>
      <c r="N1456" t="b">
        <v>0</v>
      </c>
    </row>
    <row r="1457" spans="1:14">
      <c r="A1457">
        <v>97</v>
      </c>
      <c r="B1457">
        <v>7</v>
      </c>
      <c r="C1457" t="s">
        <v>220</v>
      </c>
      <c r="D1457" t="s">
        <v>724</v>
      </c>
      <c r="E1457" t="s">
        <v>68</v>
      </c>
      <c r="F1457">
        <v>50</v>
      </c>
      <c r="G1457" t="s">
        <v>126</v>
      </c>
      <c r="H1457" t="s">
        <v>126</v>
      </c>
      <c r="I1457" t="s">
        <v>68</v>
      </c>
      <c r="J1457" t="s">
        <v>126</v>
      </c>
      <c r="K1457" t="s">
        <v>126</v>
      </c>
      <c r="L1457" t="s">
        <v>126</v>
      </c>
      <c r="M1457" t="s">
        <v>2118</v>
      </c>
      <c r="N1457" t="b">
        <v>0</v>
      </c>
    </row>
    <row r="1458" spans="1:14">
      <c r="A1458">
        <v>97</v>
      </c>
      <c r="B1458">
        <v>8</v>
      </c>
      <c r="C1458" t="s">
        <v>221</v>
      </c>
      <c r="D1458" t="s">
        <v>724</v>
      </c>
      <c r="E1458" t="s">
        <v>331</v>
      </c>
      <c r="F1458">
        <v>60</v>
      </c>
      <c r="G1458" t="s">
        <v>126</v>
      </c>
      <c r="H1458" t="s">
        <v>548</v>
      </c>
      <c r="I1458" t="s">
        <v>445</v>
      </c>
      <c r="J1458" t="s">
        <v>126</v>
      </c>
      <c r="K1458" t="s">
        <v>921</v>
      </c>
      <c r="L1458" t="s">
        <v>922</v>
      </c>
      <c r="M1458" t="s">
        <v>2119</v>
      </c>
      <c r="N1458" t="b">
        <v>0</v>
      </c>
    </row>
    <row r="1459" spans="1:14">
      <c r="A1459">
        <v>97</v>
      </c>
      <c r="B1459">
        <v>9</v>
      </c>
      <c r="C1459" t="s">
        <v>167</v>
      </c>
      <c r="D1459" t="s">
        <v>724</v>
      </c>
      <c r="E1459" t="s">
        <v>74</v>
      </c>
      <c r="F1459">
        <v>50</v>
      </c>
      <c r="G1459" t="s">
        <v>126</v>
      </c>
      <c r="H1459" t="s">
        <v>126</v>
      </c>
      <c r="I1459" t="s">
        <v>74</v>
      </c>
      <c r="J1459" t="s">
        <v>126</v>
      </c>
      <c r="K1459" t="s">
        <v>126</v>
      </c>
      <c r="L1459" t="s">
        <v>126</v>
      </c>
      <c r="M1459" t="s">
        <v>2120</v>
      </c>
      <c r="N1459" t="b">
        <v>0</v>
      </c>
    </row>
    <row r="1460" spans="1:14">
      <c r="A1460">
        <v>97</v>
      </c>
      <c r="B1460">
        <v>10</v>
      </c>
      <c r="C1460" t="s">
        <v>222</v>
      </c>
      <c r="D1460" t="s">
        <v>724</v>
      </c>
      <c r="E1460" t="s">
        <v>102</v>
      </c>
      <c r="F1460">
        <v>50</v>
      </c>
      <c r="G1460" t="s">
        <v>126</v>
      </c>
      <c r="H1460" t="s">
        <v>126</v>
      </c>
      <c r="I1460" t="s">
        <v>102</v>
      </c>
      <c r="J1460" t="s">
        <v>126</v>
      </c>
      <c r="K1460" t="s">
        <v>126</v>
      </c>
      <c r="L1460" t="s">
        <v>126</v>
      </c>
      <c r="M1460" t="s">
        <v>2121</v>
      </c>
      <c r="N1460" t="b">
        <v>0</v>
      </c>
    </row>
    <row r="1461" spans="1:14">
      <c r="A1461">
        <v>97</v>
      </c>
      <c r="B1461">
        <v>11</v>
      </c>
      <c r="C1461" t="s">
        <v>170</v>
      </c>
      <c r="D1461" t="s">
        <v>724</v>
      </c>
      <c r="E1461" t="s">
        <v>106</v>
      </c>
      <c r="F1461">
        <v>50</v>
      </c>
      <c r="G1461" t="s">
        <v>126</v>
      </c>
      <c r="H1461" t="s">
        <v>126</v>
      </c>
      <c r="I1461" t="s">
        <v>106</v>
      </c>
      <c r="J1461" t="s">
        <v>126</v>
      </c>
      <c r="K1461" t="s">
        <v>126</v>
      </c>
      <c r="L1461" t="s">
        <v>126</v>
      </c>
      <c r="M1461" t="s">
        <v>2122</v>
      </c>
      <c r="N1461" t="b">
        <v>0</v>
      </c>
    </row>
    <row r="1462" spans="1:14">
      <c r="A1462">
        <v>97</v>
      </c>
      <c r="B1462">
        <v>12</v>
      </c>
      <c r="C1462" t="s">
        <v>223</v>
      </c>
      <c r="D1462" t="s">
        <v>724</v>
      </c>
      <c r="E1462" t="s">
        <v>107</v>
      </c>
      <c r="F1462">
        <v>50</v>
      </c>
      <c r="G1462" t="s">
        <v>126</v>
      </c>
      <c r="H1462" t="s">
        <v>126</v>
      </c>
      <c r="I1462" t="s">
        <v>107</v>
      </c>
      <c r="J1462" t="s">
        <v>126</v>
      </c>
      <c r="K1462" t="s">
        <v>126</v>
      </c>
      <c r="L1462" t="s">
        <v>126</v>
      </c>
      <c r="M1462" t="s">
        <v>2123</v>
      </c>
      <c r="N1462" t="b">
        <v>0</v>
      </c>
    </row>
    <row r="1463" spans="1:14">
      <c r="A1463">
        <v>97</v>
      </c>
      <c r="B1463">
        <v>13</v>
      </c>
      <c r="C1463" t="s">
        <v>195</v>
      </c>
      <c r="D1463" t="s">
        <v>724</v>
      </c>
      <c r="E1463" t="s">
        <v>108</v>
      </c>
      <c r="F1463">
        <v>60</v>
      </c>
      <c r="G1463" t="s">
        <v>126</v>
      </c>
      <c r="H1463" t="s">
        <v>126</v>
      </c>
      <c r="I1463" t="s">
        <v>108</v>
      </c>
      <c r="J1463" t="s">
        <v>126</v>
      </c>
      <c r="K1463" t="s">
        <v>126</v>
      </c>
      <c r="L1463" t="s">
        <v>126</v>
      </c>
      <c r="M1463" t="s">
        <v>2124</v>
      </c>
      <c r="N1463" t="b">
        <v>0</v>
      </c>
    </row>
    <row r="1464" spans="1:14">
      <c r="A1464">
        <v>97</v>
      </c>
      <c r="B1464">
        <v>14</v>
      </c>
      <c r="C1464" t="s">
        <v>126</v>
      </c>
      <c r="D1464" t="s">
        <v>724</v>
      </c>
      <c r="E1464" t="s">
        <v>126</v>
      </c>
      <c r="F1464">
        <v>0</v>
      </c>
      <c r="G1464" t="s">
        <v>126</v>
      </c>
      <c r="H1464" t="s">
        <v>126</v>
      </c>
      <c r="I1464" t="s">
        <v>126</v>
      </c>
      <c r="J1464" t="s">
        <v>126</v>
      </c>
      <c r="K1464" t="s">
        <v>126</v>
      </c>
      <c r="L1464" t="s">
        <v>126</v>
      </c>
      <c r="M1464" t="s">
        <v>2125</v>
      </c>
      <c r="N1464" t="b">
        <v>0</v>
      </c>
    </row>
    <row r="1465" spans="1:14">
      <c r="A1465">
        <v>97</v>
      </c>
      <c r="B1465">
        <v>15</v>
      </c>
      <c r="C1465" t="s">
        <v>126</v>
      </c>
      <c r="D1465" t="s">
        <v>724</v>
      </c>
      <c r="E1465" t="s">
        <v>126</v>
      </c>
      <c r="F1465">
        <v>0</v>
      </c>
      <c r="G1465" t="s">
        <v>126</v>
      </c>
      <c r="H1465" t="s">
        <v>126</v>
      </c>
      <c r="I1465" t="s">
        <v>126</v>
      </c>
      <c r="J1465" t="s">
        <v>126</v>
      </c>
      <c r="K1465" t="s">
        <v>126</v>
      </c>
      <c r="L1465" t="s">
        <v>126</v>
      </c>
      <c r="M1465" t="s">
        <v>2126</v>
      </c>
      <c r="N1465" t="b">
        <v>0</v>
      </c>
    </row>
    <row r="1466" spans="1:14">
      <c r="A1466">
        <v>97</v>
      </c>
      <c r="B1466">
        <v>16</v>
      </c>
      <c r="C1466" t="s">
        <v>126</v>
      </c>
      <c r="D1466" t="s">
        <v>741</v>
      </c>
      <c r="E1466" t="s">
        <v>126</v>
      </c>
      <c r="F1466">
        <v>0</v>
      </c>
      <c r="G1466" t="s">
        <v>126</v>
      </c>
      <c r="H1466" t="s">
        <v>126</v>
      </c>
      <c r="I1466" t="s">
        <v>126</v>
      </c>
      <c r="J1466" t="s">
        <v>126</v>
      </c>
      <c r="K1466" t="s">
        <v>126</v>
      </c>
      <c r="L1466" t="s">
        <v>126</v>
      </c>
      <c r="M1466" t="s">
        <v>2127</v>
      </c>
      <c r="N1466" t="b">
        <v>0</v>
      </c>
    </row>
    <row r="1467" spans="1:14">
      <c r="A1467">
        <v>97</v>
      </c>
      <c r="B1467">
        <v>17</v>
      </c>
      <c r="C1467" t="s">
        <v>126</v>
      </c>
      <c r="D1467" t="s">
        <v>741</v>
      </c>
      <c r="E1467" t="s">
        <v>126</v>
      </c>
      <c r="F1467">
        <v>0</v>
      </c>
      <c r="G1467" t="s">
        <v>126</v>
      </c>
      <c r="H1467" t="s">
        <v>126</v>
      </c>
      <c r="I1467" t="s">
        <v>126</v>
      </c>
      <c r="J1467" t="s">
        <v>126</v>
      </c>
      <c r="K1467" t="s">
        <v>126</v>
      </c>
      <c r="L1467" t="s">
        <v>126</v>
      </c>
      <c r="M1467" t="s">
        <v>2128</v>
      </c>
      <c r="N1467" t="b">
        <v>0</v>
      </c>
    </row>
    <row r="1468" spans="1:14">
      <c r="A1468">
        <v>97</v>
      </c>
      <c r="B1468">
        <v>18</v>
      </c>
      <c r="C1468" t="s">
        <v>126</v>
      </c>
      <c r="D1468" t="s">
        <v>741</v>
      </c>
      <c r="E1468" t="s">
        <v>126</v>
      </c>
      <c r="F1468">
        <v>0</v>
      </c>
      <c r="G1468" t="s">
        <v>126</v>
      </c>
      <c r="H1468" t="s">
        <v>126</v>
      </c>
      <c r="I1468" t="s">
        <v>126</v>
      </c>
      <c r="J1468" t="s">
        <v>126</v>
      </c>
      <c r="K1468" t="s">
        <v>126</v>
      </c>
      <c r="L1468" t="s">
        <v>126</v>
      </c>
      <c r="M1468" t="s">
        <v>2129</v>
      </c>
      <c r="N1468" t="b">
        <v>0</v>
      </c>
    </row>
    <row r="1469" spans="1:14">
      <c r="A1469">
        <v>97</v>
      </c>
      <c r="B1469">
        <v>19</v>
      </c>
      <c r="C1469" t="s">
        <v>126</v>
      </c>
      <c r="D1469" t="s">
        <v>741</v>
      </c>
      <c r="E1469" t="s">
        <v>126</v>
      </c>
      <c r="F1469">
        <v>0</v>
      </c>
      <c r="G1469" t="s">
        <v>126</v>
      </c>
      <c r="H1469" t="s">
        <v>126</v>
      </c>
      <c r="I1469" t="s">
        <v>126</v>
      </c>
      <c r="J1469" t="s">
        <v>126</v>
      </c>
      <c r="K1469" t="s">
        <v>126</v>
      </c>
      <c r="L1469" t="s">
        <v>126</v>
      </c>
      <c r="M1469" t="s">
        <v>2130</v>
      </c>
      <c r="N1469" t="b">
        <v>0</v>
      </c>
    </row>
    <row r="1470" spans="1:14">
      <c r="A1470">
        <v>97</v>
      </c>
      <c r="B1470">
        <v>20</v>
      </c>
      <c r="C1470" t="s">
        <v>126</v>
      </c>
      <c r="D1470" t="s">
        <v>741</v>
      </c>
      <c r="E1470" t="s">
        <v>126</v>
      </c>
      <c r="F1470">
        <v>0</v>
      </c>
      <c r="G1470" t="s">
        <v>126</v>
      </c>
      <c r="H1470" t="s">
        <v>126</v>
      </c>
      <c r="I1470" t="s">
        <v>126</v>
      </c>
      <c r="J1470" t="s">
        <v>126</v>
      </c>
      <c r="K1470" t="s">
        <v>126</v>
      </c>
      <c r="L1470" t="s">
        <v>126</v>
      </c>
      <c r="M1470" t="s">
        <v>2131</v>
      </c>
      <c r="N1470" t="b">
        <v>0</v>
      </c>
    </row>
    <row r="1471" spans="1:14">
      <c r="A1471">
        <v>97</v>
      </c>
      <c r="B1471">
        <v>21</v>
      </c>
      <c r="C1471" t="s">
        <v>126</v>
      </c>
      <c r="D1471" t="s">
        <v>741</v>
      </c>
      <c r="E1471" t="s">
        <v>126</v>
      </c>
      <c r="F1471">
        <v>0</v>
      </c>
      <c r="G1471" t="s">
        <v>126</v>
      </c>
      <c r="H1471" t="s">
        <v>126</v>
      </c>
      <c r="I1471" t="s">
        <v>126</v>
      </c>
      <c r="J1471" t="s">
        <v>126</v>
      </c>
      <c r="K1471" t="s">
        <v>126</v>
      </c>
      <c r="L1471" t="s">
        <v>126</v>
      </c>
      <c r="M1471" t="s">
        <v>2132</v>
      </c>
      <c r="N1471" t="b">
        <v>0</v>
      </c>
    </row>
    <row r="1472" spans="1:14">
      <c r="A1472">
        <v>97</v>
      </c>
      <c r="B1472">
        <v>22</v>
      </c>
      <c r="C1472" t="s">
        <v>126</v>
      </c>
      <c r="D1472" t="s">
        <v>741</v>
      </c>
      <c r="E1472" t="s">
        <v>126</v>
      </c>
      <c r="F1472">
        <v>0</v>
      </c>
      <c r="G1472" t="s">
        <v>126</v>
      </c>
      <c r="H1472" t="s">
        <v>126</v>
      </c>
      <c r="I1472" t="s">
        <v>126</v>
      </c>
      <c r="J1472" t="s">
        <v>126</v>
      </c>
      <c r="K1472" t="s">
        <v>126</v>
      </c>
      <c r="L1472" t="s">
        <v>126</v>
      </c>
      <c r="M1472" t="s">
        <v>2133</v>
      </c>
      <c r="N1472" t="b">
        <v>0</v>
      </c>
    </row>
    <row r="1473" spans="1:14">
      <c r="A1473">
        <v>97</v>
      </c>
      <c r="B1473">
        <v>23</v>
      </c>
      <c r="C1473" t="s">
        <v>126</v>
      </c>
      <c r="D1473" t="s">
        <v>741</v>
      </c>
      <c r="E1473" t="s">
        <v>126</v>
      </c>
      <c r="F1473">
        <v>0</v>
      </c>
      <c r="G1473" t="s">
        <v>126</v>
      </c>
      <c r="H1473" t="s">
        <v>126</v>
      </c>
      <c r="I1473" t="s">
        <v>126</v>
      </c>
      <c r="J1473" t="s">
        <v>126</v>
      </c>
      <c r="K1473" t="s">
        <v>126</v>
      </c>
      <c r="L1473" t="s">
        <v>126</v>
      </c>
      <c r="M1473" t="s">
        <v>2134</v>
      </c>
      <c r="N1473" t="b">
        <v>0</v>
      </c>
    </row>
    <row r="1474" spans="1:14">
      <c r="A1474">
        <v>97</v>
      </c>
      <c r="B1474">
        <v>24</v>
      </c>
      <c r="C1474" t="s">
        <v>126</v>
      </c>
      <c r="D1474" t="s">
        <v>741</v>
      </c>
      <c r="E1474" t="s">
        <v>126</v>
      </c>
      <c r="F1474">
        <v>0</v>
      </c>
      <c r="G1474" t="s">
        <v>126</v>
      </c>
      <c r="H1474" t="s">
        <v>126</v>
      </c>
      <c r="I1474" t="s">
        <v>126</v>
      </c>
      <c r="J1474" t="s">
        <v>126</v>
      </c>
      <c r="K1474" t="s">
        <v>126</v>
      </c>
      <c r="L1474" t="s">
        <v>126</v>
      </c>
      <c r="M1474" t="s">
        <v>2135</v>
      </c>
      <c r="N1474" t="b">
        <v>0</v>
      </c>
    </row>
    <row r="1475" spans="1:14">
      <c r="A1475">
        <v>97</v>
      </c>
      <c r="B1475">
        <v>25</v>
      </c>
      <c r="C1475" t="s">
        <v>126</v>
      </c>
      <c r="D1475" t="s">
        <v>741</v>
      </c>
      <c r="E1475" t="s">
        <v>126</v>
      </c>
      <c r="F1475">
        <v>0</v>
      </c>
      <c r="G1475" t="s">
        <v>126</v>
      </c>
      <c r="H1475" t="s">
        <v>126</v>
      </c>
      <c r="I1475" t="s">
        <v>126</v>
      </c>
      <c r="J1475" t="s">
        <v>126</v>
      </c>
      <c r="K1475" t="s">
        <v>126</v>
      </c>
      <c r="L1475" t="s">
        <v>126</v>
      </c>
      <c r="M1475" t="s">
        <v>2136</v>
      </c>
      <c r="N1475" t="b">
        <v>0</v>
      </c>
    </row>
    <row r="1476" spans="1:14">
      <c r="A1476">
        <v>97</v>
      </c>
      <c r="B1476">
        <v>26</v>
      </c>
      <c r="C1476" t="s">
        <v>126</v>
      </c>
      <c r="D1476" t="s">
        <v>741</v>
      </c>
      <c r="E1476" t="s">
        <v>126</v>
      </c>
      <c r="F1476">
        <v>0</v>
      </c>
      <c r="G1476" t="s">
        <v>126</v>
      </c>
      <c r="H1476" t="s">
        <v>126</v>
      </c>
      <c r="I1476" t="s">
        <v>126</v>
      </c>
      <c r="J1476" t="s">
        <v>126</v>
      </c>
      <c r="K1476" t="s">
        <v>126</v>
      </c>
      <c r="L1476" t="s">
        <v>126</v>
      </c>
      <c r="M1476" t="s">
        <v>2137</v>
      </c>
      <c r="N1476" t="b">
        <v>0</v>
      </c>
    </row>
    <row r="1477" spans="1:14">
      <c r="A1477">
        <v>99</v>
      </c>
      <c r="B1477">
        <v>0</v>
      </c>
      <c r="C1477" t="s">
        <v>216</v>
      </c>
      <c r="D1477" t="s">
        <v>724</v>
      </c>
      <c r="E1477" t="s">
        <v>65</v>
      </c>
      <c r="F1477">
        <v>60</v>
      </c>
      <c r="G1477" t="s">
        <v>126</v>
      </c>
      <c r="H1477" t="s">
        <v>126</v>
      </c>
      <c r="I1477" t="s">
        <v>65</v>
      </c>
      <c r="J1477" t="s">
        <v>126</v>
      </c>
      <c r="K1477" t="s">
        <v>126</v>
      </c>
      <c r="L1477" t="s">
        <v>126</v>
      </c>
      <c r="M1477" t="s">
        <v>2138</v>
      </c>
      <c r="N1477" t="b">
        <v>0</v>
      </c>
    </row>
    <row r="1478" spans="1:14">
      <c r="A1478">
        <v>99</v>
      </c>
      <c r="B1478">
        <v>1</v>
      </c>
      <c r="C1478" t="s">
        <v>217</v>
      </c>
      <c r="D1478" t="s">
        <v>724</v>
      </c>
      <c r="E1478" t="s">
        <v>77</v>
      </c>
      <c r="F1478">
        <v>60</v>
      </c>
      <c r="G1478" t="s">
        <v>126</v>
      </c>
      <c r="H1478" t="s">
        <v>126</v>
      </c>
      <c r="I1478" t="s">
        <v>77</v>
      </c>
      <c r="J1478" t="s">
        <v>126</v>
      </c>
      <c r="K1478" t="s">
        <v>126</v>
      </c>
      <c r="L1478" t="s">
        <v>126</v>
      </c>
      <c r="M1478" t="s">
        <v>2139</v>
      </c>
      <c r="N1478" t="b">
        <v>0</v>
      </c>
    </row>
    <row r="1479" spans="1:14">
      <c r="A1479">
        <v>99</v>
      </c>
      <c r="B1479">
        <v>2</v>
      </c>
      <c r="C1479" t="s">
        <v>238</v>
      </c>
      <c r="D1479" t="s">
        <v>724</v>
      </c>
      <c r="E1479" t="s">
        <v>544</v>
      </c>
      <c r="F1479">
        <v>40</v>
      </c>
      <c r="G1479" t="s">
        <v>126</v>
      </c>
      <c r="H1479" t="s">
        <v>547</v>
      </c>
      <c r="I1479" t="s">
        <v>508</v>
      </c>
      <c r="J1479" t="s">
        <v>126</v>
      </c>
      <c r="K1479" t="s">
        <v>792</v>
      </c>
      <c r="L1479" t="s">
        <v>793</v>
      </c>
      <c r="M1479" t="s">
        <v>2140</v>
      </c>
      <c r="N1479" t="b">
        <v>0</v>
      </c>
    </row>
    <row r="1480" spans="1:14">
      <c r="A1480">
        <v>99</v>
      </c>
      <c r="B1480">
        <v>3</v>
      </c>
      <c r="C1480" t="s">
        <v>239</v>
      </c>
      <c r="D1480" t="s">
        <v>724</v>
      </c>
      <c r="E1480" t="s">
        <v>544</v>
      </c>
      <c r="F1480">
        <v>40</v>
      </c>
      <c r="G1480" t="s">
        <v>126</v>
      </c>
      <c r="H1480" t="s">
        <v>557</v>
      </c>
      <c r="I1480" t="s">
        <v>486</v>
      </c>
      <c r="J1480" t="s">
        <v>126</v>
      </c>
      <c r="K1480" t="s">
        <v>795</v>
      </c>
      <c r="L1480" t="s">
        <v>796</v>
      </c>
      <c r="M1480" t="s">
        <v>2141</v>
      </c>
      <c r="N1480" t="b">
        <v>0</v>
      </c>
    </row>
    <row r="1481" spans="1:14">
      <c r="A1481">
        <v>99</v>
      </c>
      <c r="B1481">
        <v>4</v>
      </c>
      <c r="C1481" t="s">
        <v>241</v>
      </c>
      <c r="D1481" t="s">
        <v>724</v>
      </c>
      <c r="E1481" t="s">
        <v>103</v>
      </c>
      <c r="F1481">
        <v>50</v>
      </c>
      <c r="G1481" t="s">
        <v>126</v>
      </c>
      <c r="H1481" t="s">
        <v>126</v>
      </c>
      <c r="I1481" t="s">
        <v>103</v>
      </c>
      <c r="J1481" t="s">
        <v>126</v>
      </c>
      <c r="K1481" t="s">
        <v>126</v>
      </c>
      <c r="L1481" t="s">
        <v>126</v>
      </c>
      <c r="M1481" t="s">
        <v>2142</v>
      </c>
      <c r="N1481" t="b">
        <v>0</v>
      </c>
    </row>
    <row r="1482" spans="1:14">
      <c r="A1482">
        <v>99</v>
      </c>
      <c r="B1482">
        <v>5</v>
      </c>
      <c r="C1482" t="s">
        <v>472</v>
      </c>
      <c r="D1482" t="s">
        <v>724</v>
      </c>
      <c r="E1482" t="s">
        <v>297</v>
      </c>
      <c r="F1482">
        <v>20</v>
      </c>
      <c r="G1482" t="s">
        <v>126</v>
      </c>
      <c r="H1482" t="s">
        <v>1897</v>
      </c>
      <c r="I1482" t="s">
        <v>1898</v>
      </c>
      <c r="J1482" t="s">
        <v>126</v>
      </c>
      <c r="K1482" t="s">
        <v>762</v>
      </c>
      <c r="L1482" t="s">
        <v>763</v>
      </c>
      <c r="M1482" t="s">
        <v>2143</v>
      </c>
      <c r="N1482" t="b">
        <v>0</v>
      </c>
    </row>
    <row r="1483" spans="1:14">
      <c r="A1483">
        <v>99</v>
      </c>
      <c r="B1483">
        <v>6</v>
      </c>
      <c r="C1483" t="s">
        <v>254</v>
      </c>
      <c r="D1483" t="s">
        <v>724</v>
      </c>
      <c r="E1483" t="s">
        <v>115</v>
      </c>
      <c r="F1483">
        <v>40</v>
      </c>
      <c r="G1483" t="s">
        <v>126</v>
      </c>
      <c r="H1483" t="s">
        <v>126</v>
      </c>
      <c r="I1483" t="s">
        <v>115</v>
      </c>
      <c r="J1483" t="s">
        <v>126</v>
      </c>
      <c r="K1483" t="s">
        <v>126</v>
      </c>
      <c r="L1483" t="s">
        <v>126</v>
      </c>
      <c r="M1483" t="s">
        <v>2144</v>
      </c>
      <c r="N1483" t="b">
        <v>0</v>
      </c>
    </row>
    <row r="1484" spans="1:14">
      <c r="A1484">
        <v>99</v>
      </c>
      <c r="B1484">
        <v>7</v>
      </c>
      <c r="C1484" t="s">
        <v>167</v>
      </c>
      <c r="D1484" t="s">
        <v>724</v>
      </c>
      <c r="E1484" t="s">
        <v>74</v>
      </c>
      <c r="F1484">
        <v>50</v>
      </c>
      <c r="G1484" t="s">
        <v>126</v>
      </c>
      <c r="H1484" t="s">
        <v>126</v>
      </c>
      <c r="I1484" t="s">
        <v>74</v>
      </c>
      <c r="J1484" t="s">
        <v>126</v>
      </c>
      <c r="K1484" t="s">
        <v>126</v>
      </c>
      <c r="L1484" t="s">
        <v>126</v>
      </c>
      <c r="M1484" t="s">
        <v>2145</v>
      </c>
      <c r="N1484" t="b">
        <v>0</v>
      </c>
    </row>
    <row r="1485" spans="1:14">
      <c r="A1485">
        <v>99</v>
      </c>
      <c r="B1485">
        <v>8</v>
      </c>
      <c r="C1485" t="s">
        <v>473</v>
      </c>
      <c r="D1485" t="s">
        <v>724</v>
      </c>
      <c r="E1485" t="s">
        <v>358</v>
      </c>
      <c r="F1485">
        <v>50</v>
      </c>
      <c r="G1485" t="s">
        <v>126</v>
      </c>
      <c r="H1485" t="s">
        <v>563</v>
      </c>
      <c r="I1485" t="s">
        <v>1623</v>
      </c>
      <c r="J1485" t="s">
        <v>126</v>
      </c>
      <c r="K1485" t="s">
        <v>1164</v>
      </c>
      <c r="L1485" t="s">
        <v>1165</v>
      </c>
      <c r="M1485" t="s">
        <v>2146</v>
      </c>
      <c r="N1485" t="b">
        <v>0</v>
      </c>
    </row>
    <row r="1486" spans="1:14">
      <c r="A1486">
        <v>99</v>
      </c>
      <c r="B1486">
        <v>9</v>
      </c>
      <c r="C1486" t="s">
        <v>474</v>
      </c>
      <c r="D1486" t="s">
        <v>724</v>
      </c>
      <c r="E1486" t="s">
        <v>358</v>
      </c>
      <c r="F1486">
        <v>30</v>
      </c>
      <c r="G1486" t="s">
        <v>126</v>
      </c>
      <c r="H1486" t="s">
        <v>559</v>
      </c>
      <c r="I1486" t="s">
        <v>363</v>
      </c>
      <c r="J1486" t="s">
        <v>126</v>
      </c>
      <c r="K1486" t="s">
        <v>1178</v>
      </c>
      <c r="L1486" t="s">
        <v>1179</v>
      </c>
      <c r="M1486" t="s">
        <v>2147</v>
      </c>
      <c r="N1486" t="b">
        <v>0</v>
      </c>
    </row>
    <row r="1487" spans="1:14">
      <c r="A1487">
        <v>99</v>
      </c>
      <c r="B1487">
        <v>10</v>
      </c>
      <c r="C1487" t="s">
        <v>357</v>
      </c>
      <c r="D1487" t="s">
        <v>724</v>
      </c>
      <c r="E1487" t="s">
        <v>545</v>
      </c>
      <c r="F1487">
        <v>50</v>
      </c>
      <c r="G1487" t="s">
        <v>126</v>
      </c>
      <c r="H1487" t="s">
        <v>583</v>
      </c>
      <c r="I1487" t="s">
        <v>496</v>
      </c>
      <c r="J1487" t="s">
        <v>126</v>
      </c>
      <c r="K1487" t="s">
        <v>801</v>
      </c>
      <c r="L1487" t="s">
        <v>802</v>
      </c>
      <c r="M1487" t="s">
        <v>2148</v>
      </c>
      <c r="N1487" t="b">
        <v>0</v>
      </c>
    </row>
    <row r="1488" spans="1:14">
      <c r="A1488">
        <v>99</v>
      </c>
      <c r="B1488">
        <v>11</v>
      </c>
      <c r="C1488" t="s">
        <v>292</v>
      </c>
      <c r="D1488" t="s">
        <v>724</v>
      </c>
      <c r="E1488" t="s">
        <v>107</v>
      </c>
      <c r="F1488">
        <v>60</v>
      </c>
      <c r="G1488" t="s">
        <v>126</v>
      </c>
      <c r="H1488" t="s">
        <v>126</v>
      </c>
      <c r="I1488" t="s">
        <v>107</v>
      </c>
      <c r="J1488" t="s">
        <v>126</v>
      </c>
      <c r="K1488" t="s">
        <v>126</v>
      </c>
      <c r="L1488" t="s">
        <v>126</v>
      </c>
      <c r="M1488" t="s">
        <v>2149</v>
      </c>
      <c r="N1488" t="b">
        <v>0</v>
      </c>
    </row>
    <row r="1489" spans="1:14">
      <c r="A1489">
        <v>99</v>
      </c>
      <c r="B1489">
        <v>12</v>
      </c>
      <c r="C1489" t="s">
        <v>126</v>
      </c>
      <c r="D1489" t="s">
        <v>724</v>
      </c>
      <c r="E1489" t="s">
        <v>126</v>
      </c>
      <c r="F1489">
        <v>0</v>
      </c>
      <c r="G1489" t="s">
        <v>126</v>
      </c>
      <c r="H1489" t="s">
        <v>126</v>
      </c>
      <c r="I1489" t="s">
        <v>126</v>
      </c>
      <c r="J1489" t="s">
        <v>126</v>
      </c>
      <c r="K1489" t="s">
        <v>126</v>
      </c>
      <c r="L1489" t="s">
        <v>126</v>
      </c>
      <c r="M1489" t="s">
        <v>2150</v>
      </c>
      <c r="N1489" t="b">
        <v>0</v>
      </c>
    </row>
    <row r="1490" spans="1:14">
      <c r="A1490">
        <v>99</v>
      </c>
      <c r="B1490">
        <v>13</v>
      </c>
      <c r="C1490" t="s">
        <v>126</v>
      </c>
      <c r="D1490" t="s">
        <v>724</v>
      </c>
      <c r="E1490" t="s">
        <v>126</v>
      </c>
      <c r="F1490">
        <v>0</v>
      </c>
      <c r="G1490" t="s">
        <v>126</v>
      </c>
      <c r="H1490" t="s">
        <v>126</v>
      </c>
      <c r="I1490" t="s">
        <v>126</v>
      </c>
      <c r="J1490" t="s">
        <v>126</v>
      </c>
      <c r="K1490" t="s">
        <v>126</v>
      </c>
      <c r="L1490" t="s">
        <v>126</v>
      </c>
      <c r="M1490" t="s">
        <v>2151</v>
      </c>
      <c r="N1490" t="b">
        <v>0</v>
      </c>
    </row>
    <row r="1491" spans="1:14">
      <c r="A1491">
        <v>99</v>
      </c>
      <c r="B1491">
        <v>14</v>
      </c>
      <c r="C1491" t="s">
        <v>126</v>
      </c>
      <c r="D1491" t="s">
        <v>724</v>
      </c>
      <c r="E1491" t="s">
        <v>126</v>
      </c>
      <c r="F1491">
        <v>0</v>
      </c>
      <c r="G1491" t="s">
        <v>126</v>
      </c>
      <c r="H1491" t="s">
        <v>126</v>
      </c>
      <c r="I1491" t="s">
        <v>126</v>
      </c>
      <c r="J1491" t="s">
        <v>126</v>
      </c>
      <c r="K1491" t="s">
        <v>126</v>
      </c>
      <c r="L1491" t="s">
        <v>126</v>
      </c>
      <c r="M1491" t="s">
        <v>2152</v>
      </c>
      <c r="N1491" t="b">
        <v>0</v>
      </c>
    </row>
    <row r="1492" spans="1:14">
      <c r="A1492">
        <v>99</v>
      </c>
      <c r="B1492">
        <v>15</v>
      </c>
      <c r="C1492" t="s">
        <v>126</v>
      </c>
      <c r="D1492" t="s">
        <v>724</v>
      </c>
      <c r="E1492" t="s">
        <v>126</v>
      </c>
      <c r="F1492">
        <v>0</v>
      </c>
      <c r="G1492" t="s">
        <v>126</v>
      </c>
      <c r="H1492" t="s">
        <v>126</v>
      </c>
      <c r="I1492" t="s">
        <v>126</v>
      </c>
      <c r="J1492" t="s">
        <v>126</v>
      </c>
      <c r="K1492" t="s">
        <v>126</v>
      </c>
      <c r="L1492" t="s">
        <v>126</v>
      </c>
      <c r="M1492" t="s">
        <v>2153</v>
      </c>
      <c r="N1492" t="b">
        <v>0</v>
      </c>
    </row>
    <row r="1493" spans="1:14">
      <c r="A1493">
        <v>99</v>
      </c>
      <c r="B1493">
        <v>16</v>
      </c>
      <c r="C1493" t="s">
        <v>126</v>
      </c>
      <c r="D1493" t="s">
        <v>741</v>
      </c>
      <c r="E1493" t="s">
        <v>126</v>
      </c>
      <c r="F1493">
        <v>0</v>
      </c>
      <c r="G1493" t="s">
        <v>126</v>
      </c>
      <c r="H1493" t="s">
        <v>126</v>
      </c>
      <c r="I1493" t="s">
        <v>126</v>
      </c>
      <c r="J1493" t="s">
        <v>126</v>
      </c>
      <c r="K1493" t="s">
        <v>126</v>
      </c>
      <c r="L1493" t="s">
        <v>126</v>
      </c>
      <c r="M1493" t="s">
        <v>2154</v>
      </c>
      <c r="N1493" t="b">
        <v>0</v>
      </c>
    </row>
    <row r="1494" spans="1:14">
      <c r="A1494">
        <v>99</v>
      </c>
      <c r="B1494">
        <v>17</v>
      </c>
      <c r="C1494" t="s">
        <v>126</v>
      </c>
      <c r="D1494" t="s">
        <v>741</v>
      </c>
      <c r="E1494" t="s">
        <v>126</v>
      </c>
      <c r="F1494">
        <v>0</v>
      </c>
      <c r="G1494" t="s">
        <v>126</v>
      </c>
      <c r="H1494" t="s">
        <v>126</v>
      </c>
      <c r="I1494" t="s">
        <v>126</v>
      </c>
      <c r="J1494" t="s">
        <v>126</v>
      </c>
      <c r="K1494" t="s">
        <v>126</v>
      </c>
      <c r="L1494" t="s">
        <v>126</v>
      </c>
      <c r="M1494" t="s">
        <v>2155</v>
      </c>
      <c r="N1494" t="b">
        <v>0</v>
      </c>
    </row>
    <row r="1495" spans="1:14">
      <c r="A1495">
        <v>99</v>
      </c>
      <c r="B1495">
        <v>18</v>
      </c>
      <c r="C1495" t="s">
        <v>126</v>
      </c>
      <c r="D1495" t="s">
        <v>741</v>
      </c>
      <c r="E1495" t="s">
        <v>126</v>
      </c>
      <c r="F1495">
        <v>0</v>
      </c>
      <c r="G1495" t="s">
        <v>126</v>
      </c>
      <c r="H1495" t="s">
        <v>126</v>
      </c>
      <c r="I1495" t="s">
        <v>126</v>
      </c>
      <c r="J1495" t="s">
        <v>126</v>
      </c>
      <c r="K1495" t="s">
        <v>126</v>
      </c>
      <c r="L1495" t="s">
        <v>126</v>
      </c>
      <c r="M1495" t="s">
        <v>2156</v>
      </c>
      <c r="N1495" t="b">
        <v>0</v>
      </c>
    </row>
    <row r="1496" spans="1:14">
      <c r="A1496">
        <v>99</v>
      </c>
      <c r="B1496">
        <v>19</v>
      </c>
      <c r="C1496" t="s">
        <v>126</v>
      </c>
      <c r="D1496" t="s">
        <v>741</v>
      </c>
      <c r="E1496" t="s">
        <v>126</v>
      </c>
      <c r="F1496">
        <v>0</v>
      </c>
      <c r="G1496" t="s">
        <v>126</v>
      </c>
      <c r="H1496" t="s">
        <v>126</v>
      </c>
      <c r="I1496" t="s">
        <v>126</v>
      </c>
      <c r="J1496" t="s">
        <v>126</v>
      </c>
      <c r="K1496" t="s">
        <v>126</v>
      </c>
      <c r="L1496" t="s">
        <v>126</v>
      </c>
      <c r="M1496" t="s">
        <v>2157</v>
      </c>
      <c r="N1496" t="b">
        <v>0</v>
      </c>
    </row>
    <row r="1497" spans="1:14">
      <c r="A1497">
        <v>99</v>
      </c>
      <c r="B1497">
        <v>20</v>
      </c>
      <c r="C1497" t="s">
        <v>126</v>
      </c>
      <c r="D1497" t="s">
        <v>741</v>
      </c>
      <c r="E1497" t="s">
        <v>126</v>
      </c>
      <c r="F1497">
        <v>0</v>
      </c>
      <c r="G1497" t="s">
        <v>126</v>
      </c>
      <c r="H1497" t="s">
        <v>126</v>
      </c>
      <c r="I1497" t="s">
        <v>126</v>
      </c>
      <c r="J1497" t="s">
        <v>126</v>
      </c>
      <c r="K1497" t="s">
        <v>126</v>
      </c>
      <c r="L1497" t="s">
        <v>126</v>
      </c>
      <c r="M1497" t="s">
        <v>2158</v>
      </c>
      <c r="N1497" t="b">
        <v>0</v>
      </c>
    </row>
    <row r="1498" spans="1:14">
      <c r="A1498">
        <v>99</v>
      </c>
      <c r="B1498">
        <v>21</v>
      </c>
      <c r="C1498" t="s">
        <v>126</v>
      </c>
      <c r="D1498" t="s">
        <v>741</v>
      </c>
      <c r="E1498" t="s">
        <v>126</v>
      </c>
      <c r="F1498">
        <v>0</v>
      </c>
      <c r="G1498" t="s">
        <v>126</v>
      </c>
      <c r="H1498" t="s">
        <v>126</v>
      </c>
      <c r="I1498" t="s">
        <v>126</v>
      </c>
      <c r="J1498" t="s">
        <v>126</v>
      </c>
      <c r="K1498" t="s">
        <v>126</v>
      </c>
      <c r="L1498" t="s">
        <v>126</v>
      </c>
      <c r="M1498" t="s">
        <v>2159</v>
      </c>
      <c r="N1498" t="b">
        <v>0</v>
      </c>
    </row>
    <row r="1499" spans="1:14">
      <c r="A1499">
        <v>99</v>
      </c>
      <c r="B1499">
        <v>22</v>
      </c>
      <c r="C1499" t="s">
        <v>126</v>
      </c>
      <c r="D1499" t="s">
        <v>741</v>
      </c>
      <c r="E1499" t="s">
        <v>126</v>
      </c>
      <c r="F1499">
        <v>0</v>
      </c>
      <c r="G1499" t="s">
        <v>126</v>
      </c>
      <c r="H1499" t="s">
        <v>126</v>
      </c>
      <c r="I1499" t="s">
        <v>126</v>
      </c>
      <c r="J1499" t="s">
        <v>126</v>
      </c>
      <c r="K1499" t="s">
        <v>126</v>
      </c>
      <c r="L1499" t="s">
        <v>126</v>
      </c>
      <c r="M1499" t="s">
        <v>2160</v>
      </c>
      <c r="N1499" t="b">
        <v>0</v>
      </c>
    </row>
    <row r="1500" spans="1:14">
      <c r="A1500">
        <v>99</v>
      </c>
      <c r="B1500">
        <v>23</v>
      </c>
      <c r="C1500" t="s">
        <v>126</v>
      </c>
      <c r="D1500" t="s">
        <v>741</v>
      </c>
      <c r="E1500" t="s">
        <v>126</v>
      </c>
      <c r="F1500">
        <v>0</v>
      </c>
      <c r="G1500" t="s">
        <v>126</v>
      </c>
      <c r="H1500" t="s">
        <v>126</v>
      </c>
      <c r="I1500" t="s">
        <v>126</v>
      </c>
      <c r="J1500" t="s">
        <v>126</v>
      </c>
      <c r="K1500" t="s">
        <v>126</v>
      </c>
      <c r="L1500" t="s">
        <v>126</v>
      </c>
      <c r="M1500" t="s">
        <v>2161</v>
      </c>
      <c r="N1500" t="b">
        <v>0</v>
      </c>
    </row>
    <row r="1501" spans="1:14">
      <c r="A1501">
        <v>99</v>
      </c>
      <c r="B1501">
        <v>24</v>
      </c>
      <c r="C1501" t="s">
        <v>126</v>
      </c>
      <c r="D1501" t="s">
        <v>741</v>
      </c>
      <c r="E1501" t="s">
        <v>126</v>
      </c>
      <c r="F1501">
        <v>0</v>
      </c>
      <c r="G1501" t="s">
        <v>126</v>
      </c>
      <c r="H1501" t="s">
        <v>126</v>
      </c>
      <c r="I1501" t="s">
        <v>126</v>
      </c>
      <c r="J1501" t="s">
        <v>126</v>
      </c>
      <c r="K1501" t="s">
        <v>126</v>
      </c>
      <c r="L1501" t="s">
        <v>126</v>
      </c>
      <c r="M1501" t="s">
        <v>2162</v>
      </c>
      <c r="N1501" t="b">
        <v>0</v>
      </c>
    </row>
    <row r="1502" spans="1:14">
      <c r="A1502">
        <v>99</v>
      </c>
      <c r="B1502">
        <v>25</v>
      </c>
      <c r="C1502" t="s">
        <v>126</v>
      </c>
      <c r="D1502" t="s">
        <v>741</v>
      </c>
      <c r="E1502" t="s">
        <v>126</v>
      </c>
      <c r="F1502">
        <v>0</v>
      </c>
      <c r="G1502" t="s">
        <v>126</v>
      </c>
      <c r="H1502" t="s">
        <v>126</v>
      </c>
      <c r="I1502" t="s">
        <v>126</v>
      </c>
      <c r="J1502" t="s">
        <v>126</v>
      </c>
      <c r="K1502" t="s">
        <v>126</v>
      </c>
      <c r="L1502" t="s">
        <v>126</v>
      </c>
      <c r="M1502" t="s">
        <v>2163</v>
      </c>
      <c r="N1502" t="b">
        <v>0</v>
      </c>
    </row>
    <row r="1503" spans="1:14">
      <c r="A1503">
        <v>99</v>
      </c>
      <c r="B1503">
        <v>26</v>
      </c>
      <c r="C1503" t="s">
        <v>126</v>
      </c>
      <c r="D1503" t="s">
        <v>741</v>
      </c>
      <c r="E1503" t="s">
        <v>126</v>
      </c>
      <c r="F1503">
        <v>0</v>
      </c>
      <c r="G1503" t="s">
        <v>126</v>
      </c>
      <c r="H1503" t="s">
        <v>126</v>
      </c>
      <c r="I1503" t="s">
        <v>126</v>
      </c>
      <c r="J1503" t="s">
        <v>126</v>
      </c>
      <c r="K1503" t="s">
        <v>126</v>
      </c>
      <c r="L1503" t="s">
        <v>126</v>
      </c>
      <c r="M1503" t="s">
        <v>2164</v>
      </c>
      <c r="N1503" t="b">
        <v>0</v>
      </c>
    </row>
    <row r="1504" spans="1:14">
      <c r="A1504">
        <v>102</v>
      </c>
      <c r="B1504">
        <v>0</v>
      </c>
      <c r="C1504" t="s">
        <v>216</v>
      </c>
      <c r="D1504" t="s">
        <v>724</v>
      </c>
      <c r="E1504" t="s">
        <v>65</v>
      </c>
      <c r="F1504">
        <v>60</v>
      </c>
      <c r="G1504" t="s">
        <v>126</v>
      </c>
      <c r="H1504" t="s">
        <v>126</v>
      </c>
      <c r="I1504" t="s">
        <v>65</v>
      </c>
      <c r="J1504" t="s">
        <v>126</v>
      </c>
      <c r="K1504" t="s">
        <v>126</v>
      </c>
      <c r="L1504" t="s">
        <v>126</v>
      </c>
      <c r="M1504" t="s">
        <v>2165</v>
      </c>
      <c r="N1504" t="b">
        <v>0</v>
      </c>
    </row>
    <row r="1505" spans="1:14">
      <c r="A1505">
        <v>102</v>
      </c>
      <c r="B1505">
        <v>1</v>
      </c>
      <c r="C1505" t="s">
        <v>329</v>
      </c>
      <c r="D1505" t="s">
        <v>724</v>
      </c>
      <c r="E1505" t="s">
        <v>77</v>
      </c>
      <c r="F1505">
        <v>40</v>
      </c>
      <c r="G1505" t="s">
        <v>126</v>
      </c>
      <c r="H1505" t="s">
        <v>126</v>
      </c>
      <c r="I1505" t="s">
        <v>77</v>
      </c>
      <c r="J1505" t="s">
        <v>126</v>
      </c>
      <c r="K1505" t="s">
        <v>126</v>
      </c>
      <c r="L1505" t="s">
        <v>126</v>
      </c>
      <c r="M1505" t="s">
        <v>2166</v>
      </c>
      <c r="N1505" t="b">
        <v>0</v>
      </c>
    </row>
    <row r="1506" spans="1:14">
      <c r="A1506">
        <v>102</v>
      </c>
      <c r="B1506">
        <v>2</v>
      </c>
      <c r="C1506" t="s">
        <v>268</v>
      </c>
      <c r="D1506" t="s">
        <v>724</v>
      </c>
      <c r="E1506" t="s">
        <v>83</v>
      </c>
      <c r="F1506">
        <v>30</v>
      </c>
      <c r="G1506" t="s">
        <v>126</v>
      </c>
      <c r="H1506" t="s">
        <v>126</v>
      </c>
      <c r="I1506" t="s">
        <v>83</v>
      </c>
      <c r="J1506" t="s">
        <v>126</v>
      </c>
      <c r="K1506" t="s">
        <v>126</v>
      </c>
      <c r="L1506" t="s">
        <v>126</v>
      </c>
      <c r="M1506" t="s">
        <v>2167</v>
      </c>
      <c r="N1506" t="b">
        <v>0</v>
      </c>
    </row>
    <row r="1507" spans="1:14">
      <c r="A1507">
        <v>102</v>
      </c>
      <c r="B1507">
        <v>3</v>
      </c>
      <c r="C1507" t="s">
        <v>483</v>
      </c>
      <c r="D1507" t="s">
        <v>724</v>
      </c>
      <c r="E1507" t="s">
        <v>544</v>
      </c>
      <c r="F1507">
        <v>50</v>
      </c>
      <c r="G1507" t="s">
        <v>126</v>
      </c>
      <c r="H1507" t="s">
        <v>547</v>
      </c>
      <c r="I1507" t="s">
        <v>508</v>
      </c>
      <c r="J1507" t="s">
        <v>126</v>
      </c>
      <c r="K1507" t="s">
        <v>792</v>
      </c>
      <c r="L1507" t="s">
        <v>793</v>
      </c>
      <c r="M1507" t="s">
        <v>2168</v>
      </c>
      <c r="N1507" t="b">
        <v>0</v>
      </c>
    </row>
    <row r="1508" spans="1:14">
      <c r="A1508">
        <v>102</v>
      </c>
      <c r="B1508">
        <v>4</v>
      </c>
      <c r="C1508" t="s">
        <v>484</v>
      </c>
      <c r="D1508" t="s">
        <v>724</v>
      </c>
      <c r="E1508" t="s">
        <v>544</v>
      </c>
      <c r="F1508">
        <v>50</v>
      </c>
      <c r="G1508" t="s">
        <v>126</v>
      </c>
      <c r="H1508" t="s">
        <v>557</v>
      </c>
      <c r="I1508" t="s">
        <v>486</v>
      </c>
      <c r="J1508" t="s">
        <v>126</v>
      </c>
      <c r="K1508" t="s">
        <v>795</v>
      </c>
      <c r="L1508" t="s">
        <v>796</v>
      </c>
      <c r="M1508" t="s">
        <v>2169</v>
      </c>
      <c r="N1508" t="b">
        <v>0</v>
      </c>
    </row>
    <row r="1509" spans="1:14">
      <c r="A1509">
        <v>102</v>
      </c>
      <c r="B1509">
        <v>5</v>
      </c>
      <c r="C1509" t="s">
        <v>219</v>
      </c>
      <c r="D1509" t="s">
        <v>724</v>
      </c>
      <c r="E1509" t="s">
        <v>101</v>
      </c>
      <c r="F1509">
        <v>60</v>
      </c>
      <c r="G1509" t="s">
        <v>126</v>
      </c>
      <c r="H1509" t="s">
        <v>126</v>
      </c>
      <c r="I1509" t="s">
        <v>101</v>
      </c>
      <c r="J1509" t="s">
        <v>126</v>
      </c>
      <c r="K1509" t="s">
        <v>126</v>
      </c>
      <c r="L1509" t="s">
        <v>126</v>
      </c>
      <c r="M1509" t="s">
        <v>2170</v>
      </c>
      <c r="N1509" t="b">
        <v>0</v>
      </c>
    </row>
    <row r="1510" spans="1:14">
      <c r="A1510">
        <v>102</v>
      </c>
      <c r="B1510">
        <v>6</v>
      </c>
      <c r="C1510" t="s">
        <v>339</v>
      </c>
      <c r="D1510" t="s">
        <v>724</v>
      </c>
      <c r="E1510" t="s">
        <v>112</v>
      </c>
      <c r="F1510">
        <v>40</v>
      </c>
      <c r="G1510" t="s">
        <v>126</v>
      </c>
      <c r="H1510" t="s">
        <v>126</v>
      </c>
      <c r="I1510" t="s">
        <v>112</v>
      </c>
      <c r="J1510" t="s">
        <v>126</v>
      </c>
      <c r="K1510" t="s">
        <v>126</v>
      </c>
      <c r="L1510" t="s">
        <v>126</v>
      </c>
      <c r="M1510" t="s">
        <v>2171</v>
      </c>
      <c r="N1510" t="b">
        <v>0</v>
      </c>
    </row>
    <row r="1511" spans="1:14">
      <c r="A1511">
        <v>102</v>
      </c>
      <c r="B1511">
        <v>7</v>
      </c>
      <c r="C1511" t="s">
        <v>382</v>
      </c>
      <c r="D1511" t="s">
        <v>724</v>
      </c>
      <c r="E1511" t="s">
        <v>331</v>
      </c>
      <c r="F1511">
        <v>50</v>
      </c>
      <c r="G1511" t="s">
        <v>126</v>
      </c>
      <c r="H1511" t="s">
        <v>558</v>
      </c>
      <c r="I1511" t="s">
        <v>477</v>
      </c>
      <c r="J1511" t="s">
        <v>126</v>
      </c>
      <c r="K1511" t="s">
        <v>921</v>
      </c>
      <c r="L1511" t="s">
        <v>922</v>
      </c>
      <c r="M1511" t="s">
        <v>2172</v>
      </c>
      <c r="N1511" t="b">
        <v>0</v>
      </c>
    </row>
    <row r="1512" spans="1:14">
      <c r="A1512">
        <v>102</v>
      </c>
      <c r="B1512">
        <v>8</v>
      </c>
      <c r="C1512" t="s">
        <v>167</v>
      </c>
      <c r="D1512" t="s">
        <v>724</v>
      </c>
      <c r="E1512" t="s">
        <v>74</v>
      </c>
      <c r="F1512">
        <v>50</v>
      </c>
      <c r="G1512" t="s">
        <v>126</v>
      </c>
      <c r="H1512" t="s">
        <v>126</v>
      </c>
      <c r="I1512" t="s">
        <v>74</v>
      </c>
      <c r="J1512" t="s">
        <v>126</v>
      </c>
      <c r="K1512" t="s">
        <v>126</v>
      </c>
      <c r="L1512" t="s">
        <v>126</v>
      </c>
      <c r="M1512" t="s">
        <v>2173</v>
      </c>
      <c r="N1512" t="b">
        <v>0</v>
      </c>
    </row>
    <row r="1513" spans="1:14">
      <c r="A1513">
        <v>102</v>
      </c>
      <c r="B1513">
        <v>9</v>
      </c>
      <c r="C1513" t="s">
        <v>485</v>
      </c>
      <c r="D1513" t="s">
        <v>724</v>
      </c>
      <c r="E1513" t="s">
        <v>358</v>
      </c>
      <c r="F1513">
        <v>50</v>
      </c>
      <c r="G1513" t="s">
        <v>126</v>
      </c>
      <c r="H1513" t="s">
        <v>559</v>
      </c>
      <c r="I1513" t="s">
        <v>363</v>
      </c>
      <c r="J1513" t="s">
        <v>126</v>
      </c>
      <c r="K1513" t="s">
        <v>1164</v>
      </c>
      <c r="L1513" t="s">
        <v>1165</v>
      </c>
      <c r="M1513" t="s">
        <v>2174</v>
      </c>
      <c r="N1513" t="b">
        <v>0</v>
      </c>
    </row>
    <row r="1514" spans="1:14">
      <c r="A1514">
        <v>102</v>
      </c>
      <c r="B1514">
        <v>10</v>
      </c>
      <c r="C1514" t="s">
        <v>270</v>
      </c>
      <c r="D1514" t="s">
        <v>724</v>
      </c>
      <c r="E1514" t="s">
        <v>545</v>
      </c>
      <c r="F1514">
        <v>40</v>
      </c>
      <c r="G1514" t="s">
        <v>126</v>
      </c>
      <c r="H1514" t="s">
        <v>583</v>
      </c>
      <c r="I1514" t="s">
        <v>496</v>
      </c>
      <c r="J1514" t="s">
        <v>126</v>
      </c>
      <c r="K1514" t="s">
        <v>801</v>
      </c>
      <c r="L1514" t="s">
        <v>802</v>
      </c>
      <c r="M1514" t="s">
        <v>2175</v>
      </c>
      <c r="N1514" t="b">
        <v>0</v>
      </c>
    </row>
    <row r="1515" spans="1:14">
      <c r="A1515">
        <v>102</v>
      </c>
      <c r="B1515">
        <v>11</v>
      </c>
      <c r="C1515" t="s">
        <v>223</v>
      </c>
      <c r="D1515" t="s">
        <v>724</v>
      </c>
      <c r="E1515" t="s">
        <v>107</v>
      </c>
      <c r="F1515">
        <v>50</v>
      </c>
      <c r="G1515" t="s">
        <v>126</v>
      </c>
      <c r="H1515" t="s">
        <v>126</v>
      </c>
      <c r="I1515" t="s">
        <v>107</v>
      </c>
      <c r="J1515" t="s">
        <v>126</v>
      </c>
      <c r="K1515" t="s">
        <v>126</v>
      </c>
      <c r="L1515" t="s">
        <v>126</v>
      </c>
      <c r="M1515" t="s">
        <v>2176</v>
      </c>
      <c r="N1515" t="b">
        <v>0</v>
      </c>
    </row>
    <row r="1516" spans="1:14">
      <c r="A1516">
        <v>102</v>
      </c>
      <c r="B1516">
        <v>12</v>
      </c>
      <c r="C1516" t="s">
        <v>126</v>
      </c>
      <c r="D1516" t="s">
        <v>724</v>
      </c>
      <c r="E1516" t="s">
        <v>126</v>
      </c>
      <c r="F1516">
        <v>0</v>
      </c>
      <c r="G1516" t="s">
        <v>126</v>
      </c>
      <c r="H1516" t="s">
        <v>126</v>
      </c>
      <c r="I1516" t="s">
        <v>126</v>
      </c>
      <c r="J1516" t="s">
        <v>126</v>
      </c>
      <c r="K1516" t="s">
        <v>126</v>
      </c>
      <c r="L1516" t="s">
        <v>126</v>
      </c>
      <c r="M1516" t="s">
        <v>2177</v>
      </c>
      <c r="N1516" t="b">
        <v>0</v>
      </c>
    </row>
    <row r="1517" spans="1:14">
      <c r="A1517">
        <v>102</v>
      </c>
      <c r="B1517">
        <v>13</v>
      </c>
      <c r="C1517" t="s">
        <v>126</v>
      </c>
      <c r="D1517" t="s">
        <v>724</v>
      </c>
      <c r="E1517" t="s">
        <v>126</v>
      </c>
      <c r="F1517">
        <v>0</v>
      </c>
      <c r="G1517" t="s">
        <v>126</v>
      </c>
      <c r="H1517" t="s">
        <v>126</v>
      </c>
      <c r="I1517" t="s">
        <v>126</v>
      </c>
      <c r="J1517" t="s">
        <v>126</v>
      </c>
      <c r="K1517" t="s">
        <v>126</v>
      </c>
      <c r="L1517" t="s">
        <v>126</v>
      </c>
      <c r="M1517" t="s">
        <v>2178</v>
      </c>
      <c r="N1517" t="b">
        <v>0</v>
      </c>
    </row>
    <row r="1518" spans="1:14">
      <c r="A1518">
        <v>102</v>
      </c>
      <c r="B1518">
        <v>14</v>
      </c>
      <c r="C1518" t="s">
        <v>126</v>
      </c>
      <c r="D1518" t="s">
        <v>724</v>
      </c>
      <c r="E1518" t="s">
        <v>126</v>
      </c>
      <c r="F1518">
        <v>0</v>
      </c>
      <c r="G1518" t="s">
        <v>126</v>
      </c>
      <c r="H1518" t="s">
        <v>126</v>
      </c>
      <c r="I1518" t="s">
        <v>126</v>
      </c>
      <c r="J1518" t="s">
        <v>126</v>
      </c>
      <c r="K1518" t="s">
        <v>126</v>
      </c>
      <c r="L1518" t="s">
        <v>126</v>
      </c>
      <c r="M1518" t="s">
        <v>2179</v>
      </c>
      <c r="N1518" t="b">
        <v>0</v>
      </c>
    </row>
    <row r="1519" spans="1:14">
      <c r="A1519">
        <v>102</v>
      </c>
      <c r="B1519">
        <v>15</v>
      </c>
      <c r="C1519" t="s">
        <v>126</v>
      </c>
      <c r="D1519" t="s">
        <v>724</v>
      </c>
      <c r="E1519" t="s">
        <v>126</v>
      </c>
      <c r="F1519">
        <v>0</v>
      </c>
      <c r="G1519" t="s">
        <v>126</v>
      </c>
      <c r="H1519" t="s">
        <v>126</v>
      </c>
      <c r="I1519" t="s">
        <v>126</v>
      </c>
      <c r="J1519" t="s">
        <v>126</v>
      </c>
      <c r="K1519" t="s">
        <v>126</v>
      </c>
      <c r="L1519" t="s">
        <v>126</v>
      </c>
      <c r="M1519" t="s">
        <v>2180</v>
      </c>
      <c r="N1519" t="b">
        <v>0</v>
      </c>
    </row>
    <row r="1520" spans="1:14">
      <c r="A1520">
        <v>102</v>
      </c>
      <c r="B1520">
        <v>16</v>
      </c>
      <c r="C1520" t="s">
        <v>126</v>
      </c>
      <c r="D1520" t="s">
        <v>741</v>
      </c>
      <c r="E1520" t="s">
        <v>126</v>
      </c>
      <c r="F1520">
        <v>0</v>
      </c>
      <c r="G1520" t="s">
        <v>126</v>
      </c>
      <c r="H1520" t="s">
        <v>126</v>
      </c>
      <c r="I1520" t="s">
        <v>126</v>
      </c>
      <c r="J1520" t="s">
        <v>126</v>
      </c>
      <c r="K1520" t="s">
        <v>126</v>
      </c>
      <c r="L1520" t="s">
        <v>126</v>
      </c>
      <c r="M1520" t="s">
        <v>2181</v>
      </c>
      <c r="N1520" t="b">
        <v>0</v>
      </c>
    </row>
    <row r="1521" spans="1:14">
      <c r="A1521">
        <v>102</v>
      </c>
      <c r="B1521">
        <v>17</v>
      </c>
      <c r="C1521" t="s">
        <v>126</v>
      </c>
      <c r="D1521" t="s">
        <v>741</v>
      </c>
      <c r="E1521" t="s">
        <v>126</v>
      </c>
      <c r="F1521">
        <v>0</v>
      </c>
      <c r="G1521" t="s">
        <v>126</v>
      </c>
      <c r="H1521" t="s">
        <v>126</v>
      </c>
      <c r="I1521" t="s">
        <v>126</v>
      </c>
      <c r="J1521" t="s">
        <v>126</v>
      </c>
      <c r="K1521" t="s">
        <v>126</v>
      </c>
      <c r="L1521" t="s">
        <v>126</v>
      </c>
      <c r="M1521" t="s">
        <v>2182</v>
      </c>
      <c r="N1521" t="b">
        <v>0</v>
      </c>
    </row>
    <row r="1522" spans="1:14">
      <c r="A1522">
        <v>102</v>
      </c>
      <c r="B1522">
        <v>18</v>
      </c>
      <c r="C1522" t="s">
        <v>126</v>
      </c>
      <c r="D1522" t="s">
        <v>741</v>
      </c>
      <c r="E1522" t="s">
        <v>126</v>
      </c>
      <c r="F1522">
        <v>0</v>
      </c>
      <c r="G1522" t="s">
        <v>126</v>
      </c>
      <c r="H1522" t="s">
        <v>126</v>
      </c>
      <c r="I1522" t="s">
        <v>126</v>
      </c>
      <c r="J1522" t="s">
        <v>126</v>
      </c>
      <c r="K1522" t="s">
        <v>126</v>
      </c>
      <c r="L1522" t="s">
        <v>126</v>
      </c>
      <c r="M1522" t="s">
        <v>2183</v>
      </c>
      <c r="N1522" t="b">
        <v>0</v>
      </c>
    </row>
    <row r="1523" spans="1:14">
      <c r="A1523">
        <v>102</v>
      </c>
      <c r="B1523">
        <v>19</v>
      </c>
      <c r="C1523" t="s">
        <v>126</v>
      </c>
      <c r="D1523" t="s">
        <v>741</v>
      </c>
      <c r="E1523" t="s">
        <v>126</v>
      </c>
      <c r="F1523">
        <v>0</v>
      </c>
      <c r="G1523" t="s">
        <v>126</v>
      </c>
      <c r="H1523" t="s">
        <v>126</v>
      </c>
      <c r="I1523" t="s">
        <v>126</v>
      </c>
      <c r="J1523" t="s">
        <v>126</v>
      </c>
      <c r="K1523" t="s">
        <v>126</v>
      </c>
      <c r="L1523" t="s">
        <v>126</v>
      </c>
      <c r="M1523" t="s">
        <v>2184</v>
      </c>
      <c r="N1523" t="b">
        <v>0</v>
      </c>
    </row>
    <row r="1524" spans="1:14">
      <c r="A1524">
        <v>102</v>
      </c>
      <c r="B1524">
        <v>20</v>
      </c>
      <c r="C1524" t="s">
        <v>126</v>
      </c>
      <c r="D1524" t="s">
        <v>741</v>
      </c>
      <c r="E1524" t="s">
        <v>126</v>
      </c>
      <c r="F1524">
        <v>0</v>
      </c>
      <c r="G1524" t="s">
        <v>126</v>
      </c>
      <c r="H1524" t="s">
        <v>126</v>
      </c>
      <c r="I1524" t="s">
        <v>126</v>
      </c>
      <c r="J1524" t="s">
        <v>126</v>
      </c>
      <c r="K1524" t="s">
        <v>126</v>
      </c>
      <c r="L1524" t="s">
        <v>126</v>
      </c>
      <c r="M1524" t="s">
        <v>2185</v>
      </c>
      <c r="N1524" t="b">
        <v>0</v>
      </c>
    </row>
    <row r="1525" spans="1:14">
      <c r="A1525">
        <v>102</v>
      </c>
      <c r="B1525">
        <v>21</v>
      </c>
      <c r="C1525" t="s">
        <v>126</v>
      </c>
      <c r="D1525" t="s">
        <v>741</v>
      </c>
      <c r="E1525" t="s">
        <v>126</v>
      </c>
      <c r="F1525">
        <v>0</v>
      </c>
      <c r="G1525" t="s">
        <v>126</v>
      </c>
      <c r="H1525" t="s">
        <v>126</v>
      </c>
      <c r="I1525" t="s">
        <v>126</v>
      </c>
      <c r="J1525" t="s">
        <v>126</v>
      </c>
      <c r="K1525" t="s">
        <v>126</v>
      </c>
      <c r="L1525" t="s">
        <v>126</v>
      </c>
      <c r="M1525" t="s">
        <v>2186</v>
      </c>
      <c r="N1525" t="b">
        <v>0</v>
      </c>
    </row>
    <row r="1526" spans="1:14">
      <c r="A1526">
        <v>102</v>
      </c>
      <c r="B1526">
        <v>22</v>
      </c>
      <c r="C1526" t="s">
        <v>126</v>
      </c>
      <c r="D1526" t="s">
        <v>741</v>
      </c>
      <c r="E1526" t="s">
        <v>126</v>
      </c>
      <c r="F1526">
        <v>0</v>
      </c>
      <c r="G1526" t="s">
        <v>126</v>
      </c>
      <c r="H1526" t="s">
        <v>126</v>
      </c>
      <c r="I1526" t="s">
        <v>126</v>
      </c>
      <c r="J1526" t="s">
        <v>126</v>
      </c>
      <c r="K1526" t="s">
        <v>126</v>
      </c>
      <c r="L1526" t="s">
        <v>126</v>
      </c>
      <c r="M1526" t="s">
        <v>2187</v>
      </c>
      <c r="N1526" t="b">
        <v>0</v>
      </c>
    </row>
    <row r="1527" spans="1:14">
      <c r="A1527">
        <v>102</v>
      </c>
      <c r="B1527">
        <v>23</v>
      </c>
      <c r="C1527" t="s">
        <v>126</v>
      </c>
      <c r="D1527" t="s">
        <v>741</v>
      </c>
      <c r="E1527" t="s">
        <v>126</v>
      </c>
      <c r="F1527">
        <v>0</v>
      </c>
      <c r="G1527" t="s">
        <v>126</v>
      </c>
      <c r="H1527" t="s">
        <v>126</v>
      </c>
      <c r="I1527" t="s">
        <v>126</v>
      </c>
      <c r="J1527" t="s">
        <v>126</v>
      </c>
      <c r="K1527" t="s">
        <v>126</v>
      </c>
      <c r="L1527" t="s">
        <v>126</v>
      </c>
      <c r="M1527" t="s">
        <v>2188</v>
      </c>
      <c r="N1527" t="b">
        <v>0</v>
      </c>
    </row>
    <row r="1528" spans="1:14">
      <c r="A1528">
        <v>102</v>
      </c>
      <c r="B1528">
        <v>24</v>
      </c>
      <c r="C1528" t="s">
        <v>126</v>
      </c>
      <c r="D1528" t="s">
        <v>741</v>
      </c>
      <c r="E1528" t="s">
        <v>126</v>
      </c>
      <c r="F1528">
        <v>0</v>
      </c>
      <c r="G1528" t="s">
        <v>126</v>
      </c>
      <c r="H1528" t="s">
        <v>126</v>
      </c>
      <c r="I1528" t="s">
        <v>126</v>
      </c>
      <c r="J1528" t="s">
        <v>126</v>
      </c>
      <c r="K1528" t="s">
        <v>126</v>
      </c>
      <c r="L1528" t="s">
        <v>126</v>
      </c>
      <c r="M1528" t="s">
        <v>2189</v>
      </c>
      <c r="N1528" t="b">
        <v>0</v>
      </c>
    </row>
    <row r="1529" spans="1:14">
      <c r="A1529">
        <v>102</v>
      </c>
      <c r="B1529">
        <v>25</v>
      </c>
      <c r="C1529" t="s">
        <v>126</v>
      </c>
      <c r="D1529" t="s">
        <v>741</v>
      </c>
      <c r="E1529" t="s">
        <v>126</v>
      </c>
      <c r="F1529">
        <v>0</v>
      </c>
      <c r="G1529" t="s">
        <v>126</v>
      </c>
      <c r="H1529" t="s">
        <v>126</v>
      </c>
      <c r="I1529" t="s">
        <v>126</v>
      </c>
      <c r="J1529" t="s">
        <v>126</v>
      </c>
      <c r="K1529" t="s">
        <v>126</v>
      </c>
      <c r="L1529" t="s">
        <v>126</v>
      </c>
      <c r="M1529" t="s">
        <v>2190</v>
      </c>
      <c r="N1529" t="b">
        <v>0</v>
      </c>
    </row>
    <row r="1530" spans="1:14">
      <c r="A1530">
        <v>102</v>
      </c>
      <c r="B1530">
        <v>26</v>
      </c>
      <c r="C1530" t="s">
        <v>126</v>
      </c>
      <c r="D1530" t="s">
        <v>741</v>
      </c>
      <c r="E1530" t="s">
        <v>126</v>
      </c>
      <c r="F1530">
        <v>0</v>
      </c>
      <c r="G1530" t="s">
        <v>126</v>
      </c>
      <c r="H1530" t="s">
        <v>126</v>
      </c>
      <c r="I1530" t="s">
        <v>126</v>
      </c>
      <c r="J1530" t="s">
        <v>126</v>
      </c>
      <c r="K1530" t="s">
        <v>126</v>
      </c>
      <c r="L1530" t="s">
        <v>126</v>
      </c>
      <c r="M1530" t="s">
        <v>2191</v>
      </c>
      <c r="N1530" t="b">
        <v>0</v>
      </c>
    </row>
    <row r="1531" spans="1:14">
      <c r="A1531">
        <v>103</v>
      </c>
      <c r="B1531">
        <v>0</v>
      </c>
      <c r="C1531" t="s">
        <v>186</v>
      </c>
      <c r="D1531" t="s">
        <v>724</v>
      </c>
      <c r="E1531" t="s">
        <v>65</v>
      </c>
      <c r="F1531">
        <v>50</v>
      </c>
      <c r="G1531" t="s">
        <v>126</v>
      </c>
      <c r="H1531" t="s">
        <v>126</v>
      </c>
      <c r="I1531" t="s">
        <v>65</v>
      </c>
      <c r="J1531" t="s">
        <v>126</v>
      </c>
      <c r="K1531" t="s">
        <v>126</v>
      </c>
      <c r="L1531" t="s">
        <v>126</v>
      </c>
      <c r="M1531" t="s">
        <v>2192</v>
      </c>
      <c r="N1531" t="b">
        <v>0</v>
      </c>
    </row>
    <row r="1532" spans="1:14">
      <c r="A1532">
        <v>103</v>
      </c>
      <c r="B1532">
        <v>1</v>
      </c>
      <c r="C1532" t="s">
        <v>329</v>
      </c>
      <c r="D1532" t="s">
        <v>724</v>
      </c>
      <c r="E1532" t="s">
        <v>77</v>
      </c>
      <c r="F1532">
        <v>40</v>
      </c>
      <c r="G1532" t="s">
        <v>126</v>
      </c>
      <c r="H1532" t="s">
        <v>126</v>
      </c>
      <c r="I1532" t="s">
        <v>77</v>
      </c>
      <c r="J1532" t="s">
        <v>126</v>
      </c>
      <c r="K1532" t="s">
        <v>126</v>
      </c>
      <c r="L1532" t="s">
        <v>126</v>
      </c>
      <c r="M1532" t="s">
        <v>2193</v>
      </c>
      <c r="N1532" t="b">
        <v>0</v>
      </c>
    </row>
    <row r="1533" spans="1:14">
      <c r="A1533">
        <v>103</v>
      </c>
      <c r="B1533">
        <v>2</v>
      </c>
      <c r="C1533" t="s">
        <v>158</v>
      </c>
      <c r="D1533" t="s">
        <v>724</v>
      </c>
      <c r="E1533" t="s">
        <v>83</v>
      </c>
      <c r="F1533">
        <v>40</v>
      </c>
      <c r="G1533" t="s">
        <v>126</v>
      </c>
      <c r="H1533" t="s">
        <v>126</v>
      </c>
      <c r="I1533" t="s">
        <v>83</v>
      </c>
      <c r="J1533" t="s">
        <v>126</v>
      </c>
      <c r="K1533" t="s">
        <v>126</v>
      </c>
      <c r="L1533" t="s">
        <v>126</v>
      </c>
      <c r="M1533" t="s">
        <v>2194</v>
      </c>
      <c r="N1533" t="b">
        <v>0</v>
      </c>
    </row>
    <row r="1534" spans="1:14">
      <c r="A1534">
        <v>103</v>
      </c>
      <c r="B1534">
        <v>3</v>
      </c>
      <c r="C1534" t="s">
        <v>187</v>
      </c>
      <c r="D1534" t="s">
        <v>724</v>
      </c>
      <c r="E1534" t="s">
        <v>93</v>
      </c>
      <c r="F1534">
        <v>50</v>
      </c>
      <c r="G1534" t="s">
        <v>126</v>
      </c>
      <c r="H1534" t="s">
        <v>126</v>
      </c>
      <c r="I1534" t="s">
        <v>93</v>
      </c>
      <c r="J1534" t="s">
        <v>126</v>
      </c>
      <c r="K1534" t="s">
        <v>126</v>
      </c>
      <c r="L1534" t="s">
        <v>126</v>
      </c>
      <c r="M1534" t="s">
        <v>2195</v>
      </c>
      <c r="N1534" t="b">
        <v>0</v>
      </c>
    </row>
    <row r="1535" spans="1:14">
      <c r="A1535">
        <v>103</v>
      </c>
      <c r="B1535">
        <v>4</v>
      </c>
      <c r="C1535" t="s">
        <v>188</v>
      </c>
      <c r="D1535" t="s">
        <v>724</v>
      </c>
      <c r="E1535" t="s">
        <v>99</v>
      </c>
      <c r="F1535">
        <v>50</v>
      </c>
      <c r="G1535" t="s">
        <v>126</v>
      </c>
      <c r="H1535" t="s">
        <v>126</v>
      </c>
      <c r="I1535" t="s">
        <v>99</v>
      </c>
      <c r="J1535" t="s">
        <v>126</v>
      </c>
      <c r="K1535" t="s">
        <v>126</v>
      </c>
      <c r="L1535" t="s">
        <v>126</v>
      </c>
      <c r="M1535" t="s">
        <v>2196</v>
      </c>
      <c r="N1535" t="b">
        <v>0</v>
      </c>
    </row>
    <row r="1536" spans="1:14">
      <c r="A1536">
        <v>103</v>
      </c>
      <c r="B1536">
        <v>5</v>
      </c>
      <c r="C1536" t="s">
        <v>189</v>
      </c>
      <c r="D1536" t="s">
        <v>724</v>
      </c>
      <c r="E1536" t="s">
        <v>101</v>
      </c>
      <c r="F1536">
        <v>50</v>
      </c>
      <c r="G1536" t="s">
        <v>126</v>
      </c>
      <c r="H1536" t="s">
        <v>126</v>
      </c>
      <c r="I1536" t="s">
        <v>101</v>
      </c>
      <c r="J1536" t="s">
        <v>126</v>
      </c>
      <c r="K1536" t="s">
        <v>126</v>
      </c>
      <c r="L1536" t="s">
        <v>126</v>
      </c>
      <c r="M1536" t="s">
        <v>2197</v>
      </c>
      <c r="N1536" t="b">
        <v>0</v>
      </c>
    </row>
    <row r="1537" spans="1:14">
      <c r="A1537">
        <v>103</v>
      </c>
      <c r="B1537">
        <v>6</v>
      </c>
      <c r="C1537" t="s">
        <v>436</v>
      </c>
      <c r="D1537" t="s">
        <v>724</v>
      </c>
      <c r="E1537" t="s">
        <v>297</v>
      </c>
      <c r="F1537">
        <v>50</v>
      </c>
      <c r="G1537" t="s">
        <v>126</v>
      </c>
      <c r="H1537" t="s">
        <v>1897</v>
      </c>
      <c r="I1537" t="s">
        <v>1898</v>
      </c>
      <c r="J1537" t="s">
        <v>126</v>
      </c>
      <c r="K1537" t="s">
        <v>762</v>
      </c>
      <c r="L1537" t="s">
        <v>763</v>
      </c>
      <c r="M1537" t="s">
        <v>2198</v>
      </c>
      <c r="N1537" t="b">
        <v>0</v>
      </c>
    </row>
    <row r="1538" spans="1:14">
      <c r="A1538">
        <v>103</v>
      </c>
      <c r="B1538">
        <v>7</v>
      </c>
      <c r="C1538" t="s">
        <v>190</v>
      </c>
      <c r="D1538" t="s">
        <v>724</v>
      </c>
      <c r="E1538" t="s">
        <v>109</v>
      </c>
      <c r="F1538">
        <v>30</v>
      </c>
      <c r="G1538" t="s">
        <v>126</v>
      </c>
      <c r="H1538" t="s">
        <v>126</v>
      </c>
      <c r="I1538" t="s">
        <v>109</v>
      </c>
      <c r="J1538" t="s">
        <v>126</v>
      </c>
      <c r="K1538" t="s">
        <v>126</v>
      </c>
      <c r="L1538" t="s">
        <v>126</v>
      </c>
      <c r="M1538" t="s">
        <v>2199</v>
      </c>
      <c r="N1538" t="b">
        <v>0</v>
      </c>
    </row>
    <row r="1539" spans="1:14">
      <c r="A1539">
        <v>103</v>
      </c>
      <c r="B1539">
        <v>8</v>
      </c>
      <c r="C1539" t="s">
        <v>198</v>
      </c>
      <c r="D1539" t="s">
        <v>724</v>
      </c>
      <c r="E1539" t="s">
        <v>113</v>
      </c>
      <c r="F1539">
        <v>50</v>
      </c>
      <c r="G1539" t="s">
        <v>126</v>
      </c>
      <c r="H1539" t="s">
        <v>126</v>
      </c>
      <c r="I1539" t="s">
        <v>113</v>
      </c>
      <c r="J1539" t="s">
        <v>126</v>
      </c>
      <c r="K1539" t="s">
        <v>126</v>
      </c>
      <c r="L1539" t="s">
        <v>126</v>
      </c>
      <c r="M1539" t="s">
        <v>2200</v>
      </c>
      <c r="N1539" t="b">
        <v>0</v>
      </c>
    </row>
    <row r="1540" spans="1:14">
      <c r="A1540">
        <v>103</v>
      </c>
      <c r="B1540">
        <v>9</v>
      </c>
      <c r="C1540" t="s">
        <v>191</v>
      </c>
      <c r="D1540" t="s">
        <v>724</v>
      </c>
      <c r="E1540" t="s">
        <v>115</v>
      </c>
      <c r="F1540">
        <v>60</v>
      </c>
      <c r="G1540" t="s">
        <v>126</v>
      </c>
      <c r="H1540" t="s">
        <v>126</v>
      </c>
      <c r="I1540" t="s">
        <v>115</v>
      </c>
      <c r="J1540" t="s">
        <v>126</v>
      </c>
      <c r="K1540" t="s">
        <v>126</v>
      </c>
      <c r="L1540" t="s">
        <v>126</v>
      </c>
      <c r="M1540" t="s">
        <v>2201</v>
      </c>
      <c r="N1540" t="b">
        <v>0</v>
      </c>
    </row>
    <row r="1541" spans="1:14">
      <c r="A1541">
        <v>103</v>
      </c>
      <c r="B1541">
        <v>10</v>
      </c>
      <c r="C1541" t="s">
        <v>192</v>
      </c>
      <c r="D1541" t="s">
        <v>724</v>
      </c>
      <c r="E1541" t="s">
        <v>61</v>
      </c>
      <c r="F1541">
        <v>30</v>
      </c>
      <c r="G1541" t="s">
        <v>126</v>
      </c>
      <c r="H1541" t="s">
        <v>126</v>
      </c>
      <c r="I1541" t="s">
        <v>61</v>
      </c>
      <c r="J1541" t="s">
        <v>126</v>
      </c>
      <c r="K1541" t="s">
        <v>126</v>
      </c>
      <c r="L1541" t="s">
        <v>126</v>
      </c>
      <c r="M1541" t="s">
        <v>2202</v>
      </c>
      <c r="N1541" t="b">
        <v>0</v>
      </c>
    </row>
    <row r="1542" spans="1:14">
      <c r="A1542">
        <v>103</v>
      </c>
      <c r="B1542">
        <v>11</v>
      </c>
      <c r="C1542" t="s">
        <v>193</v>
      </c>
      <c r="D1542" t="s">
        <v>724</v>
      </c>
      <c r="E1542" t="s">
        <v>78</v>
      </c>
      <c r="F1542">
        <v>50</v>
      </c>
      <c r="G1542" t="s">
        <v>126</v>
      </c>
      <c r="H1542" t="s">
        <v>126</v>
      </c>
      <c r="I1542" t="s">
        <v>78</v>
      </c>
      <c r="J1542" t="s">
        <v>126</v>
      </c>
      <c r="K1542" t="s">
        <v>126</v>
      </c>
      <c r="L1542" t="s">
        <v>126</v>
      </c>
      <c r="M1542" t="s">
        <v>2203</v>
      </c>
      <c r="N1542" t="b">
        <v>0</v>
      </c>
    </row>
    <row r="1543" spans="1:14">
      <c r="A1543">
        <v>103</v>
      </c>
      <c r="B1543">
        <v>12</v>
      </c>
      <c r="C1543" t="s">
        <v>194</v>
      </c>
      <c r="D1543" t="s">
        <v>724</v>
      </c>
      <c r="E1543" t="s">
        <v>98</v>
      </c>
      <c r="F1543">
        <v>50</v>
      </c>
      <c r="G1543" t="s">
        <v>126</v>
      </c>
      <c r="H1543" t="s">
        <v>126</v>
      </c>
      <c r="I1543" t="s">
        <v>98</v>
      </c>
      <c r="J1543" t="s">
        <v>126</v>
      </c>
      <c r="K1543" t="s">
        <v>126</v>
      </c>
      <c r="L1543" t="s">
        <v>126</v>
      </c>
      <c r="M1543" t="s">
        <v>2204</v>
      </c>
      <c r="N1543" t="b">
        <v>0</v>
      </c>
    </row>
    <row r="1544" spans="1:14">
      <c r="A1544">
        <v>103</v>
      </c>
      <c r="B1544">
        <v>13</v>
      </c>
      <c r="C1544" t="s">
        <v>292</v>
      </c>
      <c r="D1544" t="s">
        <v>724</v>
      </c>
      <c r="E1544" t="s">
        <v>107</v>
      </c>
      <c r="F1544">
        <v>60</v>
      </c>
      <c r="G1544" t="s">
        <v>126</v>
      </c>
      <c r="H1544" t="s">
        <v>126</v>
      </c>
      <c r="I1544" t="s">
        <v>107</v>
      </c>
      <c r="J1544" t="s">
        <v>126</v>
      </c>
      <c r="K1544" t="s">
        <v>126</v>
      </c>
      <c r="L1544" t="s">
        <v>126</v>
      </c>
      <c r="M1544" t="s">
        <v>2205</v>
      </c>
      <c r="N1544" t="b">
        <v>0</v>
      </c>
    </row>
    <row r="1545" spans="1:14">
      <c r="A1545">
        <v>103</v>
      </c>
      <c r="B1545">
        <v>14</v>
      </c>
      <c r="C1545" t="s">
        <v>195</v>
      </c>
      <c r="D1545" t="s">
        <v>724</v>
      </c>
      <c r="E1545" t="s">
        <v>108</v>
      </c>
      <c r="F1545">
        <v>60</v>
      </c>
      <c r="G1545" t="s">
        <v>126</v>
      </c>
      <c r="H1545" t="s">
        <v>126</v>
      </c>
      <c r="I1545" t="s">
        <v>108</v>
      </c>
      <c r="J1545" t="s">
        <v>126</v>
      </c>
      <c r="K1545" t="s">
        <v>126</v>
      </c>
      <c r="L1545" t="s">
        <v>126</v>
      </c>
      <c r="M1545" t="s">
        <v>2206</v>
      </c>
      <c r="N1545" t="b">
        <v>0</v>
      </c>
    </row>
    <row r="1546" spans="1:14">
      <c r="A1546">
        <v>103</v>
      </c>
      <c r="B1546">
        <v>15</v>
      </c>
      <c r="C1546" t="s">
        <v>126</v>
      </c>
      <c r="D1546" t="s">
        <v>724</v>
      </c>
      <c r="E1546" t="s">
        <v>126</v>
      </c>
      <c r="F1546">
        <v>0</v>
      </c>
      <c r="G1546" t="s">
        <v>126</v>
      </c>
      <c r="H1546" t="s">
        <v>126</v>
      </c>
      <c r="I1546" t="s">
        <v>126</v>
      </c>
      <c r="J1546" t="s">
        <v>126</v>
      </c>
      <c r="K1546" t="s">
        <v>126</v>
      </c>
      <c r="L1546" t="s">
        <v>126</v>
      </c>
      <c r="M1546" t="s">
        <v>2207</v>
      </c>
      <c r="N1546" t="b">
        <v>0</v>
      </c>
    </row>
    <row r="1547" spans="1:14">
      <c r="A1547">
        <v>103</v>
      </c>
      <c r="B1547">
        <v>16</v>
      </c>
      <c r="C1547" t="s">
        <v>126</v>
      </c>
      <c r="D1547" t="s">
        <v>741</v>
      </c>
      <c r="E1547" t="s">
        <v>126</v>
      </c>
      <c r="F1547">
        <v>0</v>
      </c>
      <c r="G1547" t="s">
        <v>126</v>
      </c>
      <c r="H1547" t="s">
        <v>126</v>
      </c>
      <c r="I1547" t="s">
        <v>126</v>
      </c>
      <c r="J1547" t="s">
        <v>126</v>
      </c>
      <c r="K1547" t="s">
        <v>126</v>
      </c>
      <c r="L1547" t="s">
        <v>126</v>
      </c>
      <c r="M1547" t="s">
        <v>2208</v>
      </c>
      <c r="N1547" t="b">
        <v>0</v>
      </c>
    </row>
    <row r="1548" spans="1:14">
      <c r="A1548">
        <v>103</v>
      </c>
      <c r="B1548">
        <v>17</v>
      </c>
      <c r="C1548" t="s">
        <v>126</v>
      </c>
      <c r="D1548" t="s">
        <v>741</v>
      </c>
      <c r="E1548" t="s">
        <v>126</v>
      </c>
      <c r="F1548">
        <v>0</v>
      </c>
      <c r="G1548" t="s">
        <v>126</v>
      </c>
      <c r="H1548" t="s">
        <v>126</v>
      </c>
      <c r="I1548" t="s">
        <v>126</v>
      </c>
      <c r="J1548" t="s">
        <v>126</v>
      </c>
      <c r="K1548" t="s">
        <v>126</v>
      </c>
      <c r="L1548" t="s">
        <v>126</v>
      </c>
      <c r="M1548" t="s">
        <v>2209</v>
      </c>
      <c r="N1548" t="b">
        <v>0</v>
      </c>
    </row>
    <row r="1549" spans="1:14">
      <c r="A1549">
        <v>103</v>
      </c>
      <c r="B1549">
        <v>18</v>
      </c>
      <c r="C1549" t="s">
        <v>126</v>
      </c>
      <c r="D1549" t="s">
        <v>741</v>
      </c>
      <c r="E1549" t="s">
        <v>126</v>
      </c>
      <c r="F1549">
        <v>0</v>
      </c>
      <c r="G1549" t="s">
        <v>126</v>
      </c>
      <c r="H1549" t="s">
        <v>126</v>
      </c>
      <c r="I1549" t="s">
        <v>126</v>
      </c>
      <c r="J1549" t="s">
        <v>126</v>
      </c>
      <c r="K1549" t="s">
        <v>126</v>
      </c>
      <c r="L1549" t="s">
        <v>126</v>
      </c>
      <c r="M1549" t="s">
        <v>2210</v>
      </c>
      <c r="N1549" t="b">
        <v>0</v>
      </c>
    </row>
    <row r="1550" spans="1:14">
      <c r="A1550">
        <v>103</v>
      </c>
      <c r="B1550">
        <v>19</v>
      </c>
      <c r="C1550" t="s">
        <v>126</v>
      </c>
      <c r="D1550" t="s">
        <v>741</v>
      </c>
      <c r="E1550" t="s">
        <v>126</v>
      </c>
      <c r="F1550">
        <v>0</v>
      </c>
      <c r="G1550" t="s">
        <v>126</v>
      </c>
      <c r="H1550" t="s">
        <v>126</v>
      </c>
      <c r="I1550" t="s">
        <v>126</v>
      </c>
      <c r="J1550" t="s">
        <v>126</v>
      </c>
      <c r="K1550" t="s">
        <v>126</v>
      </c>
      <c r="L1550" t="s">
        <v>126</v>
      </c>
      <c r="M1550" t="s">
        <v>2211</v>
      </c>
      <c r="N1550" t="b">
        <v>0</v>
      </c>
    </row>
    <row r="1551" spans="1:14">
      <c r="A1551">
        <v>103</v>
      </c>
      <c r="B1551">
        <v>20</v>
      </c>
      <c r="C1551" t="s">
        <v>126</v>
      </c>
      <c r="D1551" t="s">
        <v>741</v>
      </c>
      <c r="E1551" t="s">
        <v>126</v>
      </c>
      <c r="F1551">
        <v>0</v>
      </c>
      <c r="G1551" t="s">
        <v>126</v>
      </c>
      <c r="H1551" t="s">
        <v>126</v>
      </c>
      <c r="I1551" t="s">
        <v>126</v>
      </c>
      <c r="J1551" t="s">
        <v>126</v>
      </c>
      <c r="K1551" t="s">
        <v>126</v>
      </c>
      <c r="L1551" t="s">
        <v>126</v>
      </c>
      <c r="M1551" t="s">
        <v>2212</v>
      </c>
      <c r="N1551" t="b">
        <v>0</v>
      </c>
    </row>
    <row r="1552" spans="1:14">
      <c r="A1552">
        <v>103</v>
      </c>
      <c r="B1552">
        <v>21</v>
      </c>
      <c r="C1552" t="s">
        <v>126</v>
      </c>
      <c r="D1552" t="s">
        <v>741</v>
      </c>
      <c r="E1552" t="s">
        <v>126</v>
      </c>
      <c r="F1552">
        <v>0</v>
      </c>
      <c r="G1552" t="s">
        <v>126</v>
      </c>
      <c r="H1552" t="s">
        <v>126</v>
      </c>
      <c r="I1552" t="s">
        <v>126</v>
      </c>
      <c r="J1552" t="s">
        <v>126</v>
      </c>
      <c r="K1552" t="s">
        <v>126</v>
      </c>
      <c r="L1552" t="s">
        <v>126</v>
      </c>
      <c r="M1552" t="s">
        <v>2213</v>
      </c>
      <c r="N1552" t="b">
        <v>0</v>
      </c>
    </row>
    <row r="1553" spans="1:14">
      <c r="A1553">
        <v>103</v>
      </c>
      <c r="B1553">
        <v>22</v>
      </c>
      <c r="C1553" t="s">
        <v>126</v>
      </c>
      <c r="D1553" t="s">
        <v>741</v>
      </c>
      <c r="E1553" t="s">
        <v>126</v>
      </c>
      <c r="F1553">
        <v>0</v>
      </c>
      <c r="G1553" t="s">
        <v>126</v>
      </c>
      <c r="H1553" t="s">
        <v>126</v>
      </c>
      <c r="I1553" t="s">
        <v>126</v>
      </c>
      <c r="J1553" t="s">
        <v>126</v>
      </c>
      <c r="K1553" t="s">
        <v>126</v>
      </c>
      <c r="L1553" t="s">
        <v>126</v>
      </c>
      <c r="M1553" t="s">
        <v>2214</v>
      </c>
      <c r="N1553" t="b">
        <v>0</v>
      </c>
    </row>
    <row r="1554" spans="1:14">
      <c r="A1554">
        <v>103</v>
      </c>
      <c r="B1554">
        <v>23</v>
      </c>
      <c r="C1554" t="s">
        <v>126</v>
      </c>
      <c r="D1554" t="s">
        <v>741</v>
      </c>
      <c r="E1554" t="s">
        <v>126</v>
      </c>
      <c r="F1554">
        <v>0</v>
      </c>
      <c r="G1554" t="s">
        <v>126</v>
      </c>
      <c r="H1554" t="s">
        <v>126</v>
      </c>
      <c r="I1554" t="s">
        <v>126</v>
      </c>
      <c r="J1554" t="s">
        <v>126</v>
      </c>
      <c r="K1554" t="s">
        <v>126</v>
      </c>
      <c r="L1554" t="s">
        <v>126</v>
      </c>
      <c r="M1554" t="s">
        <v>2215</v>
      </c>
      <c r="N1554" t="b">
        <v>0</v>
      </c>
    </row>
    <row r="1555" spans="1:14">
      <c r="A1555">
        <v>103</v>
      </c>
      <c r="B1555">
        <v>24</v>
      </c>
      <c r="C1555" t="s">
        <v>126</v>
      </c>
      <c r="D1555" t="s">
        <v>741</v>
      </c>
      <c r="E1555" t="s">
        <v>126</v>
      </c>
      <c r="F1555">
        <v>0</v>
      </c>
      <c r="G1555" t="s">
        <v>126</v>
      </c>
      <c r="H1555" t="s">
        <v>126</v>
      </c>
      <c r="I1555" t="s">
        <v>126</v>
      </c>
      <c r="J1555" t="s">
        <v>126</v>
      </c>
      <c r="K1555" t="s">
        <v>126</v>
      </c>
      <c r="L1555" t="s">
        <v>126</v>
      </c>
      <c r="M1555" t="s">
        <v>2216</v>
      </c>
      <c r="N1555" t="b">
        <v>0</v>
      </c>
    </row>
    <row r="1556" spans="1:14">
      <c r="A1556">
        <v>103</v>
      </c>
      <c r="B1556">
        <v>25</v>
      </c>
      <c r="C1556" t="s">
        <v>126</v>
      </c>
      <c r="D1556" t="s">
        <v>741</v>
      </c>
      <c r="E1556" t="s">
        <v>126</v>
      </c>
      <c r="F1556">
        <v>0</v>
      </c>
      <c r="G1556" t="s">
        <v>126</v>
      </c>
      <c r="H1556" t="s">
        <v>126</v>
      </c>
      <c r="I1556" t="s">
        <v>126</v>
      </c>
      <c r="J1556" t="s">
        <v>126</v>
      </c>
      <c r="K1556" t="s">
        <v>126</v>
      </c>
      <c r="L1556" t="s">
        <v>126</v>
      </c>
      <c r="M1556" t="s">
        <v>2217</v>
      </c>
      <c r="N1556" t="b">
        <v>0</v>
      </c>
    </row>
    <row r="1557" spans="1:14">
      <c r="A1557">
        <v>103</v>
      </c>
      <c r="B1557">
        <v>26</v>
      </c>
      <c r="C1557" t="s">
        <v>126</v>
      </c>
      <c r="D1557" t="s">
        <v>741</v>
      </c>
      <c r="E1557" t="s">
        <v>126</v>
      </c>
      <c r="F1557">
        <v>0</v>
      </c>
      <c r="G1557" t="s">
        <v>126</v>
      </c>
      <c r="H1557" t="s">
        <v>126</v>
      </c>
      <c r="I1557" t="s">
        <v>126</v>
      </c>
      <c r="J1557" t="s">
        <v>126</v>
      </c>
      <c r="K1557" t="s">
        <v>126</v>
      </c>
      <c r="L1557" t="s">
        <v>126</v>
      </c>
      <c r="M1557" t="s">
        <v>2218</v>
      </c>
      <c r="N1557" t="b">
        <v>0</v>
      </c>
    </row>
    <row r="1558" spans="1:14">
      <c r="A1558">
        <v>104</v>
      </c>
      <c r="B1558">
        <v>0</v>
      </c>
      <c r="C1558" t="s">
        <v>216</v>
      </c>
      <c r="D1558" t="s">
        <v>724</v>
      </c>
      <c r="E1558" t="s">
        <v>65</v>
      </c>
      <c r="F1558">
        <v>60</v>
      </c>
      <c r="G1558" t="s">
        <v>126</v>
      </c>
      <c r="H1558" t="s">
        <v>126</v>
      </c>
      <c r="I1558" t="s">
        <v>65</v>
      </c>
      <c r="J1558" t="s">
        <v>126</v>
      </c>
      <c r="K1558" t="s">
        <v>126</v>
      </c>
      <c r="L1558" t="s">
        <v>126</v>
      </c>
      <c r="M1558" t="s">
        <v>2219</v>
      </c>
      <c r="N1558" t="b">
        <v>0</v>
      </c>
    </row>
    <row r="1559" spans="1:14">
      <c r="A1559">
        <v>104</v>
      </c>
      <c r="B1559">
        <v>1</v>
      </c>
      <c r="C1559" t="s">
        <v>226</v>
      </c>
      <c r="D1559" t="s">
        <v>724</v>
      </c>
      <c r="E1559" t="s">
        <v>77</v>
      </c>
      <c r="F1559">
        <v>50</v>
      </c>
      <c r="G1559" t="s">
        <v>126</v>
      </c>
      <c r="H1559" t="s">
        <v>126</v>
      </c>
      <c r="I1559" t="s">
        <v>77</v>
      </c>
      <c r="J1559" t="s">
        <v>126</v>
      </c>
      <c r="K1559" t="s">
        <v>126</v>
      </c>
      <c r="L1559" t="s">
        <v>126</v>
      </c>
      <c r="M1559" t="s">
        <v>2220</v>
      </c>
      <c r="N1559" t="b">
        <v>0</v>
      </c>
    </row>
    <row r="1560" spans="1:14">
      <c r="A1560">
        <v>104</v>
      </c>
      <c r="B1560">
        <v>2</v>
      </c>
      <c r="C1560" t="s">
        <v>268</v>
      </c>
      <c r="D1560" t="s">
        <v>724</v>
      </c>
      <c r="E1560" t="s">
        <v>83</v>
      </c>
      <c r="F1560">
        <v>30</v>
      </c>
      <c r="G1560" t="s">
        <v>126</v>
      </c>
      <c r="H1560" t="s">
        <v>126</v>
      </c>
      <c r="I1560" t="s">
        <v>83</v>
      </c>
      <c r="J1560" t="s">
        <v>126</v>
      </c>
      <c r="K1560" t="s">
        <v>126</v>
      </c>
      <c r="L1560" t="s">
        <v>126</v>
      </c>
      <c r="M1560" t="s">
        <v>2221</v>
      </c>
      <c r="N1560" t="b">
        <v>0</v>
      </c>
    </row>
    <row r="1561" spans="1:14">
      <c r="A1561">
        <v>104</v>
      </c>
      <c r="B1561">
        <v>3</v>
      </c>
      <c r="C1561" t="s">
        <v>239</v>
      </c>
      <c r="D1561" t="s">
        <v>724</v>
      </c>
      <c r="E1561" t="s">
        <v>544</v>
      </c>
      <c r="F1561">
        <v>40</v>
      </c>
      <c r="G1561" t="s">
        <v>126</v>
      </c>
      <c r="H1561" t="s">
        <v>557</v>
      </c>
      <c r="I1561" t="s">
        <v>486</v>
      </c>
      <c r="J1561" t="s">
        <v>126</v>
      </c>
      <c r="K1561" t="s">
        <v>792</v>
      </c>
      <c r="L1561" t="s">
        <v>793</v>
      </c>
      <c r="M1561" t="s">
        <v>2222</v>
      </c>
      <c r="N1561" t="b">
        <v>0</v>
      </c>
    </row>
    <row r="1562" spans="1:14">
      <c r="A1562">
        <v>104</v>
      </c>
      <c r="B1562">
        <v>4</v>
      </c>
      <c r="C1562" t="s">
        <v>248</v>
      </c>
      <c r="D1562" t="s">
        <v>724</v>
      </c>
      <c r="E1562" t="s">
        <v>93</v>
      </c>
      <c r="F1562">
        <v>40</v>
      </c>
      <c r="G1562" t="s">
        <v>126</v>
      </c>
      <c r="H1562" t="s">
        <v>126</v>
      </c>
      <c r="I1562" t="s">
        <v>93</v>
      </c>
      <c r="J1562" t="s">
        <v>126</v>
      </c>
      <c r="K1562" t="s">
        <v>126</v>
      </c>
      <c r="L1562" t="s">
        <v>126</v>
      </c>
      <c r="M1562" t="s">
        <v>2223</v>
      </c>
      <c r="N1562" t="b">
        <v>0</v>
      </c>
    </row>
    <row r="1563" spans="1:14">
      <c r="A1563">
        <v>104</v>
      </c>
      <c r="B1563">
        <v>5</v>
      </c>
      <c r="C1563" t="s">
        <v>229</v>
      </c>
      <c r="D1563" t="s">
        <v>724</v>
      </c>
      <c r="E1563" t="s">
        <v>101</v>
      </c>
      <c r="F1563">
        <v>40</v>
      </c>
      <c r="G1563" t="s">
        <v>126</v>
      </c>
      <c r="H1563" t="s">
        <v>126</v>
      </c>
      <c r="I1563" t="s">
        <v>101</v>
      </c>
      <c r="J1563" t="s">
        <v>126</v>
      </c>
      <c r="K1563" t="s">
        <v>126</v>
      </c>
      <c r="L1563" t="s">
        <v>126</v>
      </c>
      <c r="M1563" t="s">
        <v>2224</v>
      </c>
      <c r="N1563" t="b">
        <v>0</v>
      </c>
    </row>
    <row r="1564" spans="1:14">
      <c r="A1564">
        <v>104</v>
      </c>
      <c r="B1564">
        <v>6</v>
      </c>
      <c r="C1564" t="s">
        <v>198</v>
      </c>
      <c r="D1564" t="s">
        <v>724</v>
      </c>
      <c r="E1564" t="s">
        <v>113</v>
      </c>
      <c r="F1564">
        <v>50</v>
      </c>
      <c r="G1564" t="s">
        <v>126</v>
      </c>
      <c r="H1564" t="s">
        <v>126</v>
      </c>
      <c r="I1564" t="s">
        <v>113</v>
      </c>
      <c r="J1564" t="s">
        <v>126</v>
      </c>
      <c r="K1564" t="s">
        <v>126</v>
      </c>
      <c r="L1564" t="s">
        <v>126</v>
      </c>
      <c r="M1564" t="s">
        <v>2225</v>
      </c>
      <c r="N1564" t="b">
        <v>0</v>
      </c>
    </row>
    <row r="1565" spans="1:14">
      <c r="A1565">
        <v>104</v>
      </c>
      <c r="B1565">
        <v>7</v>
      </c>
      <c r="C1565" t="s">
        <v>182</v>
      </c>
      <c r="D1565" t="s">
        <v>724</v>
      </c>
      <c r="E1565" t="s">
        <v>61</v>
      </c>
      <c r="F1565">
        <v>40</v>
      </c>
      <c r="G1565" t="s">
        <v>126</v>
      </c>
      <c r="H1565" t="s">
        <v>126</v>
      </c>
      <c r="I1565" t="s">
        <v>61</v>
      </c>
      <c r="J1565" t="s">
        <v>126</v>
      </c>
      <c r="K1565" t="s">
        <v>126</v>
      </c>
      <c r="L1565" t="s">
        <v>126</v>
      </c>
      <c r="M1565" t="s">
        <v>2226</v>
      </c>
      <c r="N1565" t="b">
        <v>0</v>
      </c>
    </row>
    <row r="1566" spans="1:14">
      <c r="A1566">
        <v>104</v>
      </c>
      <c r="B1566">
        <v>8</v>
      </c>
      <c r="C1566" t="s">
        <v>382</v>
      </c>
      <c r="D1566" t="s">
        <v>724</v>
      </c>
      <c r="E1566" t="s">
        <v>331</v>
      </c>
      <c r="F1566">
        <v>50</v>
      </c>
      <c r="G1566" t="s">
        <v>126</v>
      </c>
      <c r="H1566" t="s">
        <v>558</v>
      </c>
      <c r="I1566" t="s">
        <v>477</v>
      </c>
      <c r="J1566" t="s">
        <v>126</v>
      </c>
      <c r="K1566" t="s">
        <v>921</v>
      </c>
      <c r="L1566" t="s">
        <v>922</v>
      </c>
      <c r="M1566" t="s">
        <v>2227</v>
      </c>
      <c r="N1566" t="b">
        <v>0</v>
      </c>
    </row>
    <row r="1567" spans="1:14">
      <c r="A1567">
        <v>104</v>
      </c>
      <c r="B1567">
        <v>9</v>
      </c>
      <c r="C1567" t="s">
        <v>167</v>
      </c>
      <c r="D1567" t="s">
        <v>724</v>
      </c>
      <c r="E1567" t="s">
        <v>74</v>
      </c>
      <c r="F1567">
        <v>50</v>
      </c>
      <c r="G1567" t="s">
        <v>126</v>
      </c>
      <c r="H1567" t="s">
        <v>126</v>
      </c>
      <c r="I1567" t="s">
        <v>74</v>
      </c>
      <c r="J1567" t="s">
        <v>126</v>
      </c>
      <c r="K1567" t="s">
        <v>126</v>
      </c>
      <c r="L1567" t="s">
        <v>126</v>
      </c>
      <c r="M1567" t="s">
        <v>2228</v>
      </c>
      <c r="N1567" t="b">
        <v>0</v>
      </c>
    </row>
    <row r="1568" spans="1:14">
      <c r="A1568">
        <v>104</v>
      </c>
      <c r="B1568">
        <v>10</v>
      </c>
      <c r="C1568" t="s">
        <v>490</v>
      </c>
      <c r="D1568" t="s">
        <v>724</v>
      </c>
      <c r="E1568" t="s">
        <v>358</v>
      </c>
      <c r="F1568">
        <v>60</v>
      </c>
      <c r="G1568" t="s">
        <v>126</v>
      </c>
      <c r="H1568" t="s">
        <v>563</v>
      </c>
      <c r="I1568" t="s">
        <v>1623</v>
      </c>
      <c r="J1568" t="s">
        <v>126</v>
      </c>
      <c r="K1568" t="s">
        <v>1164</v>
      </c>
      <c r="L1568" t="s">
        <v>1165</v>
      </c>
      <c r="M1568" t="s">
        <v>2229</v>
      </c>
      <c r="N1568" t="b">
        <v>0</v>
      </c>
    </row>
    <row r="1569" spans="1:14">
      <c r="A1569">
        <v>104</v>
      </c>
      <c r="B1569">
        <v>11</v>
      </c>
      <c r="C1569" t="s">
        <v>270</v>
      </c>
      <c r="D1569" t="s">
        <v>724</v>
      </c>
      <c r="E1569" t="s">
        <v>545</v>
      </c>
      <c r="F1569">
        <v>40</v>
      </c>
      <c r="G1569" t="s">
        <v>126</v>
      </c>
      <c r="H1569" t="s">
        <v>583</v>
      </c>
      <c r="I1569" t="s">
        <v>496</v>
      </c>
      <c r="J1569" t="s">
        <v>126</v>
      </c>
      <c r="K1569" t="s">
        <v>801</v>
      </c>
      <c r="L1569" t="s">
        <v>802</v>
      </c>
      <c r="M1569" t="s">
        <v>2230</v>
      </c>
      <c r="N1569" t="b">
        <v>0</v>
      </c>
    </row>
    <row r="1570" spans="1:14">
      <c r="A1570">
        <v>104</v>
      </c>
      <c r="B1570">
        <v>12</v>
      </c>
      <c r="C1570" t="s">
        <v>491</v>
      </c>
      <c r="D1570" t="s">
        <v>724</v>
      </c>
      <c r="E1570" t="s">
        <v>98</v>
      </c>
      <c r="F1570">
        <v>30</v>
      </c>
      <c r="G1570" t="s">
        <v>126</v>
      </c>
      <c r="H1570" t="s">
        <v>126</v>
      </c>
      <c r="I1570" t="s">
        <v>98</v>
      </c>
      <c r="J1570" t="s">
        <v>126</v>
      </c>
      <c r="K1570" t="s">
        <v>126</v>
      </c>
      <c r="L1570" t="s">
        <v>126</v>
      </c>
      <c r="M1570" t="s">
        <v>2231</v>
      </c>
      <c r="N1570" t="b">
        <v>0</v>
      </c>
    </row>
    <row r="1571" spans="1:14">
      <c r="A1571">
        <v>104</v>
      </c>
      <c r="B1571">
        <v>13</v>
      </c>
      <c r="C1571" t="s">
        <v>292</v>
      </c>
      <c r="D1571" t="s">
        <v>724</v>
      </c>
      <c r="E1571" t="s">
        <v>107</v>
      </c>
      <c r="F1571">
        <v>60</v>
      </c>
      <c r="G1571" t="s">
        <v>126</v>
      </c>
      <c r="H1571" t="s">
        <v>126</v>
      </c>
      <c r="I1571" t="s">
        <v>107</v>
      </c>
      <c r="J1571" t="s">
        <v>126</v>
      </c>
      <c r="K1571" t="s">
        <v>126</v>
      </c>
      <c r="L1571" t="s">
        <v>126</v>
      </c>
      <c r="M1571" t="s">
        <v>2232</v>
      </c>
      <c r="N1571" t="b">
        <v>0</v>
      </c>
    </row>
    <row r="1572" spans="1:14">
      <c r="A1572">
        <v>104</v>
      </c>
      <c r="B1572">
        <v>14</v>
      </c>
      <c r="C1572" t="s">
        <v>126</v>
      </c>
      <c r="D1572" t="s">
        <v>724</v>
      </c>
      <c r="E1572" t="s">
        <v>126</v>
      </c>
      <c r="F1572">
        <v>0</v>
      </c>
      <c r="G1572" t="s">
        <v>126</v>
      </c>
      <c r="H1572" t="s">
        <v>126</v>
      </c>
      <c r="I1572" t="s">
        <v>126</v>
      </c>
      <c r="J1572" t="s">
        <v>126</v>
      </c>
      <c r="K1572" t="s">
        <v>126</v>
      </c>
      <c r="L1572" t="s">
        <v>126</v>
      </c>
      <c r="M1572" t="s">
        <v>2233</v>
      </c>
      <c r="N1572" t="b">
        <v>0</v>
      </c>
    </row>
    <row r="1573" spans="1:14">
      <c r="A1573">
        <v>104</v>
      </c>
      <c r="B1573">
        <v>15</v>
      </c>
      <c r="C1573" t="s">
        <v>126</v>
      </c>
      <c r="D1573" t="s">
        <v>724</v>
      </c>
      <c r="E1573" t="s">
        <v>126</v>
      </c>
      <c r="F1573">
        <v>0</v>
      </c>
      <c r="G1573" t="s">
        <v>126</v>
      </c>
      <c r="H1573" t="s">
        <v>126</v>
      </c>
      <c r="I1573" t="s">
        <v>126</v>
      </c>
      <c r="J1573" t="s">
        <v>126</v>
      </c>
      <c r="K1573" t="s">
        <v>126</v>
      </c>
      <c r="L1573" t="s">
        <v>126</v>
      </c>
      <c r="M1573" t="s">
        <v>2234</v>
      </c>
      <c r="N1573" t="b">
        <v>0</v>
      </c>
    </row>
    <row r="1574" spans="1:14">
      <c r="A1574">
        <v>104</v>
      </c>
      <c r="B1574">
        <v>16</v>
      </c>
      <c r="C1574" t="s">
        <v>126</v>
      </c>
      <c r="D1574" t="s">
        <v>741</v>
      </c>
      <c r="E1574" t="s">
        <v>126</v>
      </c>
      <c r="F1574">
        <v>0</v>
      </c>
      <c r="G1574" t="s">
        <v>126</v>
      </c>
      <c r="H1574" t="s">
        <v>126</v>
      </c>
      <c r="I1574" t="s">
        <v>126</v>
      </c>
      <c r="J1574" t="s">
        <v>126</v>
      </c>
      <c r="K1574" t="s">
        <v>126</v>
      </c>
      <c r="L1574" t="s">
        <v>126</v>
      </c>
      <c r="M1574" t="s">
        <v>2235</v>
      </c>
      <c r="N1574" t="b">
        <v>0</v>
      </c>
    </row>
    <row r="1575" spans="1:14">
      <c r="A1575">
        <v>104</v>
      </c>
      <c r="B1575">
        <v>17</v>
      </c>
      <c r="C1575" t="s">
        <v>126</v>
      </c>
      <c r="D1575" t="s">
        <v>741</v>
      </c>
      <c r="E1575" t="s">
        <v>126</v>
      </c>
      <c r="F1575">
        <v>0</v>
      </c>
      <c r="G1575" t="s">
        <v>126</v>
      </c>
      <c r="H1575" t="s">
        <v>126</v>
      </c>
      <c r="I1575" t="s">
        <v>126</v>
      </c>
      <c r="J1575" t="s">
        <v>126</v>
      </c>
      <c r="K1575" t="s">
        <v>126</v>
      </c>
      <c r="L1575" t="s">
        <v>126</v>
      </c>
      <c r="M1575" t="s">
        <v>2236</v>
      </c>
      <c r="N1575" t="b">
        <v>0</v>
      </c>
    </row>
    <row r="1576" spans="1:14">
      <c r="A1576">
        <v>104</v>
      </c>
      <c r="B1576">
        <v>18</v>
      </c>
      <c r="C1576" t="s">
        <v>126</v>
      </c>
      <c r="D1576" t="s">
        <v>741</v>
      </c>
      <c r="E1576" t="s">
        <v>126</v>
      </c>
      <c r="F1576">
        <v>0</v>
      </c>
      <c r="G1576" t="s">
        <v>126</v>
      </c>
      <c r="H1576" t="s">
        <v>126</v>
      </c>
      <c r="I1576" t="s">
        <v>126</v>
      </c>
      <c r="J1576" t="s">
        <v>126</v>
      </c>
      <c r="K1576" t="s">
        <v>126</v>
      </c>
      <c r="L1576" t="s">
        <v>126</v>
      </c>
      <c r="M1576" t="s">
        <v>2237</v>
      </c>
      <c r="N1576" t="b">
        <v>0</v>
      </c>
    </row>
    <row r="1577" spans="1:14">
      <c r="A1577">
        <v>104</v>
      </c>
      <c r="B1577">
        <v>19</v>
      </c>
      <c r="C1577" t="s">
        <v>126</v>
      </c>
      <c r="D1577" t="s">
        <v>741</v>
      </c>
      <c r="E1577" t="s">
        <v>126</v>
      </c>
      <c r="F1577">
        <v>0</v>
      </c>
      <c r="G1577" t="s">
        <v>126</v>
      </c>
      <c r="H1577" t="s">
        <v>126</v>
      </c>
      <c r="I1577" t="s">
        <v>126</v>
      </c>
      <c r="J1577" t="s">
        <v>126</v>
      </c>
      <c r="K1577" t="s">
        <v>126</v>
      </c>
      <c r="L1577" t="s">
        <v>126</v>
      </c>
      <c r="M1577" t="s">
        <v>2238</v>
      </c>
      <c r="N1577" t="b">
        <v>0</v>
      </c>
    </row>
    <row r="1578" spans="1:14">
      <c r="A1578">
        <v>104</v>
      </c>
      <c r="B1578">
        <v>20</v>
      </c>
      <c r="C1578" t="s">
        <v>126</v>
      </c>
      <c r="D1578" t="s">
        <v>741</v>
      </c>
      <c r="E1578" t="s">
        <v>126</v>
      </c>
      <c r="F1578">
        <v>0</v>
      </c>
      <c r="G1578" t="s">
        <v>126</v>
      </c>
      <c r="H1578" t="s">
        <v>126</v>
      </c>
      <c r="I1578" t="s">
        <v>126</v>
      </c>
      <c r="J1578" t="s">
        <v>126</v>
      </c>
      <c r="K1578" t="s">
        <v>126</v>
      </c>
      <c r="L1578" t="s">
        <v>126</v>
      </c>
      <c r="M1578" t="s">
        <v>2239</v>
      </c>
      <c r="N1578" t="b">
        <v>0</v>
      </c>
    </row>
    <row r="1579" spans="1:14">
      <c r="A1579">
        <v>104</v>
      </c>
      <c r="B1579">
        <v>21</v>
      </c>
      <c r="C1579" t="s">
        <v>126</v>
      </c>
      <c r="D1579" t="s">
        <v>741</v>
      </c>
      <c r="E1579" t="s">
        <v>126</v>
      </c>
      <c r="F1579">
        <v>0</v>
      </c>
      <c r="G1579" t="s">
        <v>126</v>
      </c>
      <c r="H1579" t="s">
        <v>126</v>
      </c>
      <c r="I1579" t="s">
        <v>126</v>
      </c>
      <c r="J1579" t="s">
        <v>126</v>
      </c>
      <c r="K1579" t="s">
        <v>126</v>
      </c>
      <c r="L1579" t="s">
        <v>126</v>
      </c>
      <c r="M1579" t="s">
        <v>2240</v>
      </c>
      <c r="N1579" t="b">
        <v>0</v>
      </c>
    </row>
    <row r="1580" spans="1:14">
      <c r="A1580">
        <v>104</v>
      </c>
      <c r="B1580">
        <v>22</v>
      </c>
      <c r="C1580" t="s">
        <v>126</v>
      </c>
      <c r="D1580" t="s">
        <v>741</v>
      </c>
      <c r="E1580" t="s">
        <v>126</v>
      </c>
      <c r="F1580">
        <v>0</v>
      </c>
      <c r="G1580" t="s">
        <v>126</v>
      </c>
      <c r="H1580" t="s">
        <v>126</v>
      </c>
      <c r="I1580" t="s">
        <v>126</v>
      </c>
      <c r="J1580" t="s">
        <v>126</v>
      </c>
      <c r="K1580" t="s">
        <v>126</v>
      </c>
      <c r="L1580" t="s">
        <v>126</v>
      </c>
      <c r="M1580" t="s">
        <v>2241</v>
      </c>
      <c r="N1580" t="b">
        <v>0</v>
      </c>
    </row>
    <row r="1581" spans="1:14">
      <c r="A1581">
        <v>104</v>
      </c>
      <c r="B1581">
        <v>23</v>
      </c>
      <c r="C1581" t="s">
        <v>126</v>
      </c>
      <c r="D1581" t="s">
        <v>741</v>
      </c>
      <c r="E1581" t="s">
        <v>126</v>
      </c>
      <c r="F1581">
        <v>0</v>
      </c>
      <c r="G1581" t="s">
        <v>126</v>
      </c>
      <c r="H1581" t="s">
        <v>126</v>
      </c>
      <c r="I1581" t="s">
        <v>126</v>
      </c>
      <c r="J1581" t="s">
        <v>126</v>
      </c>
      <c r="K1581" t="s">
        <v>126</v>
      </c>
      <c r="L1581" t="s">
        <v>126</v>
      </c>
      <c r="M1581" t="s">
        <v>2242</v>
      </c>
      <c r="N1581" t="b">
        <v>0</v>
      </c>
    </row>
    <row r="1582" spans="1:14">
      <c r="A1582">
        <v>104</v>
      </c>
      <c r="B1582">
        <v>24</v>
      </c>
      <c r="C1582" t="s">
        <v>126</v>
      </c>
      <c r="D1582" t="s">
        <v>741</v>
      </c>
      <c r="E1582" t="s">
        <v>126</v>
      </c>
      <c r="F1582">
        <v>0</v>
      </c>
      <c r="G1582" t="s">
        <v>126</v>
      </c>
      <c r="H1582" t="s">
        <v>126</v>
      </c>
      <c r="I1582" t="s">
        <v>126</v>
      </c>
      <c r="J1582" t="s">
        <v>126</v>
      </c>
      <c r="K1582" t="s">
        <v>126</v>
      </c>
      <c r="L1582" t="s">
        <v>126</v>
      </c>
      <c r="M1582" t="s">
        <v>2243</v>
      </c>
      <c r="N1582" t="b">
        <v>0</v>
      </c>
    </row>
    <row r="1583" spans="1:14">
      <c r="A1583">
        <v>104</v>
      </c>
      <c r="B1583">
        <v>25</v>
      </c>
      <c r="C1583" t="s">
        <v>126</v>
      </c>
      <c r="D1583" t="s">
        <v>741</v>
      </c>
      <c r="E1583" t="s">
        <v>126</v>
      </c>
      <c r="F1583">
        <v>0</v>
      </c>
      <c r="G1583" t="s">
        <v>126</v>
      </c>
      <c r="H1583" t="s">
        <v>126</v>
      </c>
      <c r="I1583" t="s">
        <v>126</v>
      </c>
      <c r="J1583" t="s">
        <v>126</v>
      </c>
      <c r="K1583" t="s">
        <v>126</v>
      </c>
      <c r="L1583" t="s">
        <v>126</v>
      </c>
      <c r="M1583" t="s">
        <v>2244</v>
      </c>
      <c r="N1583" t="b">
        <v>0</v>
      </c>
    </row>
    <row r="1584" spans="1:14">
      <c r="A1584">
        <v>104</v>
      </c>
      <c r="B1584">
        <v>26</v>
      </c>
      <c r="C1584" t="s">
        <v>126</v>
      </c>
      <c r="D1584" t="s">
        <v>741</v>
      </c>
      <c r="E1584" t="s">
        <v>126</v>
      </c>
      <c r="F1584">
        <v>0</v>
      </c>
      <c r="G1584" t="s">
        <v>126</v>
      </c>
      <c r="H1584" t="s">
        <v>126</v>
      </c>
      <c r="I1584" t="s">
        <v>126</v>
      </c>
      <c r="J1584" t="s">
        <v>126</v>
      </c>
      <c r="K1584" t="s">
        <v>126</v>
      </c>
      <c r="L1584" t="s">
        <v>126</v>
      </c>
      <c r="M1584" t="s">
        <v>2245</v>
      </c>
      <c r="N1584" t="b">
        <v>0</v>
      </c>
    </row>
    <row r="1585" spans="1:14">
      <c r="A1585">
        <v>105</v>
      </c>
      <c r="B1585">
        <v>0</v>
      </c>
      <c r="C1585" t="s">
        <v>216</v>
      </c>
      <c r="D1585" t="s">
        <v>724</v>
      </c>
      <c r="E1585" t="s">
        <v>65</v>
      </c>
      <c r="F1585">
        <v>60</v>
      </c>
      <c r="G1585" t="s">
        <v>126</v>
      </c>
      <c r="H1585" t="s">
        <v>126</v>
      </c>
      <c r="I1585" t="s">
        <v>65</v>
      </c>
      <c r="J1585" t="s">
        <v>126</v>
      </c>
      <c r="K1585" t="s">
        <v>126</v>
      </c>
      <c r="L1585" t="s">
        <v>126</v>
      </c>
      <c r="M1585" t="s">
        <v>2246</v>
      </c>
      <c r="N1585" t="b">
        <v>0</v>
      </c>
    </row>
    <row r="1586" spans="1:14">
      <c r="A1586">
        <v>105</v>
      </c>
      <c r="B1586">
        <v>1</v>
      </c>
      <c r="C1586" t="s">
        <v>217</v>
      </c>
      <c r="D1586" t="s">
        <v>724</v>
      </c>
      <c r="E1586" t="s">
        <v>77</v>
      </c>
      <c r="F1586">
        <v>60</v>
      </c>
      <c r="G1586" t="s">
        <v>126</v>
      </c>
      <c r="H1586" t="s">
        <v>126</v>
      </c>
      <c r="I1586" t="s">
        <v>77</v>
      </c>
      <c r="J1586" t="s">
        <v>126</v>
      </c>
      <c r="K1586" t="s">
        <v>126</v>
      </c>
      <c r="L1586" t="s">
        <v>126</v>
      </c>
      <c r="M1586" t="s">
        <v>2247</v>
      </c>
      <c r="N1586" t="b">
        <v>0</v>
      </c>
    </row>
    <row r="1587" spans="1:14">
      <c r="A1587">
        <v>105</v>
      </c>
      <c r="B1587">
        <v>2</v>
      </c>
      <c r="C1587" t="s">
        <v>218</v>
      </c>
      <c r="D1587" t="s">
        <v>724</v>
      </c>
      <c r="E1587" t="s">
        <v>95</v>
      </c>
      <c r="F1587">
        <v>40</v>
      </c>
      <c r="G1587" t="s">
        <v>126</v>
      </c>
      <c r="H1587" t="s">
        <v>126</v>
      </c>
      <c r="I1587" t="s">
        <v>95</v>
      </c>
      <c r="J1587" t="s">
        <v>126</v>
      </c>
      <c r="K1587" t="s">
        <v>126</v>
      </c>
      <c r="L1587" t="s">
        <v>126</v>
      </c>
      <c r="M1587" t="s">
        <v>2248</v>
      </c>
      <c r="N1587" t="b">
        <v>0</v>
      </c>
    </row>
    <row r="1588" spans="1:14">
      <c r="A1588">
        <v>105</v>
      </c>
      <c r="B1588">
        <v>3</v>
      </c>
      <c r="C1588" t="s">
        <v>456</v>
      </c>
      <c r="D1588" t="s">
        <v>724</v>
      </c>
      <c r="E1588" t="s">
        <v>97</v>
      </c>
      <c r="F1588">
        <v>60</v>
      </c>
      <c r="G1588" t="s">
        <v>126</v>
      </c>
      <c r="H1588" t="s">
        <v>126</v>
      </c>
      <c r="I1588" t="s">
        <v>97</v>
      </c>
      <c r="J1588" t="s">
        <v>126</v>
      </c>
      <c r="K1588" t="s">
        <v>126</v>
      </c>
      <c r="L1588" t="s">
        <v>126</v>
      </c>
      <c r="M1588" t="s">
        <v>2249</v>
      </c>
      <c r="N1588" t="b">
        <v>0</v>
      </c>
    </row>
    <row r="1589" spans="1:14">
      <c r="A1589">
        <v>105</v>
      </c>
      <c r="B1589">
        <v>4</v>
      </c>
      <c r="C1589" t="s">
        <v>219</v>
      </c>
      <c r="D1589" t="s">
        <v>724</v>
      </c>
      <c r="E1589" t="s">
        <v>101</v>
      </c>
      <c r="F1589">
        <v>60</v>
      </c>
      <c r="G1589" t="s">
        <v>126</v>
      </c>
      <c r="H1589" t="s">
        <v>126</v>
      </c>
      <c r="I1589" t="s">
        <v>101</v>
      </c>
      <c r="J1589" t="s">
        <v>126</v>
      </c>
      <c r="K1589" t="s">
        <v>126</v>
      </c>
      <c r="L1589" t="s">
        <v>126</v>
      </c>
      <c r="M1589" t="s">
        <v>2250</v>
      </c>
      <c r="N1589" t="b">
        <v>0</v>
      </c>
    </row>
    <row r="1590" spans="1:14">
      <c r="A1590">
        <v>105</v>
      </c>
      <c r="B1590">
        <v>5</v>
      </c>
      <c r="C1590" t="s">
        <v>198</v>
      </c>
      <c r="D1590" t="s">
        <v>724</v>
      </c>
      <c r="E1590" t="s">
        <v>113</v>
      </c>
      <c r="F1590">
        <v>50</v>
      </c>
      <c r="G1590" t="s">
        <v>126</v>
      </c>
      <c r="H1590" t="s">
        <v>126</v>
      </c>
      <c r="I1590" t="s">
        <v>113</v>
      </c>
      <c r="J1590" t="s">
        <v>126</v>
      </c>
      <c r="K1590" t="s">
        <v>126</v>
      </c>
      <c r="L1590" t="s">
        <v>126</v>
      </c>
      <c r="M1590" t="s">
        <v>2251</v>
      </c>
      <c r="N1590" t="b">
        <v>0</v>
      </c>
    </row>
    <row r="1591" spans="1:14">
      <c r="A1591">
        <v>105</v>
      </c>
      <c r="B1591">
        <v>6</v>
      </c>
      <c r="C1591" t="s">
        <v>220</v>
      </c>
      <c r="D1591" t="s">
        <v>724</v>
      </c>
      <c r="E1591" t="s">
        <v>68</v>
      </c>
      <c r="F1591">
        <v>50</v>
      </c>
      <c r="G1591" t="s">
        <v>126</v>
      </c>
      <c r="H1591" t="s">
        <v>126</v>
      </c>
      <c r="I1591" t="s">
        <v>68</v>
      </c>
      <c r="J1591" t="s">
        <v>126</v>
      </c>
      <c r="K1591" t="s">
        <v>126</v>
      </c>
      <c r="L1591" t="s">
        <v>126</v>
      </c>
      <c r="M1591" t="s">
        <v>2252</v>
      </c>
      <c r="N1591" t="b">
        <v>0</v>
      </c>
    </row>
    <row r="1592" spans="1:14">
      <c r="A1592">
        <v>105</v>
      </c>
      <c r="B1592">
        <v>7</v>
      </c>
      <c r="C1592" t="s">
        <v>493</v>
      </c>
      <c r="D1592" t="s">
        <v>724</v>
      </c>
      <c r="E1592" t="s">
        <v>331</v>
      </c>
      <c r="F1592">
        <v>60</v>
      </c>
      <c r="G1592" t="s">
        <v>126</v>
      </c>
      <c r="H1592" t="s">
        <v>558</v>
      </c>
      <c r="I1592" t="s">
        <v>477</v>
      </c>
      <c r="J1592" t="s">
        <v>126</v>
      </c>
      <c r="K1592" t="s">
        <v>921</v>
      </c>
      <c r="L1592" t="s">
        <v>922</v>
      </c>
      <c r="M1592" t="s">
        <v>2253</v>
      </c>
      <c r="N1592" t="b">
        <v>0</v>
      </c>
    </row>
    <row r="1593" spans="1:14">
      <c r="A1593">
        <v>105</v>
      </c>
      <c r="B1593">
        <v>8</v>
      </c>
      <c r="C1593" t="s">
        <v>167</v>
      </c>
      <c r="D1593" t="s">
        <v>724</v>
      </c>
      <c r="E1593" t="s">
        <v>74</v>
      </c>
      <c r="F1593">
        <v>50</v>
      </c>
      <c r="G1593" t="s">
        <v>126</v>
      </c>
      <c r="H1593" t="s">
        <v>126</v>
      </c>
      <c r="I1593" t="s">
        <v>74</v>
      </c>
      <c r="J1593" t="s">
        <v>126</v>
      </c>
      <c r="K1593" t="s">
        <v>126</v>
      </c>
      <c r="L1593" t="s">
        <v>126</v>
      </c>
      <c r="M1593" t="s">
        <v>2254</v>
      </c>
      <c r="N1593" t="b">
        <v>0</v>
      </c>
    </row>
    <row r="1594" spans="1:14">
      <c r="A1594">
        <v>105</v>
      </c>
      <c r="B1594">
        <v>9</v>
      </c>
      <c r="C1594" t="s">
        <v>205</v>
      </c>
      <c r="D1594" t="s">
        <v>724</v>
      </c>
      <c r="E1594" t="s">
        <v>98</v>
      </c>
      <c r="F1594">
        <v>40</v>
      </c>
      <c r="G1594" t="s">
        <v>126</v>
      </c>
      <c r="H1594" t="s">
        <v>126</v>
      </c>
      <c r="I1594" t="s">
        <v>98</v>
      </c>
      <c r="J1594" t="s">
        <v>126</v>
      </c>
      <c r="K1594" t="s">
        <v>126</v>
      </c>
      <c r="L1594" t="s">
        <v>126</v>
      </c>
      <c r="M1594" t="s">
        <v>2255</v>
      </c>
      <c r="N1594" t="b">
        <v>0</v>
      </c>
    </row>
    <row r="1595" spans="1:14">
      <c r="A1595">
        <v>105</v>
      </c>
      <c r="B1595">
        <v>10</v>
      </c>
      <c r="C1595" t="s">
        <v>222</v>
      </c>
      <c r="D1595" t="s">
        <v>724</v>
      </c>
      <c r="E1595" t="s">
        <v>102</v>
      </c>
      <c r="F1595">
        <v>50</v>
      </c>
      <c r="G1595" t="s">
        <v>126</v>
      </c>
      <c r="H1595" t="s">
        <v>126</v>
      </c>
      <c r="I1595" t="s">
        <v>102</v>
      </c>
      <c r="J1595" t="s">
        <v>126</v>
      </c>
      <c r="K1595" t="s">
        <v>126</v>
      </c>
      <c r="L1595" t="s">
        <v>126</v>
      </c>
      <c r="M1595" t="s">
        <v>2256</v>
      </c>
      <c r="N1595" t="b">
        <v>0</v>
      </c>
    </row>
    <row r="1596" spans="1:14">
      <c r="A1596">
        <v>105</v>
      </c>
      <c r="B1596">
        <v>11</v>
      </c>
      <c r="C1596" t="s">
        <v>170</v>
      </c>
      <c r="D1596" t="s">
        <v>724</v>
      </c>
      <c r="E1596" t="s">
        <v>106</v>
      </c>
      <c r="F1596">
        <v>50</v>
      </c>
      <c r="G1596" t="s">
        <v>126</v>
      </c>
      <c r="H1596" t="s">
        <v>126</v>
      </c>
      <c r="I1596" t="s">
        <v>106</v>
      </c>
      <c r="J1596" t="s">
        <v>126</v>
      </c>
      <c r="K1596" t="s">
        <v>126</v>
      </c>
      <c r="L1596" t="s">
        <v>126</v>
      </c>
      <c r="M1596" t="s">
        <v>2257</v>
      </c>
      <c r="N1596" t="b">
        <v>0</v>
      </c>
    </row>
    <row r="1597" spans="1:14">
      <c r="A1597">
        <v>105</v>
      </c>
      <c r="B1597">
        <v>12</v>
      </c>
      <c r="C1597" t="s">
        <v>223</v>
      </c>
      <c r="D1597" t="s">
        <v>724</v>
      </c>
      <c r="E1597" t="s">
        <v>107</v>
      </c>
      <c r="F1597">
        <v>50</v>
      </c>
      <c r="G1597" t="s">
        <v>126</v>
      </c>
      <c r="H1597" t="s">
        <v>126</v>
      </c>
      <c r="I1597" t="s">
        <v>107</v>
      </c>
      <c r="J1597" t="s">
        <v>126</v>
      </c>
      <c r="K1597" t="s">
        <v>126</v>
      </c>
      <c r="L1597" t="s">
        <v>126</v>
      </c>
      <c r="M1597" t="s">
        <v>2258</v>
      </c>
      <c r="N1597" t="b">
        <v>0</v>
      </c>
    </row>
    <row r="1598" spans="1:14">
      <c r="A1598">
        <v>105</v>
      </c>
      <c r="B1598">
        <v>13</v>
      </c>
      <c r="C1598" t="s">
        <v>195</v>
      </c>
      <c r="D1598" t="s">
        <v>724</v>
      </c>
      <c r="E1598" t="s">
        <v>108</v>
      </c>
      <c r="F1598">
        <v>60</v>
      </c>
      <c r="G1598" t="s">
        <v>126</v>
      </c>
      <c r="H1598" t="s">
        <v>126</v>
      </c>
      <c r="I1598" t="s">
        <v>108</v>
      </c>
      <c r="J1598" t="s">
        <v>126</v>
      </c>
      <c r="K1598" t="s">
        <v>126</v>
      </c>
      <c r="L1598" t="s">
        <v>126</v>
      </c>
      <c r="M1598" t="s">
        <v>2259</v>
      </c>
      <c r="N1598" t="b">
        <v>0</v>
      </c>
    </row>
    <row r="1599" spans="1:14">
      <c r="A1599">
        <v>105</v>
      </c>
      <c r="B1599">
        <v>14</v>
      </c>
      <c r="C1599" t="s">
        <v>126</v>
      </c>
      <c r="D1599" t="s">
        <v>724</v>
      </c>
      <c r="E1599" t="s">
        <v>126</v>
      </c>
      <c r="F1599">
        <v>0</v>
      </c>
      <c r="G1599" t="s">
        <v>126</v>
      </c>
      <c r="H1599" t="s">
        <v>126</v>
      </c>
      <c r="I1599" t="s">
        <v>126</v>
      </c>
      <c r="J1599" t="s">
        <v>126</v>
      </c>
      <c r="K1599" t="s">
        <v>126</v>
      </c>
      <c r="L1599" t="s">
        <v>126</v>
      </c>
      <c r="M1599" t="s">
        <v>2260</v>
      </c>
      <c r="N1599" t="b">
        <v>0</v>
      </c>
    </row>
    <row r="1600" spans="1:14">
      <c r="A1600">
        <v>105</v>
      </c>
      <c r="B1600">
        <v>15</v>
      </c>
      <c r="C1600" t="s">
        <v>126</v>
      </c>
      <c r="D1600" t="s">
        <v>724</v>
      </c>
      <c r="E1600" t="s">
        <v>126</v>
      </c>
      <c r="F1600">
        <v>0</v>
      </c>
      <c r="G1600" t="s">
        <v>126</v>
      </c>
      <c r="H1600" t="s">
        <v>126</v>
      </c>
      <c r="I1600" t="s">
        <v>126</v>
      </c>
      <c r="J1600" t="s">
        <v>126</v>
      </c>
      <c r="K1600" t="s">
        <v>126</v>
      </c>
      <c r="L1600" t="s">
        <v>126</v>
      </c>
      <c r="M1600" t="s">
        <v>2261</v>
      </c>
      <c r="N1600" t="b">
        <v>0</v>
      </c>
    </row>
    <row r="1601" spans="1:14">
      <c r="A1601">
        <v>105</v>
      </c>
      <c r="B1601">
        <v>16</v>
      </c>
      <c r="C1601" t="s">
        <v>126</v>
      </c>
      <c r="D1601" t="s">
        <v>741</v>
      </c>
      <c r="E1601" t="s">
        <v>126</v>
      </c>
      <c r="F1601">
        <v>0</v>
      </c>
      <c r="G1601" t="s">
        <v>126</v>
      </c>
      <c r="H1601" t="s">
        <v>126</v>
      </c>
      <c r="I1601" t="s">
        <v>126</v>
      </c>
      <c r="J1601" t="s">
        <v>126</v>
      </c>
      <c r="K1601" t="s">
        <v>126</v>
      </c>
      <c r="L1601" t="s">
        <v>126</v>
      </c>
      <c r="M1601" t="s">
        <v>2262</v>
      </c>
      <c r="N1601" t="b">
        <v>0</v>
      </c>
    </row>
    <row r="1602" spans="1:14">
      <c r="A1602">
        <v>105</v>
      </c>
      <c r="B1602">
        <v>17</v>
      </c>
      <c r="C1602" t="s">
        <v>126</v>
      </c>
      <c r="D1602" t="s">
        <v>741</v>
      </c>
      <c r="E1602" t="s">
        <v>126</v>
      </c>
      <c r="F1602">
        <v>0</v>
      </c>
      <c r="G1602" t="s">
        <v>126</v>
      </c>
      <c r="H1602" t="s">
        <v>126</v>
      </c>
      <c r="I1602" t="s">
        <v>126</v>
      </c>
      <c r="J1602" t="s">
        <v>126</v>
      </c>
      <c r="K1602" t="s">
        <v>126</v>
      </c>
      <c r="L1602" t="s">
        <v>126</v>
      </c>
      <c r="M1602" t="s">
        <v>2263</v>
      </c>
      <c r="N1602" t="b">
        <v>0</v>
      </c>
    </row>
    <row r="1603" spans="1:14">
      <c r="A1603">
        <v>105</v>
      </c>
      <c r="B1603">
        <v>18</v>
      </c>
      <c r="C1603" t="s">
        <v>126</v>
      </c>
      <c r="D1603" t="s">
        <v>741</v>
      </c>
      <c r="E1603" t="s">
        <v>126</v>
      </c>
      <c r="F1603">
        <v>0</v>
      </c>
      <c r="G1603" t="s">
        <v>126</v>
      </c>
      <c r="H1603" t="s">
        <v>126</v>
      </c>
      <c r="I1603" t="s">
        <v>126</v>
      </c>
      <c r="J1603" t="s">
        <v>126</v>
      </c>
      <c r="K1603" t="s">
        <v>126</v>
      </c>
      <c r="L1603" t="s">
        <v>126</v>
      </c>
      <c r="M1603" t="s">
        <v>2264</v>
      </c>
      <c r="N1603" t="b">
        <v>0</v>
      </c>
    </row>
    <row r="1604" spans="1:14">
      <c r="A1604">
        <v>105</v>
      </c>
      <c r="B1604">
        <v>19</v>
      </c>
      <c r="C1604" t="s">
        <v>126</v>
      </c>
      <c r="D1604" t="s">
        <v>741</v>
      </c>
      <c r="E1604" t="s">
        <v>126</v>
      </c>
      <c r="F1604">
        <v>0</v>
      </c>
      <c r="G1604" t="s">
        <v>126</v>
      </c>
      <c r="H1604" t="s">
        <v>126</v>
      </c>
      <c r="I1604" t="s">
        <v>126</v>
      </c>
      <c r="J1604" t="s">
        <v>126</v>
      </c>
      <c r="K1604" t="s">
        <v>126</v>
      </c>
      <c r="L1604" t="s">
        <v>126</v>
      </c>
      <c r="M1604" t="s">
        <v>2265</v>
      </c>
      <c r="N1604" t="b">
        <v>0</v>
      </c>
    </row>
    <row r="1605" spans="1:14">
      <c r="A1605">
        <v>105</v>
      </c>
      <c r="B1605">
        <v>20</v>
      </c>
      <c r="C1605" t="s">
        <v>126</v>
      </c>
      <c r="D1605" t="s">
        <v>741</v>
      </c>
      <c r="E1605" t="s">
        <v>126</v>
      </c>
      <c r="F1605">
        <v>0</v>
      </c>
      <c r="G1605" t="s">
        <v>126</v>
      </c>
      <c r="H1605" t="s">
        <v>126</v>
      </c>
      <c r="I1605" t="s">
        <v>126</v>
      </c>
      <c r="J1605" t="s">
        <v>126</v>
      </c>
      <c r="K1605" t="s">
        <v>126</v>
      </c>
      <c r="L1605" t="s">
        <v>126</v>
      </c>
      <c r="M1605" t="s">
        <v>2266</v>
      </c>
      <c r="N1605" t="b">
        <v>0</v>
      </c>
    </row>
    <row r="1606" spans="1:14">
      <c r="A1606">
        <v>105</v>
      </c>
      <c r="B1606">
        <v>21</v>
      </c>
      <c r="C1606" t="s">
        <v>126</v>
      </c>
      <c r="D1606" t="s">
        <v>741</v>
      </c>
      <c r="E1606" t="s">
        <v>126</v>
      </c>
      <c r="F1606">
        <v>0</v>
      </c>
      <c r="G1606" t="s">
        <v>126</v>
      </c>
      <c r="H1606" t="s">
        <v>126</v>
      </c>
      <c r="I1606" t="s">
        <v>126</v>
      </c>
      <c r="J1606" t="s">
        <v>126</v>
      </c>
      <c r="K1606" t="s">
        <v>126</v>
      </c>
      <c r="L1606" t="s">
        <v>126</v>
      </c>
      <c r="M1606" t="s">
        <v>2267</v>
      </c>
      <c r="N1606" t="b">
        <v>0</v>
      </c>
    </row>
    <row r="1607" spans="1:14">
      <c r="A1607">
        <v>105</v>
      </c>
      <c r="B1607">
        <v>22</v>
      </c>
      <c r="C1607" t="s">
        <v>126</v>
      </c>
      <c r="D1607" t="s">
        <v>741</v>
      </c>
      <c r="E1607" t="s">
        <v>126</v>
      </c>
      <c r="F1607">
        <v>0</v>
      </c>
      <c r="G1607" t="s">
        <v>126</v>
      </c>
      <c r="H1607" t="s">
        <v>126</v>
      </c>
      <c r="I1607" t="s">
        <v>126</v>
      </c>
      <c r="J1607" t="s">
        <v>126</v>
      </c>
      <c r="K1607" t="s">
        <v>126</v>
      </c>
      <c r="L1607" t="s">
        <v>126</v>
      </c>
      <c r="M1607" t="s">
        <v>2268</v>
      </c>
      <c r="N1607" t="b">
        <v>0</v>
      </c>
    </row>
    <row r="1608" spans="1:14">
      <c r="A1608">
        <v>105</v>
      </c>
      <c r="B1608">
        <v>23</v>
      </c>
      <c r="C1608" t="s">
        <v>126</v>
      </c>
      <c r="D1608" t="s">
        <v>741</v>
      </c>
      <c r="E1608" t="s">
        <v>126</v>
      </c>
      <c r="F1608">
        <v>0</v>
      </c>
      <c r="G1608" t="s">
        <v>126</v>
      </c>
      <c r="H1608" t="s">
        <v>126</v>
      </c>
      <c r="I1608" t="s">
        <v>126</v>
      </c>
      <c r="J1608" t="s">
        <v>126</v>
      </c>
      <c r="K1608" t="s">
        <v>126</v>
      </c>
      <c r="L1608" t="s">
        <v>126</v>
      </c>
      <c r="M1608" t="s">
        <v>2269</v>
      </c>
      <c r="N1608" t="b">
        <v>0</v>
      </c>
    </row>
    <row r="1609" spans="1:14">
      <c r="A1609">
        <v>105</v>
      </c>
      <c r="B1609">
        <v>24</v>
      </c>
      <c r="C1609" t="s">
        <v>126</v>
      </c>
      <c r="D1609" t="s">
        <v>741</v>
      </c>
      <c r="E1609" t="s">
        <v>126</v>
      </c>
      <c r="F1609">
        <v>0</v>
      </c>
      <c r="G1609" t="s">
        <v>126</v>
      </c>
      <c r="H1609" t="s">
        <v>126</v>
      </c>
      <c r="I1609" t="s">
        <v>126</v>
      </c>
      <c r="J1609" t="s">
        <v>126</v>
      </c>
      <c r="K1609" t="s">
        <v>126</v>
      </c>
      <c r="L1609" t="s">
        <v>126</v>
      </c>
      <c r="M1609" t="s">
        <v>2270</v>
      </c>
      <c r="N1609" t="b">
        <v>0</v>
      </c>
    </row>
    <row r="1610" spans="1:14">
      <c r="A1610">
        <v>105</v>
      </c>
      <c r="B1610">
        <v>25</v>
      </c>
      <c r="C1610" t="s">
        <v>126</v>
      </c>
      <c r="D1610" t="s">
        <v>741</v>
      </c>
      <c r="E1610" t="s">
        <v>126</v>
      </c>
      <c r="F1610">
        <v>0</v>
      </c>
      <c r="G1610" t="s">
        <v>126</v>
      </c>
      <c r="H1610" t="s">
        <v>126</v>
      </c>
      <c r="I1610" t="s">
        <v>126</v>
      </c>
      <c r="J1610" t="s">
        <v>126</v>
      </c>
      <c r="K1610" t="s">
        <v>126</v>
      </c>
      <c r="L1610" t="s">
        <v>126</v>
      </c>
      <c r="M1610" t="s">
        <v>2271</v>
      </c>
      <c r="N1610" t="b">
        <v>0</v>
      </c>
    </row>
    <row r="1611" spans="1:14">
      <c r="A1611">
        <v>105</v>
      </c>
      <c r="B1611">
        <v>26</v>
      </c>
      <c r="C1611" t="s">
        <v>126</v>
      </c>
      <c r="D1611" t="s">
        <v>741</v>
      </c>
      <c r="E1611" t="s">
        <v>126</v>
      </c>
      <c r="F1611">
        <v>0</v>
      </c>
      <c r="G1611" t="s">
        <v>126</v>
      </c>
      <c r="H1611" t="s">
        <v>126</v>
      </c>
      <c r="I1611" t="s">
        <v>126</v>
      </c>
      <c r="J1611" t="s">
        <v>126</v>
      </c>
      <c r="K1611" t="s">
        <v>126</v>
      </c>
      <c r="L1611" t="s">
        <v>126</v>
      </c>
      <c r="M1611" t="s">
        <v>2272</v>
      </c>
      <c r="N1611" t="b">
        <v>0</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X644"/>
  <sheetViews>
    <sheetView workbookViewId="0">
      <selection activeCell="A1" sqref="A1"/>
    </sheetView>
  </sheetViews>
  <sheetFormatPr defaultColWidth="9" defaultRowHeight="14"/>
  <sheetData>
    <row r="1" spans="1:50">
      <c r="S1">
        <f>IFERROR(MATCH(人物卡!$BW$46,$A$100:$A$331,0)+99,0)</f>
        <v>100</v>
      </c>
    </row>
    <row r="2" spans="1:50">
      <c r="A2" t="str">
        <f ca="1">IF($S$1=0,"",IF(INDEX($C$1:$C$331,$S$1+0)="","",INDEX($C$1:$C$331,$S$1+0)))</f>
        <v>自选技能1（+20）</v>
      </c>
      <c r="B2" t="str">
        <f ca="1">IF($S$1=0,"",IF(INDEX($D$1:$D$331,$S$1+0)="","",INDEX($D$1:$D$331,$S$1+0)))</f>
        <v>any</v>
      </c>
      <c r="C2" t="str">
        <f ca="1">IF($S$1=0,"",IF(INDEX($E$1:$E$331,$S$1+0)="","",INDEX($E$1:$E$331,$S$1+0)))</f>
        <v/>
      </c>
      <c r="D2" t="str">
        <f ca="1">IF($S$1=0,"",IF(INDEX($F$1:$F$331,$S$1+0)="","",INDEX($F$1:$F$331,$S$1+0)))</f>
        <v/>
      </c>
      <c r="E2" t="str">
        <f ca="1">IF($S$1=0,"",IF(INDEX($G$1:$G$331,$S$1+0)="","",INDEX($G$1:$G$331,$S$1+0)))</f>
        <v/>
      </c>
      <c r="F2" t="str">
        <f>TRIM(人物卡!BZ49)</f>
        <v/>
      </c>
      <c r="G2" t="str">
        <f ca="1">IF(F2&lt;&gt;"",F2,IF(B2="fixed",C2,IF(B2="group",IF(E2="艺术",IFERROR(CHOOSE(COUNTIF($E$2:E2,E2),$A$24,$A$25,$A$26),""),IF(E2="工艺",IFERROR(CHOOSE(COUNTIF($E$2:E2,E2),$A$31,$A$32,$A$33,$A$34),""),IF(E2="外语",IFERROR(CHOOSE(COUNTIF($E$2:E2,E2),$A$42,$A$43,$A$44),""),IF(E2="军事科学",IFERROR(CHOOSE(COUNTIF($E$2:E2,E2),$A$53,$A$54,$A$55),""),IF(E2="特种载具",IFERROR(CHOOSE(COUNTIF($E$2:E2,E2),$A$60,$A$61,$A$62),""),IF(E2="科学",IFERROR(CHOOSE(COUNTIF($E$2:E2,E2),$A$65,$A$66,$A$67),""),"")))))),"")))</f>
        <v/>
      </c>
      <c r="H2" t="str">
        <f ca="1" t="shared" ref="H2:H9" si="0">IF(AND(G2&lt;&gt;"",G2&lt;&gt;"非自然知识",COUNTIF($A$20:$A$78,G2)&gt;0,OR(B2="any",B2="fixed",AND(B2="group",LEFT(G2,LEN(E2)+1)=E2&amp;"（"),IFERROR(OR(ISNUMBER(FIND("|"&amp;G2&amp;"|",D2)),AND(IFERROR(FIND("（",G2),0)&gt;0,ISNUMBER(FIND("|"&amp;LEFT(G2,FIND("（",G2)-1)&amp;"*|",D2)))),FALSE))),G2,"")</f>
        <v/>
      </c>
      <c r="I2" t="str">
        <f ca="1" t="shared" ref="I2:I9" si="1">IF(A2="","",IF(H2="","待选／填写主卡细项","已分配"))</f>
        <v>待选／填写主卡细项</v>
      </c>
      <c r="S2">
        <f ca="1">COUNTIF($H$2:$H$9,"?*")</f>
        <v>0</v>
      </c>
      <c r="AR2">
        <f ca="1">IF(AND(B2="fixed",E2="艺术",COUNTIF(职业选项!$G$2:$G$28,C2)=0,COUNTIF($C$2:C2,C2)=1),ROW()-1,999)</f>
        <v>999</v>
      </c>
      <c r="AS2">
        <f ca="1">IF(AND(B2="fixed",E2="工艺",COUNTIF(职业选项!$G$2:$G$28,C2)=0,COUNTIF($C$2:C2,C2)=1),ROW()-1,999)</f>
        <v>999</v>
      </c>
      <c r="AT2">
        <f ca="1">IF(AND(B2="fixed",E2="外语",COUNTIF(职业选项!$G$2:$G$28,C2)=0,COUNTIF($C$2:C2,C2)=1),ROW()-1,999)</f>
        <v>999</v>
      </c>
      <c r="AU2">
        <f ca="1">IF(AND(B2="fixed",E2="军事科学",COUNTIF(职业选项!$G$2:$G$28,C2)=0,COUNTIF($C$2:C2,C2)=1),ROW()-1,999)</f>
        <v>999</v>
      </c>
      <c r="AV2">
        <f ca="1">IF(AND(B2="fixed",E2="特种载具",COUNTIF(职业选项!$G$2:$G$28,C2)=0,COUNTIF($C$2:C2,C2)=1),ROW()-1,999)</f>
        <v>999</v>
      </c>
      <c r="AW2">
        <f ca="1">IF(AND(B2="fixed",E2="科学",COUNTIF(职业选项!$G$2:$G$28,C2)=0,COUNTIF($C$2:C2,C2)=1),ROW()-1,999)</f>
        <v>999</v>
      </c>
      <c r="AX2">
        <f ca="1">IF(AND(B2="fixed",E2&lt;&gt;"",COUNTIF($A$20:$A$74,C2)=0,COUNTIF($C$2:C2,C2)=1),ROW()-1,999)</f>
        <v>999</v>
      </c>
    </row>
    <row r="3" spans="1:50">
      <c r="A3" t="str">
        <f ca="1">IF($S$1=0,"",IF(INDEX($C$1:$C$331,$S$1+1)="","",INDEX($C$1:$C$331,$S$1+1)))</f>
        <v>自选技能2（+20）</v>
      </c>
      <c r="B3" t="str">
        <f ca="1">IF($S$1=0,"",IF(INDEX($D$1:$D$331,$S$1+1)="","",INDEX($D$1:$D$331,$S$1+1)))</f>
        <v>any</v>
      </c>
      <c r="C3" t="str">
        <f ca="1">IF($S$1=0,"",IF(INDEX($E$1:$E$331,$S$1+1)="","",INDEX($E$1:$E$331,$S$1+1)))</f>
        <v/>
      </c>
      <c r="D3" t="str">
        <f ca="1">IF($S$1=0,"",IF(INDEX($F$1:$F$331,$S$1+1)="","",INDEX($F$1:$F$331,$S$1+1)))</f>
        <v/>
      </c>
      <c r="E3" t="str">
        <f ca="1">IF($S$1=0,"",IF(INDEX($G$1:$G$331,$S$1+1)="","",INDEX($G$1:$G$331,$S$1+1)))</f>
        <v/>
      </c>
      <c r="F3" t="str">
        <f>TRIM(人物卡!BZ50)</f>
        <v/>
      </c>
      <c r="G3" t="str">
        <f ca="1">IF(F3&lt;&gt;"",F3,IF(B3="fixed",C3,IF(B3="group",IF(E3="艺术",IFERROR(CHOOSE(COUNTIF($E$2:E3,E3),$A$24,$A$25,$A$26),""),IF(E3="工艺",IFERROR(CHOOSE(COUNTIF($E$2:E3,E3),$A$31,$A$32,$A$33,$A$34),""),IF(E3="外语",IFERROR(CHOOSE(COUNTIF($E$2:E3,E3),$A$42,$A$43,$A$44),""),IF(E3="军事科学",IFERROR(CHOOSE(COUNTIF($E$2:E3,E3),$A$53,$A$54,$A$55),""),IF(E3="特种载具",IFERROR(CHOOSE(COUNTIF($E$2:E3,E3),$A$60,$A$61,$A$62),""),IF(E3="科学",IFERROR(CHOOSE(COUNTIF($E$2:E3,E3),$A$65,$A$66,$A$67),""),"")))))),"")))</f>
        <v/>
      </c>
      <c r="H3" t="str">
        <f ca="1" t="shared" si="0"/>
        <v/>
      </c>
      <c r="I3" t="str">
        <f ca="1" t="shared" si="1"/>
        <v>待选／填写主卡细项</v>
      </c>
      <c r="S3">
        <f ca="1">SUM($E$20:$E$78)</f>
        <v>0</v>
      </c>
      <c r="AR3">
        <f ca="1">IF(AND(B3="fixed",E3="艺术",COUNTIF(职业选项!$G$2:$G$28,C3)=0,COUNTIF($C$2:C3,C3)=1),ROW()-1,999)</f>
        <v>999</v>
      </c>
      <c r="AS3">
        <f ca="1">IF(AND(B3="fixed",E3="工艺",COUNTIF(职业选项!$G$2:$G$28,C3)=0,COUNTIF($C$2:C3,C3)=1),ROW()-1,999)</f>
        <v>999</v>
      </c>
      <c r="AT3">
        <f ca="1">IF(AND(B3="fixed",E3="外语",COUNTIF(职业选项!$G$2:$G$28,C3)=0,COUNTIF($C$2:C3,C3)=1),ROW()-1,999)</f>
        <v>999</v>
      </c>
      <c r="AU3">
        <f ca="1">IF(AND(B3="fixed",E3="军事科学",COUNTIF(职业选项!$G$2:$G$28,C3)=0,COUNTIF($C$2:C3,C3)=1),ROW()-1,999)</f>
        <v>999</v>
      </c>
      <c r="AV3">
        <f ca="1">IF(AND(B3="fixed",E3="特种载具",COUNTIF(职业选项!$G$2:$G$28,C3)=0,COUNTIF($C$2:C3,C3)=1),ROW()-1,999)</f>
        <v>999</v>
      </c>
      <c r="AW3">
        <f ca="1">IF(AND(B3="fixed",E3="科学",COUNTIF(职业选项!$G$2:$G$28,C3)=0,COUNTIF($C$2:C3,C3)=1),ROW()-1,999)</f>
        <v>999</v>
      </c>
      <c r="AX3">
        <f ca="1">IF(AND(B3="fixed",E3&lt;&gt;"",COUNTIF($A$20:$A$74,C3)=0,COUNTIF($C$2:C3,C3)=1),ROW()-1,999)</f>
        <v>999</v>
      </c>
    </row>
    <row r="4" spans="1:50">
      <c r="A4" t="str">
        <f ca="1">IF($S$1=0,"",IF(INDEX($C$1:$C$331,$S$1+2)="","",INDEX($C$1:$C$331,$S$1+2)))</f>
        <v>自选技能3（+20）</v>
      </c>
      <c r="B4" t="str">
        <f ca="1">IF($S$1=0,"",IF(INDEX($D$1:$D$331,$S$1+2)="","",INDEX($D$1:$D$331,$S$1+2)))</f>
        <v>any</v>
      </c>
      <c r="C4" t="str">
        <f ca="1">IF($S$1=0,"",IF(INDEX($E$1:$E$331,$S$1+2)="","",INDEX($E$1:$E$331,$S$1+2)))</f>
        <v/>
      </c>
      <c r="D4" t="str">
        <f ca="1">IF($S$1=0,"",IF(INDEX($F$1:$F$331,$S$1+2)="","",INDEX($F$1:$F$331,$S$1+2)))</f>
        <v/>
      </c>
      <c r="E4" t="str">
        <f ca="1">IF($S$1=0,"",IF(INDEX($G$1:$G$331,$S$1+2)="","",INDEX($G$1:$G$331,$S$1+2)))</f>
        <v/>
      </c>
      <c r="F4" t="str">
        <f>TRIM(人物卡!BZ51)</f>
        <v/>
      </c>
      <c r="G4" t="str">
        <f ca="1">IF(F4&lt;&gt;"",F4,IF(B4="fixed",C4,IF(B4="group",IF(E4="艺术",IFERROR(CHOOSE(COUNTIF($E$2:E4,E4),$A$24,$A$25,$A$26),""),IF(E4="工艺",IFERROR(CHOOSE(COUNTIF($E$2:E4,E4),$A$31,$A$32,$A$33,$A$34),""),IF(E4="外语",IFERROR(CHOOSE(COUNTIF($E$2:E4,E4),$A$42,$A$43,$A$44),""),IF(E4="军事科学",IFERROR(CHOOSE(COUNTIF($E$2:E4,E4),$A$53,$A$54,$A$55),""),IF(E4="特种载具",IFERROR(CHOOSE(COUNTIF($E$2:E4,E4),$A$60,$A$61,$A$62),""),IF(E4="科学",IFERROR(CHOOSE(COUNTIF($E$2:E4,E4),$A$65,$A$66,$A$67),""),"")))))),"")))</f>
        <v/>
      </c>
      <c r="H4" t="str">
        <f ca="1" t="shared" si="0"/>
        <v/>
      </c>
      <c r="I4" t="str">
        <f ca="1" t="shared" si="1"/>
        <v>待选／填写主卡细项</v>
      </c>
      <c r="S4">
        <f ca="1">SUM($D$20:$D$78)-S3</f>
        <v>0</v>
      </c>
      <c r="AR4">
        <f ca="1">IF(AND(B4="fixed",E4="艺术",COUNTIF(职业选项!$G$2:$G$28,C4)=0,COUNTIF($C$2:C4,C4)=1),ROW()-1,999)</f>
        <v>999</v>
      </c>
      <c r="AS4">
        <f ca="1">IF(AND(B4="fixed",E4="工艺",COUNTIF(职业选项!$G$2:$G$28,C4)=0,COUNTIF($C$2:C4,C4)=1),ROW()-1,999)</f>
        <v>999</v>
      </c>
      <c r="AT4">
        <f ca="1">IF(AND(B4="fixed",E4="外语",COUNTIF(职业选项!$G$2:$G$28,C4)=0,COUNTIF($C$2:C4,C4)=1),ROW()-1,999)</f>
        <v>999</v>
      </c>
      <c r="AU4">
        <f ca="1">IF(AND(B4="fixed",E4="军事科学",COUNTIF(职业选项!$G$2:$G$28,C4)=0,COUNTIF($C$2:C4,C4)=1),ROW()-1,999)</f>
        <v>999</v>
      </c>
      <c r="AV4">
        <f ca="1">IF(AND(B4="fixed",E4="特种载具",COUNTIF(职业选项!$G$2:$G$28,C4)=0,COUNTIF($C$2:C4,C4)=1),ROW()-1,999)</f>
        <v>999</v>
      </c>
      <c r="AW4">
        <f ca="1">IF(AND(B4="fixed",E4="科学",COUNTIF(职业选项!$G$2:$G$28,C4)=0,COUNTIF($C$2:C4,C4)=1),ROW()-1,999)</f>
        <v>999</v>
      </c>
      <c r="AX4">
        <f ca="1">IF(AND(B4="fixed",E4&lt;&gt;"",COUNTIF($A$20:$A$74,C4)=0,COUNTIF($C$2:C4,C4)=1),ROW()-1,999)</f>
        <v>999</v>
      </c>
    </row>
    <row r="5" spans="1:50">
      <c r="A5" t="str">
        <f ca="1">IF($S$1=0,"",IF(INDEX($C$1:$C$331,$S$1+3)="","",INDEX($C$1:$C$331,$S$1+3)))</f>
        <v>自选技能4（+20）</v>
      </c>
      <c r="B5" t="str">
        <f ca="1">IF($S$1=0,"",IF(INDEX($D$1:$D$331,$S$1+3)="","",INDEX($D$1:$D$331,$S$1+3)))</f>
        <v>any</v>
      </c>
      <c r="C5" t="str">
        <f ca="1">IF($S$1=0,"",IF(INDEX($E$1:$E$331,$S$1+3)="","",INDEX($E$1:$E$331,$S$1+3)))</f>
        <v/>
      </c>
      <c r="D5" t="str">
        <f ca="1">IF($S$1=0,"",IF(INDEX($F$1:$F$331,$S$1+3)="","",INDEX($F$1:$F$331,$S$1+3)))</f>
        <v/>
      </c>
      <c r="E5" t="str">
        <f ca="1">IF($S$1=0,"",IF(INDEX($G$1:$G$331,$S$1+3)="","",INDEX($G$1:$G$331,$S$1+3)))</f>
        <v/>
      </c>
      <c r="F5" t="str">
        <f>TRIM(人物卡!BZ52)</f>
        <v/>
      </c>
      <c r="G5" t="str">
        <f ca="1">IF(F5&lt;&gt;"",F5,IF(B5="fixed",C5,IF(B5="group",IF(E5="艺术",IFERROR(CHOOSE(COUNTIF($E$2:E5,E5),$A$24,$A$25,$A$26),""),IF(E5="工艺",IFERROR(CHOOSE(COUNTIF($E$2:E5,E5),$A$31,$A$32,$A$33,$A$34),""),IF(E5="外语",IFERROR(CHOOSE(COUNTIF($E$2:E5,E5),$A$42,$A$43,$A$44),""),IF(E5="军事科学",IFERROR(CHOOSE(COUNTIF($E$2:E5,E5),$A$53,$A$54,$A$55),""),IF(E5="特种载具",IFERROR(CHOOSE(COUNTIF($E$2:E5,E5),$A$60,$A$61,$A$62),""),IF(E5="科学",IFERROR(CHOOSE(COUNTIF($E$2:E5,E5),$A$65,$A$66,$A$67),""),"")))))),"")))</f>
        <v/>
      </c>
      <c r="H5" t="str">
        <f ca="1" t="shared" si="0"/>
        <v/>
      </c>
      <c r="I5" t="str">
        <f ca="1" t="shared" si="1"/>
        <v>待选／填写主卡细项</v>
      </c>
      <c r="S5">
        <f ca="1">COUNTIF($I$20:$I$78,"同名技能占多格")</f>
        <v>0</v>
      </c>
      <c r="AR5">
        <f ca="1">IF(AND(B5="fixed",E5="艺术",COUNTIF(职业选项!$G$2:$G$28,C5)=0,COUNTIF($C$2:C5,C5)=1),ROW()-1,999)</f>
        <v>999</v>
      </c>
      <c r="AS5">
        <f ca="1">IF(AND(B5="fixed",E5="工艺",COUNTIF(职业选项!$G$2:$G$28,C5)=0,COUNTIF($C$2:C5,C5)=1),ROW()-1,999)</f>
        <v>999</v>
      </c>
      <c r="AT5">
        <f ca="1">IF(AND(B5="fixed",E5="外语",COUNTIF(职业选项!$G$2:$G$28,C5)=0,COUNTIF($C$2:C5,C5)=1),ROW()-1,999)</f>
        <v>999</v>
      </c>
      <c r="AU5">
        <f ca="1">IF(AND(B5="fixed",E5="军事科学",COUNTIF(职业选项!$G$2:$G$28,C5)=0,COUNTIF($C$2:C5,C5)=1),ROW()-1,999)</f>
        <v>999</v>
      </c>
      <c r="AV5">
        <f ca="1">IF(AND(B5="fixed",E5="特种载具",COUNTIF(职业选项!$G$2:$G$28,C5)=0,COUNTIF($C$2:C5,C5)=1),ROW()-1,999)</f>
        <v>999</v>
      </c>
      <c r="AW5">
        <f ca="1">IF(AND(B5="fixed",E5="科学",COUNTIF(职业选项!$G$2:$G$28,C5)=0,COUNTIF($C$2:C5,C5)=1),ROW()-1,999)</f>
        <v>999</v>
      </c>
      <c r="AX5">
        <f ca="1">IF(AND(B5="fixed",E5&lt;&gt;"",COUNTIF($A$20:$A$74,C5)=0,COUNTIF($C$2:C5,C5)=1),ROW()-1,999)</f>
        <v>999</v>
      </c>
    </row>
    <row r="6" spans="1:50">
      <c r="A6" t="str">
        <f ca="1">IF($S$1=0,"",IF(INDEX($C$1:$C$331,$S$1+4)="","",INDEX($C$1:$C$331,$S$1+4)))</f>
        <v>自选技能5（+20）</v>
      </c>
      <c r="B6" t="str">
        <f ca="1">IF($S$1=0,"",IF(INDEX($D$1:$D$331,$S$1+4)="","",INDEX($D$1:$D$331,$S$1+4)))</f>
        <v>any</v>
      </c>
      <c r="C6" t="str">
        <f ca="1">IF($S$1=0,"",IF(INDEX($E$1:$E$331,$S$1+4)="","",INDEX($E$1:$E$331,$S$1+4)))</f>
        <v/>
      </c>
      <c r="D6" t="str">
        <f ca="1">IF($S$1=0,"",IF(INDEX($F$1:$F$331,$S$1+4)="","",INDEX($F$1:$F$331,$S$1+4)))</f>
        <v/>
      </c>
      <c r="E6" t="str">
        <f ca="1">IF($S$1=0,"",IF(INDEX($G$1:$G$331,$S$1+4)="","",INDEX($G$1:$G$331,$S$1+4)))</f>
        <v/>
      </c>
      <c r="F6" t="str">
        <f>TRIM(人物卡!BZ53)</f>
        <v/>
      </c>
      <c r="G6" t="str">
        <f ca="1">IF(F6&lt;&gt;"",F6,IF(B6="fixed",C6,IF(B6="group",IF(E6="艺术",IFERROR(CHOOSE(COUNTIF($E$2:E6,E6),$A$24,$A$25,$A$26),""),IF(E6="工艺",IFERROR(CHOOSE(COUNTIF($E$2:E6,E6),$A$31,$A$32,$A$33,$A$34),""),IF(E6="外语",IFERROR(CHOOSE(COUNTIF($E$2:E6,E6),$A$42,$A$43,$A$44),""),IF(E6="军事科学",IFERROR(CHOOSE(COUNTIF($E$2:E6,E6),$A$53,$A$54,$A$55),""),IF(E6="特种载具",IFERROR(CHOOSE(COUNTIF($E$2:E6,E6),$A$60,$A$61,$A$62),""),IF(E6="科学",IFERROR(CHOOSE(COUNTIF($E$2:E6,E6),$A$65,$A$66,$A$67),""),"")))))),"")))</f>
        <v/>
      </c>
      <c r="H6" t="str">
        <f ca="1" t="shared" si="0"/>
        <v/>
      </c>
      <c r="I6" t="str">
        <f ca="1" t="shared" si="1"/>
        <v>待选／填写主卡细项</v>
      </c>
      <c r="S6" t="str">
        <f ca="1">IF(S1=0,"请选择技能包",S2&amp;"/8项；已加"&amp;S3&amp;"/160点"&amp;IF(S4&gt;0,"；有超80点数","")&amp;IF(S5&gt;0,"；有同名格","")&amp;IF(S2&lt;8,"；待填细项／选择",""))</f>
        <v>0/8项；已加0/160点；待填细项／选择</v>
      </c>
      <c r="AR6">
        <f ca="1">IF(AND(B6="fixed",E6="艺术",COUNTIF(职业选项!$G$2:$G$28,C6)=0,COUNTIF($C$2:C6,C6)=1),ROW()-1,999)</f>
        <v>999</v>
      </c>
      <c r="AS6">
        <f ca="1">IF(AND(B6="fixed",E6="工艺",COUNTIF(职业选项!$G$2:$G$28,C6)=0,COUNTIF($C$2:C6,C6)=1),ROW()-1,999)</f>
        <v>999</v>
      </c>
      <c r="AT6">
        <f ca="1">IF(AND(B6="fixed",E6="外语",COUNTIF(职业选项!$G$2:$G$28,C6)=0,COUNTIF($C$2:C6,C6)=1),ROW()-1,999)</f>
        <v>999</v>
      </c>
      <c r="AU6">
        <f ca="1">IF(AND(B6="fixed",E6="军事科学",COUNTIF(职业选项!$G$2:$G$28,C6)=0,COUNTIF($C$2:C6,C6)=1),ROW()-1,999)</f>
        <v>999</v>
      </c>
      <c r="AV6">
        <f ca="1">IF(AND(B6="fixed",E6="特种载具",COUNTIF(职业选项!$G$2:$G$28,C6)=0,COUNTIF($C$2:C6,C6)=1),ROW()-1,999)</f>
        <v>999</v>
      </c>
      <c r="AW6">
        <f ca="1">IF(AND(B6="fixed",E6="科学",COUNTIF(职业选项!$G$2:$G$28,C6)=0,COUNTIF($C$2:C6,C6)=1),ROW()-1,999)</f>
        <v>999</v>
      </c>
      <c r="AX6">
        <f ca="1">IF(AND(B6="fixed",E6&lt;&gt;"",COUNTIF($A$20:$A$74,C6)=0,COUNTIF($C$2:C6,C6)=1),ROW()-1,999)</f>
        <v>999</v>
      </c>
    </row>
    <row r="7" spans="1:50">
      <c r="A7" t="str">
        <f ca="1">IF($S$1=0,"",IF(INDEX($C$1:$C$331,$S$1+5)="","",INDEX($C$1:$C$331,$S$1+5)))</f>
        <v>自选技能6（+20）</v>
      </c>
      <c r="B7" t="str">
        <f ca="1">IF($S$1=0,"",IF(INDEX($D$1:$D$331,$S$1+5)="","",INDEX($D$1:$D$331,$S$1+5)))</f>
        <v>any</v>
      </c>
      <c r="C7" t="str">
        <f ca="1">IF($S$1=0,"",IF(INDEX($E$1:$E$331,$S$1+5)="","",INDEX($E$1:$E$331,$S$1+5)))</f>
        <v/>
      </c>
      <c r="D7" t="str">
        <f ca="1">IF($S$1=0,"",IF(INDEX($F$1:$F$331,$S$1+5)="","",INDEX($F$1:$F$331,$S$1+5)))</f>
        <v/>
      </c>
      <c r="E7" t="str">
        <f ca="1">IF($S$1=0,"",IF(INDEX($G$1:$G$331,$S$1+5)="","",INDEX($G$1:$G$331,$S$1+5)))</f>
        <v/>
      </c>
      <c r="F7" t="str">
        <f>TRIM(人物卡!BZ54)</f>
        <v/>
      </c>
      <c r="G7" t="str">
        <f ca="1">IF(F7&lt;&gt;"",F7,IF(B7="fixed",C7,IF(B7="group",IF(E7="艺术",IFERROR(CHOOSE(COUNTIF($E$2:E7,E7),$A$24,$A$25,$A$26),""),IF(E7="工艺",IFERROR(CHOOSE(COUNTIF($E$2:E7,E7),$A$31,$A$32,$A$33,$A$34),""),IF(E7="外语",IFERROR(CHOOSE(COUNTIF($E$2:E7,E7),$A$42,$A$43,$A$44),""),IF(E7="军事科学",IFERROR(CHOOSE(COUNTIF($E$2:E7,E7),$A$53,$A$54,$A$55),""),IF(E7="特种载具",IFERROR(CHOOSE(COUNTIF($E$2:E7,E7),$A$60,$A$61,$A$62),""),IF(E7="科学",IFERROR(CHOOSE(COUNTIF($E$2:E7,E7),$A$65,$A$66,$A$67),""),"")))))),"")))</f>
        <v/>
      </c>
      <c r="H7" t="str">
        <f ca="1" t="shared" si="0"/>
        <v/>
      </c>
      <c r="I7" t="str">
        <f ca="1" t="shared" si="1"/>
        <v>待选／填写主卡细项</v>
      </c>
      <c r="S7">
        <f ca="1">COUNTIF($H$12:$H$16,"?*")</f>
        <v>0</v>
      </c>
      <c r="AR7">
        <f ca="1">IF(AND(B7="fixed",E7="艺术",COUNTIF(职业选项!$G$2:$G$28,C7)=0,COUNTIF($C$2:C7,C7)=1),ROW()-1,999)</f>
        <v>999</v>
      </c>
      <c r="AS7">
        <f ca="1">IF(AND(B7="fixed",E7="工艺",COUNTIF(职业选项!$G$2:$G$28,C7)=0,COUNTIF($C$2:C7,C7)=1),ROW()-1,999)</f>
        <v>999</v>
      </c>
      <c r="AT7">
        <f ca="1">IF(AND(B7="fixed",E7="外语",COUNTIF(职业选项!$G$2:$G$28,C7)=0,COUNTIF($C$2:C7,C7)=1),ROW()-1,999)</f>
        <v>999</v>
      </c>
      <c r="AU7">
        <f ca="1">IF(AND(B7="fixed",E7="军事科学",COUNTIF(职业选项!$G$2:$G$28,C7)=0,COUNTIF($C$2:C7,C7)=1),ROW()-1,999)</f>
        <v>999</v>
      </c>
      <c r="AV7">
        <f ca="1">IF(AND(B7="fixed",E7="特种载具",COUNTIF(职业选项!$G$2:$G$28,C7)=0,COUNTIF($C$2:C7,C7)=1),ROW()-1,999)</f>
        <v>999</v>
      </c>
      <c r="AW7">
        <f ca="1">IF(AND(B7="fixed",E7="科学",COUNTIF(职业选项!$G$2:$G$28,C7)=0,COUNTIF($C$2:C7,C7)=1),ROW()-1,999)</f>
        <v>999</v>
      </c>
      <c r="AX7">
        <f ca="1">IF(AND(B7="fixed",E7&lt;&gt;"",COUNTIF($A$20:$A$74,C7)=0,COUNTIF($C$2:C7,C7)=1),ROW()-1,999)</f>
        <v>999</v>
      </c>
    </row>
    <row r="8" spans="1:50">
      <c r="A8" t="str">
        <f ca="1">IF($S$1=0,"",IF(INDEX($C$1:$C$331,$S$1+6)="","",INDEX($C$1:$C$331,$S$1+6)))</f>
        <v>自选技能7（+20）</v>
      </c>
      <c r="B8" t="str">
        <f ca="1">IF($S$1=0,"",IF(INDEX($D$1:$D$331,$S$1+6)="","",INDEX($D$1:$D$331,$S$1+6)))</f>
        <v>any</v>
      </c>
      <c r="C8" t="str">
        <f ca="1">IF($S$1=0,"",IF(INDEX($E$1:$E$331,$S$1+6)="","",INDEX($E$1:$E$331,$S$1+6)))</f>
        <v/>
      </c>
      <c r="D8" t="str">
        <f ca="1">IF($S$1=0,"",IF(INDEX($F$1:$F$331,$S$1+6)="","",INDEX($F$1:$F$331,$S$1+6)))</f>
        <v/>
      </c>
      <c r="E8" t="str">
        <f ca="1">IF($S$1=0,"",IF(INDEX($G$1:$G$331,$S$1+6)="","",INDEX($G$1:$G$331,$S$1+6)))</f>
        <v/>
      </c>
      <c r="F8" t="str">
        <f>TRIM(人物卡!BZ55)</f>
        <v/>
      </c>
      <c r="G8" t="str">
        <f ca="1">IF(F8&lt;&gt;"",F8,IF(B8="fixed",C8,IF(B8="group",IF(E8="艺术",IFERROR(CHOOSE(COUNTIF($E$2:E8,E8),$A$24,$A$25,$A$26),""),IF(E8="工艺",IFERROR(CHOOSE(COUNTIF($E$2:E8,E8),$A$31,$A$32,$A$33,$A$34),""),IF(E8="外语",IFERROR(CHOOSE(COUNTIF($E$2:E8,E8),$A$42,$A$43,$A$44),""),IF(E8="军事科学",IFERROR(CHOOSE(COUNTIF($E$2:E8,E8),$A$53,$A$54,$A$55),""),IF(E8="特种载具",IFERROR(CHOOSE(COUNTIF($E$2:E8,E8),$A$60,$A$61,$A$62),""),IF(E8="科学",IFERROR(CHOOSE(COUNTIF($E$2:E8,E8),$A$65,$A$66,$A$67),""),"")))))),"")))</f>
        <v/>
      </c>
      <c r="H8" t="str">
        <f ca="1" t="shared" si="0"/>
        <v/>
      </c>
      <c r="I8" t="str">
        <f ca="1" t="shared" si="1"/>
        <v>待选／填写主卡细项</v>
      </c>
      <c r="S8" t="str">
        <f ca="1">IF(人物卡!$DF$46="艰苦经历","艰苦技能 "&amp;S7&amp;"/5；移除关系 "&amp;IF(人物卡!$DF$55="","待选",人物卡!$DF$55),IF(人物卡!$DF$46="人类不应知道之事",IF(人物卡!$DR$55="","待选／填写心理疾病","心理疾病已记录"),IF(OR(AND(人物卡!$DF$46="关押或入狱",人物卡!$DF$54&lt;4),AND(人物卡!$DF$46="极端暴力",人物卡!$DR$54&lt;4)),"原始属性不足以扣3，请核对","固定效果已计入")))</f>
        <v>固定效果已计入</v>
      </c>
      <c r="AR8">
        <f ca="1">IF(AND(B8="fixed",E8="艺术",COUNTIF(职业选项!$G$2:$G$28,C8)=0,COUNTIF($C$2:C8,C8)=1),ROW()-1,999)</f>
        <v>999</v>
      </c>
      <c r="AS8">
        <f ca="1">IF(AND(B8="fixed",E8="工艺",COUNTIF(职业选项!$G$2:$G$28,C8)=0,COUNTIF($C$2:C8,C8)=1),ROW()-1,999)</f>
        <v>999</v>
      </c>
      <c r="AT8">
        <f ca="1">IF(AND(B8="fixed",E8="外语",COUNTIF(职业选项!$G$2:$G$28,C8)=0,COUNTIF($C$2:C8,C8)=1),ROW()-1,999)</f>
        <v>999</v>
      </c>
      <c r="AU8">
        <f ca="1">IF(AND(B8="fixed",E8="军事科学",COUNTIF(职业选项!$G$2:$G$28,C8)=0,COUNTIF($C$2:C8,C8)=1),ROW()-1,999)</f>
        <v>999</v>
      </c>
      <c r="AV8">
        <f ca="1">IF(AND(B8="fixed",E8="特种载具",COUNTIF(职业选项!$G$2:$G$28,C8)=0,COUNTIF($C$2:C8,C8)=1),ROW()-1,999)</f>
        <v>999</v>
      </c>
      <c r="AW8">
        <f ca="1">IF(AND(B8="fixed",E8="科学",COUNTIF(职业选项!$G$2:$G$28,C8)=0,COUNTIF($C$2:C8,C8)=1),ROW()-1,999)</f>
        <v>999</v>
      </c>
      <c r="AX8">
        <f ca="1">IF(AND(B8="fixed",E8&lt;&gt;"",COUNTIF($A$20:$A$74,C8)=0,COUNTIF($C$2:C8,C8)=1),ROW()-1,999)</f>
        <v>999</v>
      </c>
    </row>
    <row r="9" spans="1:50">
      <c r="A9" t="str">
        <f ca="1">IF($S$1=0,"",IF(INDEX($C$1:$C$331,$S$1+7)="","",INDEX($C$1:$C$331,$S$1+7)))</f>
        <v>自选技能8（+20）</v>
      </c>
      <c r="B9" t="str">
        <f ca="1">IF($S$1=0,"",IF(INDEX($D$1:$D$331,$S$1+7)="","",INDEX($D$1:$D$331,$S$1+7)))</f>
        <v>any</v>
      </c>
      <c r="C9" t="str">
        <f ca="1">IF($S$1=0,"",IF(INDEX($E$1:$E$331,$S$1+7)="","",INDEX($E$1:$E$331,$S$1+7)))</f>
        <v/>
      </c>
      <c r="D9" t="str">
        <f ca="1">IF($S$1=0,"",IF(INDEX($F$1:$F$331,$S$1+7)="","",INDEX($F$1:$F$331,$S$1+7)))</f>
        <v/>
      </c>
      <c r="E9" t="str">
        <f ca="1">IF($S$1=0,"",IF(INDEX($G$1:$G$331,$S$1+7)="","",INDEX($G$1:$G$331,$S$1+7)))</f>
        <v/>
      </c>
      <c r="F9" t="str">
        <f>TRIM(人物卡!BZ56)</f>
        <v/>
      </c>
      <c r="G9" t="str">
        <f ca="1">IF(F9&lt;&gt;"",F9,IF(B9="fixed",C9,IF(B9="group",IF(E9="艺术",IFERROR(CHOOSE(COUNTIF($E$2:E9,E9),$A$24,$A$25,$A$26),""),IF(E9="工艺",IFERROR(CHOOSE(COUNTIF($E$2:E9,E9),$A$31,$A$32,$A$33,$A$34),""),IF(E9="外语",IFERROR(CHOOSE(COUNTIF($E$2:E9,E9),$A$42,$A$43,$A$44),""),IF(E9="军事科学",IFERROR(CHOOSE(COUNTIF($E$2:E9,E9),$A$53,$A$54,$A$55),""),IF(E9="特种载具",IFERROR(CHOOSE(COUNTIF($E$2:E9,E9),$A$60,$A$61,$A$62),""),IF(E9="科学",IFERROR(CHOOSE(COUNTIF($E$2:E9,E9),$A$65,$A$66,$A$67),""),"")))))),"")))</f>
        <v/>
      </c>
      <c r="H9" t="str">
        <f ca="1" t="shared" si="0"/>
        <v/>
      </c>
      <c r="I9" t="str">
        <f ca="1" t="shared" si="1"/>
        <v>待选／填写主卡细项</v>
      </c>
      <c r="AR9">
        <f ca="1">IF(AND(B9="fixed",E9="艺术",COUNTIF(职业选项!$G$2:$G$28,C9)=0,COUNTIF($C$2:C9,C9)=1),ROW()-1,999)</f>
        <v>999</v>
      </c>
      <c r="AS9">
        <f ca="1">IF(AND(B9="fixed",E9="工艺",COUNTIF(职业选项!$G$2:$G$28,C9)=0,COUNTIF($C$2:C9,C9)=1),ROW()-1,999)</f>
        <v>999</v>
      </c>
      <c r="AT9">
        <f ca="1">IF(AND(B9="fixed",E9="外语",COUNTIF(职业选项!$G$2:$G$28,C9)=0,COUNTIF($C$2:C9,C9)=1),ROW()-1,999)</f>
        <v>999</v>
      </c>
      <c r="AU9">
        <f ca="1">IF(AND(B9="fixed",E9="军事科学",COUNTIF(职业选项!$G$2:$G$28,C9)=0,COUNTIF($C$2:C9,C9)=1),ROW()-1,999)</f>
        <v>999</v>
      </c>
      <c r="AV9">
        <f ca="1">IF(AND(B9="fixed",E9="特种载具",COUNTIF(职业选项!$G$2:$G$28,C9)=0,COUNTIF($C$2:C9,C9)=1),ROW()-1,999)</f>
        <v>999</v>
      </c>
      <c r="AW9">
        <f ca="1">IF(AND(B9="fixed",E9="科学",COUNTIF(职业选项!$G$2:$G$28,C9)=0,COUNTIF($C$2:C9,C9)=1),ROW()-1,999)</f>
        <v>999</v>
      </c>
      <c r="AX9">
        <f ca="1">IF(AND(B9="fixed",E9&lt;&gt;"",COUNTIF($A$20:$A$74,C9)=0,COUNTIF($C$2:C9,C9)=1),ROW()-1,999)</f>
        <v>999</v>
      </c>
    </row>
    <row r="10" spans="1:50">
      <c r="S10"/>
    </row>
    <row r="12" spans="1:50">
      <c r="G12" t="str">
        <f>TRIM(人物卡!DF57)</f>
        <v/>
      </c>
      <c r="H12" t="str">
        <f ca="1">IF(AND(人物卡!$DF$46="艰苦经历",G12&lt;&gt;"",G12&lt;&gt;"非自然知识",COUNTIF($A$20:$A$78,G12)&gt;0,COUNTIF($G$12:$G$16,G12)=1),G12,"")</f>
        <v/>
      </c>
    </row>
    <row r="13" spans="1:50">
      <c r="G13" t="str">
        <f>TRIM(人物卡!DF58)</f>
        <v/>
      </c>
      <c r="H13" t="str">
        <f ca="1">IF(AND(人物卡!$DF$46="艰苦经历",G13&lt;&gt;"",G13&lt;&gt;"非自然知识",COUNTIF($A$20:$A$78,G13)&gt;0,COUNTIF($G$12:$G$16,G13)=1),G13,"")</f>
        <v/>
      </c>
    </row>
    <row r="14" spans="1:50">
      <c r="G14" t="str">
        <f>TRIM(人物卡!DF59)</f>
        <v/>
      </c>
      <c r="H14" t="str">
        <f ca="1">IF(AND(人物卡!$DF$46="艰苦经历",G14&lt;&gt;"",G14&lt;&gt;"非自然知识",COUNTIF($A$20:$A$78,G14)&gt;0,COUNTIF($G$12:$G$16,G14)=1),G14,"")</f>
        <v/>
      </c>
    </row>
    <row r="15" spans="1:50">
      <c r="G15" t="str">
        <f>TRIM(人物卡!DF60)</f>
        <v/>
      </c>
      <c r="H15" t="str">
        <f ca="1">IF(AND(人物卡!$DF$46="艰苦经历",G15&lt;&gt;"",G15&lt;&gt;"非自然知识",COUNTIF($A$20:$A$78,G15)&gt;0,COUNTIF($G$12:$G$16,G15)=1),G15,"")</f>
        <v/>
      </c>
    </row>
    <row r="16" spans="1:50">
      <c r="G16" t="str">
        <f>TRIM(人物卡!DF61)</f>
        <v/>
      </c>
      <c r="H16" t="str">
        <f ca="1">IF(AND(人物卡!$DF$46="艰苦经历",G16&lt;&gt;"",G16&lt;&gt;"非自然知识",COUNTIF($A$20:$A$78,G16)&gt;0,COUNTIF($G$12:$G$16,G16)=1),G16,"")</f>
        <v/>
      </c>
    </row>
    <row r="19" spans="1:42">
      <c r="Z19">
        <f ca="1">COUNTIF($Y$20:$Y$78,"&lt;999")</f>
        <v>36</v>
      </c>
      <c r="AA19">
        <f ca="1">COUNTIF($AB$20:$AB$78,"&lt;999")</f>
        <v>36</v>
      </c>
      <c r="AC19">
        <f ca="1">COUNTIF($AD$20:$AD$78,"&lt;999")</f>
        <v>36</v>
      </c>
      <c r="AE19">
        <f ca="1">COUNTIF($AF$20:$AF$78,"&lt;999")</f>
        <v>36</v>
      </c>
      <c r="AG19">
        <f ca="1">COUNTIF($AH$20:$AH$78,"&lt;999")</f>
        <v>36</v>
      </c>
      <c r="AI19">
        <f ca="1">COUNTIF($AJ$20:$AJ$78,"&lt;999")</f>
        <v>36</v>
      </c>
      <c r="AK19">
        <f ca="1">COUNTIF($AL$20:$AL$78,"&lt;999")</f>
        <v>36</v>
      </c>
      <c r="AM19">
        <f ca="1">COUNTIF($AN$20:$AN$78,"&lt;999")</f>
        <v>36</v>
      </c>
      <c r="AO19">
        <f ca="1">COUNTIF($AP$20:$AP$78,"&lt;999")</f>
        <v>36</v>
      </c>
    </row>
    <row r="20" spans="1:42">
      <c r="A20" t="str">
        <f>人物卡!D14</f>
        <v>会计学</v>
      </c>
      <c r="B20" t="str">
        <f t="shared" ref="B20:B78" si="2">IF(A20="","",IF(ISNUMBER(FIND("（",A20)),LEFT(A20,FIND("（",A20)-1),""))</f>
        <v/>
      </c>
      <c r="C20">
        <f ca="1">IF(人物卡!V14="",N(人物卡!S14),N(人物卡!V14))</f>
        <v>10</v>
      </c>
      <c r="D20">
        <f ca="1">IF(AND(A20&lt;&gt;"",COUNTIF($A$20:A20,A20)=1),COUNTIF($H$2:$H$9,A20)*20,0)</f>
        <v>0</v>
      </c>
      <c r="E20">
        <f ca="1" t="shared" ref="E20:E78" si="3">MIN(D20,MAX(0,80-C20))</f>
        <v>0</v>
      </c>
      <c r="F20">
        <f ca="1">IF(AND(A20&lt;&gt;"",COUNTIF($A$20:A20,A20)=1),IF(A20="神秘学",IF(人物卡!$DF$46="人类不应知道之事",20,IF(OR(人物卡!$DF$46="极端暴力",人物卡!$DF$46="关押或入狱",人物卡!$DF$46="艰苦经历"),10,0)),0)+IF(人物卡!$DF$46="艰苦经历",COUNTIF($H$12:$H$16,A20)*10,0),0)</f>
        <v>0</v>
      </c>
      <c r="G20">
        <f ca="1">IF(人物卡!$DF$46="艰苦经历",MIN(F20,MAX(0,90-C20-E20)),MIN(F20,MAX(0,99-C20-E20)))</f>
        <v>0</v>
      </c>
      <c r="H20" t="str">
        <f ca="1" t="shared" ref="H20:H78" si="4">IF(E20+G20=0,"",E20+G20)</f>
        <v/>
      </c>
      <c r="I20" t="str">
        <f ca="1" t="shared" ref="I20:I78" si="5">IF(AND(A20&lt;&gt;"",COUNTIF($A$20:$A$78,A20)&gt;1),"同名技能占多格","")</f>
        <v/>
      </c>
      <c r="J20" t="s">
        <v>956</v>
      </c>
      <c r="K20" t="s">
        <v>963</v>
      </c>
      <c r="Y20">
        <f>IF(AND($A20&lt;&gt;"",COUNTIF($A$20:A20,A20)=1,$A20&lt;&gt;"非自然知识"),ROW()-19,999)</f>
        <v>1</v>
      </c>
      <c r="Z20" t="str">
        <f ca="1">IFERROR(INDEX($A$20:$A$78,SMALL($Y$20:$Y$78,1)),"")</f>
        <v>会计学</v>
      </c>
      <c r="AA20" t="str">
        <f ca="1">IFERROR(INDEX($A$20:$A$78,SMALL($AB$20:$AB$78,1)),"")</f>
        <v>会计学</v>
      </c>
      <c r="AB20">
        <f ca="1">IF(AND($A20&lt;&gt;"",COUNTIF($A$20:A20,A20)=1,AND($A20&lt;&gt;"",$A20&lt;&gt;"非自然知识",COUNTIF($A$20:$A$78,$A20)&gt;0,OR($B$2="any",$B$2="fixed",AND($B$2="group",LEFT($A20,LEN($E$2)+1)=$E$2&amp;"（"),IFERROR(OR(ISNUMBER(FIND("|"&amp;$A20&amp;"|",$D$2)),AND(IFERROR(FIND("（",$A20),0)&gt;0,ISNUMBER(FIND("|"&amp;LEFT($A20,FIND("（",$A20)-1)&amp;"*|",$D$2)))),FALSE)))),ROW()-19,999)</f>
        <v>1</v>
      </c>
      <c r="AC20" t="str">
        <f ca="1">IFERROR(INDEX($A$20:$A$78,SMALL($AD$20:$AD$78,1)),"")</f>
        <v>会计学</v>
      </c>
      <c r="AD20">
        <f ca="1">IF(AND($A20&lt;&gt;"",COUNTIF($A$20:A20,A20)=1,AND($A20&lt;&gt;"",$A20&lt;&gt;"非自然知识",COUNTIF($A$20:$A$78,$A20)&gt;0,OR($B$3="any",$B$3="fixed",AND($B$3="group",LEFT($A20,LEN($E$3)+1)=$E$3&amp;"（"),IFERROR(OR(ISNUMBER(FIND("|"&amp;$A20&amp;"|",$D$3)),AND(IFERROR(FIND("（",$A20),0)&gt;0,ISNUMBER(FIND("|"&amp;LEFT($A20,FIND("（",$A20)-1)&amp;"*|",$D$3)))),FALSE)))),ROW()-19,999)</f>
        <v>1</v>
      </c>
      <c r="AE20" t="str">
        <f ca="1">IFERROR(INDEX($A$20:$A$78,SMALL($AF$20:$AF$78,1)),"")</f>
        <v>会计学</v>
      </c>
      <c r="AF20">
        <f ca="1">IF(AND($A20&lt;&gt;"",COUNTIF($A$20:A20,A20)=1,AND($A20&lt;&gt;"",$A20&lt;&gt;"非自然知识",COUNTIF($A$20:$A$78,$A20)&gt;0,OR($B$4="any",$B$4="fixed",AND($B$4="group",LEFT($A20,LEN($E$4)+1)=$E$4&amp;"（"),IFERROR(OR(ISNUMBER(FIND("|"&amp;$A20&amp;"|",$D$4)),AND(IFERROR(FIND("（",$A20),0)&gt;0,ISNUMBER(FIND("|"&amp;LEFT($A20,FIND("（",$A20)-1)&amp;"*|",$D$4)))),FALSE)))),ROW()-19,999)</f>
        <v>1</v>
      </c>
      <c r="AG20" t="str">
        <f ca="1">IFERROR(INDEX($A$20:$A$78,SMALL($AH$20:$AH$78,1)),"")</f>
        <v>会计学</v>
      </c>
      <c r="AH20">
        <f ca="1">IF(AND($A20&lt;&gt;"",COUNTIF($A$20:A20,A20)=1,AND($A20&lt;&gt;"",$A20&lt;&gt;"非自然知识",COUNTIF($A$20:$A$78,$A20)&gt;0,OR($B$5="any",$B$5="fixed",AND($B$5="group",LEFT($A20,LEN($E$5)+1)=$E$5&amp;"（"),IFERROR(OR(ISNUMBER(FIND("|"&amp;$A20&amp;"|",$D$5)),AND(IFERROR(FIND("（",$A20),0)&gt;0,ISNUMBER(FIND("|"&amp;LEFT($A20,FIND("（",$A20)-1)&amp;"*|",$D$5)))),FALSE)))),ROW()-19,999)</f>
        <v>1</v>
      </c>
      <c r="AI20" t="str">
        <f ca="1">IFERROR(INDEX($A$20:$A$78,SMALL($AJ$20:$AJ$78,1)),"")</f>
        <v>会计学</v>
      </c>
      <c r="AJ20">
        <f ca="1">IF(AND($A20&lt;&gt;"",COUNTIF($A$20:A20,A20)=1,AND($A20&lt;&gt;"",$A20&lt;&gt;"非自然知识",COUNTIF($A$20:$A$78,$A20)&gt;0,OR($B$6="any",$B$6="fixed",AND($B$6="group",LEFT($A20,LEN($E$6)+1)=$E$6&amp;"（"),IFERROR(OR(ISNUMBER(FIND("|"&amp;$A20&amp;"|",$D$6)),AND(IFERROR(FIND("（",$A20),0)&gt;0,ISNUMBER(FIND("|"&amp;LEFT($A20,FIND("（",$A20)-1)&amp;"*|",$D$6)))),FALSE)))),ROW()-19,999)</f>
        <v>1</v>
      </c>
      <c r="AK20" t="str">
        <f ca="1">IFERROR(INDEX($A$20:$A$78,SMALL($AL$20:$AL$78,1)),"")</f>
        <v>会计学</v>
      </c>
      <c r="AL20">
        <f ca="1">IF(AND($A20&lt;&gt;"",COUNTIF($A$20:A20,A20)=1,AND($A20&lt;&gt;"",$A20&lt;&gt;"非自然知识",COUNTIF($A$20:$A$78,$A20)&gt;0,OR($B$7="any",$B$7="fixed",AND($B$7="group",LEFT($A20,LEN($E$7)+1)=$E$7&amp;"（"),IFERROR(OR(ISNUMBER(FIND("|"&amp;$A20&amp;"|",$D$7)),AND(IFERROR(FIND("（",$A20),0)&gt;0,ISNUMBER(FIND("|"&amp;LEFT($A20,FIND("（",$A20)-1)&amp;"*|",$D$7)))),FALSE)))),ROW()-19,999)</f>
        <v>1</v>
      </c>
      <c r="AM20" t="str">
        <f ca="1">IFERROR(INDEX($A$20:$A$78,SMALL($AN$20:$AN$78,1)),"")</f>
        <v>会计学</v>
      </c>
      <c r="AN20">
        <f ca="1">IF(AND($A20&lt;&gt;"",COUNTIF($A$20:A20,A20)=1,AND($A20&lt;&gt;"",$A20&lt;&gt;"非自然知识",COUNTIF($A$20:$A$78,$A20)&gt;0,OR($B$8="any",$B$8="fixed",AND($B$8="group",LEFT($A20,LEN($E$8)+1)=$E$8&amp;"（"),IFERROR(OR(ISNUMBER(FIND("|"&amp;$A20&amp;"|",$D$8)),AND(IFERROR(FIND("（",$A20),0)&gt;0,ISNUMBER(FIND("|"&amp;LEFT($A20,FIND("（",$A20)-1)&amp;"*|",$D$8)))),FALSE)))),ROW()-19,999)</f>
        <v>1</v>
      </c>
      <c r="AO20" t="str">
        <f ca="1">IFERROR(INDEX($A$20:$A$78,SMALL($AP$20:$AP$78,1)),"")</f>
        <v>会计学</v>
      </c>
      <c r="AP20">
        <f ca="1">IF(AND($A20&lt;&gt;"",COUNTIF($A$20:A20,A20)=1,AND($A20&lt;&gt;"",$A20&lt;&gt;"非自然知识",COUNTIF($A$20:$A$78,$A20)&gt;0,OR($B$9="any",$B$9="fixed",AND($B$9="group",LEFT($A20,LEN($E$9)+1)=$E$9&amp;"（"),IFERROR(OR(ISNUMBER(FIND("|"&amp;$A20&amp;"|",$D$9)),AND(IFERROR(FIND("（",$A20),0)&gt;0,ISNUMBER(FIND("|"&amp;LEFT($A20,FIND("（",$A20)-1)&amp;"*|",$D$9)))),FALSE)))),ROW()-19,999)</f>
        <v>1</v>
      </c>
    </row>
    <row r="21" spans="1:42">
      <c r="A21" t="str">
        <f>人物卡!D15</f>
        <v>警觉</v>
      </c>
      <c r="B21" t="str">
        <f t="shared" si="2"/>
        <v/>
      </c>
      <c r="C21">
        <f ca="1">IF(人物卡!V15="",N(人物卡!S15),N(人物卡!V15))</f>
        <v>20</v>
      </c>
      <c r="D21">
        <f ca="1">IF(AND(A21&lt;&gt;"",COUNTIF($A$20:A21,A21)=1),COUNTIF($H$2:$H$9,A21)*20,0)</f>
        <v>0</v>
      </c>
      <c r="E21">
        <f ca="1" t="shared" si="3"/>
        <v>0</v>
      </c>
      <c r="F21">
        <f ca="1">IF(AND(A21&lt;&gt;"",COUNTIF($A$20:A21,A21)=1),IF(A21="神秘学",IF(人物卡!$DF$46="人类不应知道之事",20,IF(OR(人物卡!$DF$46="极端暴力",人物卡!$DF$46="关押或入狱",人物卡!$DF$46="艰苦经历"),10,0)),0)+IF(人物卡!$DF$46="艰苦经历",COUNTIF($H$12:$H$16,A21)*10,0),0)</f>
        <v>0</v>
      </c>
      <c r="G21">
        <f ca="1">IF(人物卡!$DF$46="艰苦经历",MIN(F21,MAX(0,90-C21-E21)),MIN(F21,MAX(0,99-C21-E21)))</f>
        <v>0</v>
      </c>
      <c r="H21" t="str">
        <f ca="1" t="shared" si="4"/>
        <v/>
      </c>
      <c r="I21" t="str">
        <f ca="1" t="shared" si="5"/>
        <v/>
      </c>
      <c r="J21" t="s">
        <v>982</v>
      </c>
      <c r="K21" t="s">
        <v>989</v>
      </c>
      <c r="Y21">
        <f>IF(AND($A21&lt;&gt;"",COUNTIF($A$20:A21,A21)=1,$A21&lt;&gt;"非自然知识"),ROW()-19,999)</f>
        <v>2</v>
      </c>
      <c r="Z21" t="str">
        <f ca="1">IFERROR(INDEX($A$20:$A$78,SMALL($Y$20:$Y$78,2)),"")</f>
        <v>警觉</v>
      </c>
      <c r="AA21" t="str">
        <f ca="1">IFERROR(INDEX($A$20:$A$78,SMALL($AB$20:$AB$78,2)),"")</f>
        <v>警觉</v>
      </c>
      <c r="AB21">
        <f ca="1">IF(AND($A21&lt;&gt;"",COUNTIF($A$20:A21,A21)=1,AND($A21&lt;&gt;"",$A21&lt;&gt;"非自然知识",COUNTIF($A$20:$A$78,$A21)&gt;0,OR($B$2="any",$B$2="fixed",AND($B$2="group",LEFT($A21,LEN($E$2)+1)=$E$2&amp;"（"),IFERROR(OR(ISNUMBER(FIND("|"&amp;$A21&amp;"|",$D$2)),AND(IFERROR(FIND("（",$A21),0)&gt;0,ISNUMBER(FIND("|"&amp;LEFT($A21,FIND("（",$A21)-1)&amp;"*|",$D$2)))),FALSE)))),ROW()-19,999)</f>
        <v>2</v>
      </c>
      <c r="AC21" t="str">
        <f ca="1">IFERROR(INDEX($A$20:$A$78,SMALL($AD$20:$AD$78,2)),"")</f>
        <v>警觉</v>
      </c>
      <c r="AD21">
        <f ca="1">IF(AND($A21&lt;&gt;"",COUNTIF($A$20:A21,A21)=1,AND($A21&lt;&gt;"",$A21&lt;&gt;"非自然知识",COUNTIF($A$20:$A$78,$A21)&gt;0,OR($B$3="any",$B$3="fixed",AND($B$3="group",LEFT($A21,LEN($E$3)+1)=$E$3&amp;"（"),IFERROR(OR(ISNUMBER(FIND("|"&amp;$A21&amp;"|",$D$3)),AND(IFERROR(FIND("（",$A21),0)&gt;0,ISNUMBER(FIND("|"&amp;LEFT($A21,FIND("（",$A21)-1)&amp;"*|",$D$3)))),FALSE)))),ROW()-19,999)</f>
        <v>2</v>
      </c>
      <c r="AE21" t="str">
        <f ca="1">IFERROR(INDEX($A$20:$A$78,SMALL($AF$20:$AF$78,2)),"")</f>
        <v>警觉</v>
      </c>
      <c r="AF21">
        <f ca="1">IF(AND($A21&lt;&gt;"",COUNTIF($A$20:A21,A21)=1,AND($A21&lt;&gt;"",$A21&lt;&gt;"非自然知识",COUNTIF($A$20:$A$78,$A21)&gt;0,OR($B$4="any",$B$4="fixed",AND($B$4="group",LEFT($A21,LEN($E$4)+1)=$E$4&amp;"（"),IFERROR(OR(ISNUMBER(FIND("|"&amp;$A21&amp;"|",$D$4)),AND(IFERROR(FIND("（",$A21),0)&gt;0,ISNUMBER(FIND("|"&amp;LEFT($A21,FIND("（",$A21)-1)&amp;"*|",$D$4)))),FALSE)))),ROW()-19,999)</f>
        <v>2</v>
      </c>
      <c r="AG21" t="str">
        <f ca="1">IFERROR(INDEX($A$20:$A$78,SMALL($AH$20:$AH$78,2)),"")</f>
        <v>警觉</v>
      </c>
      <c r="AH21">
        <f ca="1">IF(AND($A21&lt;&gt;"",COUNTIF($A$20:A21,A21)=1,AND($A21&lt;&gt;"",$A21&lt;&gt;"非自然知识",COUNTIF($A$20:$A$78,$A21)&gt;0,OR($B$5="any",$B$5="fixed",AND($B$5="group",LEFT($A21,LEN($E$5)+1)=$E$5&amp;"（"),IFERROR(OR(ISNUMBER(FIND("|"&amp;$A21&amp;"|",$D$5)),AND(IFERROR(FIND("（",$A21),0)&gt;0,ISNUMBER(FIND("|"&amp;LEFT($A21,FIND("（",$A21)-1)&amp;"*|",$D$5)))),FALSE)))),ROW()-19,999)</f>
        <v>2</v>
      </c>
      <c r="AI21" t="str">
        <f ca="1">IFERROR(INDEX($A$20:$A$78,SMALL($AJ$20:$AJ$78,2)),"")</f>
        <v>警觉</v>
      </c>
      <c r="AJ21">
        <f ca="1">IF(AND($A21&lt;&gt;"",COUNTIF($A$20:A21,A21)=1,AND($A21&lt;&gt;"",$A21&lt;&gt;"非自然知识",COUNTIF($A$20:$A$78,$A21)&gt;0,OR($B$6="any",$B$6="fixed",AND($B$6="group",LEFT($A21,LEN($E$6)+1)=$E$6&amp;"（"),IFERROR(OR(ISNUMBER(FIND("|"&amp;$A21&amp;"|",$D$6)),AND(IFERROR(FIND("（",$A21),0)&gt;0,ISNUMBER(FIND("|"&amp;LEFT($A21,FIND("（",$A21)-1)&amp;"*|",$D$6)))),FALSE)))),ROW()-19,999)</f>
        <v>2</v>
      </c>
      <c r="AK21" t="str">
        <f ca="1">IFERROR(INDEX($A$20:$A$78,SMALL($AL$20:$AL$78,2)),"")</f>
        <v>警觉</v>
      </c>
      <c r="AL21">
        <f ca="1">IF(AND($A21&lt;&gt;"",COUNTIF($A$20:A21,A21)=1,AND($A21&lt;&gt;"",$A21&lt;&gt;"非自然知识",COUNTIF($A$20:$A$78,$A21)&gt;0,OR($B$7="any",$B$7="fixed",AND($B$7="group",LEFT($A21,LEN($E$7)+1)=$E$7&amp;"（"),IFERROR(OR(ISNUMBER(FIND("|"&amp;$A21&amp;"|",$D$7)),AND(IFERROR(FIND("（",$A21),0)&gt;0,ISNUMBER(FIND("|"&amp;LEFT($A21,FIND("（",$A21)-1)&amp;"*|",$D$7)))),FALSE)))),ROW()-19,999)</f>
        <v>2</v>
      </c>
      <c r="AM21" t="str">
        <f ca="1">IFERROR(INDEX($A$20:$A$78,SMALL($AN$20:$AN$78,2)),"")</f>
        <v>警觉</v>
      </c>
      <c r="AN21">
        <f ca="1">IF(AND($A21&lt;&gt;"",COUNTIF($A$20:A21,A21)=1,AND($A21&lt;&gt;"",$A21&lt;&gt;"非自然知识",COUNTIF($A$20:$A$78,$A21)&gt;0,OR($B$8="any",$B$8="fixed",AND($B$8="group",LEFT($A21,LEN($E$8)+1)=$E$8&amp;"（"),IFERROR(OR(ISNUMBER(FIND("|"&amp;$A21&amp;"|",$D$8)),AND(IFERROR(FIND("（",$A21),0)&gt;0,ISNUMBER(FIND("|"&amp;LEFT($A21,FIND("（",$A21)-1)&amp;"*|",$D$8)))),FALSE)))),ROW()-19,999)</f>
        <v>2</v>
      </c>
      <c r="AO21" t="str">
        <f ca="1">IFERROR(INDEX($A$20:$A$78,SMALL($AP$20:$AP$78,2)),"")</f>
        <v>警觉</v>
      </c>
      <c r="AP21">
        <f ca="1">IF(AND($A21&lt;&gt;"",COUNTIF($A$20:A21,A21)=1,AND($A21&lt;&gt;"",$A21&lt;&gt;"非自然知识",COUNTIF($A$20:$A$78,$A21)&gt;0,OR($B$9="any",$B$9="fixed",AND($B$9="group",LEFT($A21,LEN($E$9)+1)=$E$9&amp;"（"),IFERROR(OR(ISNUMBER(FIND("|"&amp;$A21&amp;"|",$D$9)),AND(IFERROR(FIND("（",$A21),0)&gt;0,ISNUMBER(FIND("|"&amp;LEFT($A21,FIND("（",$A21)-1)&amp;"*|",$D$9)))),FALSE)))),ROW()-19,999)</f>
        <v>2</v>
      </c>
    </row>
    <row r="22" spans="1:42">
      <c r="A22" t="str">
        <f>人物卡!D16</f>
        <v>人类学</v>
      </c>
      <c r="B22" t="str">
        <f t="shared" si="2"/>
        <v/>
      </c>
      <c r="C22">
        <f ca="1">IF(人物卡!V16="",N(人物卡!S16),N(人物卡!V16))</f>
        <v>0</v>
      </c>
      <c r="D22">
        <f ca="1">IF(AND(A22&lt;&gt;"",COUNTIF($A$20:A22,A22)=1),COUNTIF($H$2:$H$9,A22)*20,0)</f>
        <v>0</v>
      </c>
      <c r="E22">
        <f ca="1" t="shared" si="3"/>
        <v>0</v>
      </c>
      <c r="F22">
        <f ca="1">IF(AND(A22&lt;&gt;"",COUNTIF($A$20:A22,A22)=1),IF(A22="神秘学",IF(人物卡!$DF$46="人类不应知道之事",20,IF(OR(人物卡!$DF$46="极端暴力",人物卡!$DF$46="关押或入狱",人物卡!$DF$46="艰苦经历"),10,0)),0)+IF(人物卡!$DF$46="艰苦经历",COUNTIF($H$12:$H$16,A22)*10,0),0)</f>
        <v>0</v>
      </c>
      <c r="G22">
        <f ca="1">IF(人物卡!$DF$46="艰苦经历",MIN(F22,MAX(0,90-C22-E22)),MIN(F22,MAX(0,99-C22-E22)))</f>
        <v>0</v>
      </c>
      <c r="H22" t="str">
        <f ca="1" t="shared" si="4"/>
        <v/>
      </c>
      <c r="I22" t="str">
        <f ca="1" t="shared" si="5"/>
        <v/>
      </c>
      <c r="J22" t="s">
        <v>1010</v>
      </c>
      <c r="K22" t="s">
        <v>1017</v>
      </c>
      <c r="Y22">
        <f>IF(AND($A22&lt;&gt;"",COUNTIF($A$20:A22,A22)=1,$A22&lt;&gt;"非自然知识"),ROW()-19,999)</f>
        <v>3</v>
      </c>
      <c r="Z22" t="str">
        <f ca="1">IFERROR(INDEX($A$20:$A$78,SMALL($Y$20:$Y$78,3)),"")</f>
        <v>人类学</v>
      </c>
      <c r="AA22" t="str">
        <f ca="1">IFERROR(INDEX($A$20:$A$78,SMALL($AB$20:$AB$78,3)),"")</f>
        <v>人类学</v>
      </c>
      <c r="AB22">
        <f ca="1">IF(AND($A22&lt;&gt;"",COUNTIF($A$20:A22,A22)=1,AND($A22&lt;&gt;"",$A22&lt;&gt;"非自然知识",COUNTIF($A$20:$A$78,$A22)&gt;0,OR($B$2="any",$B$2="fixed",AND($B$2="group",LEFT($A22,LEN($E$2)+1)=$E$2&amp;"（"),IFERROR(OR(ISNUMBER(FIND("|"&amp;$A22&amp;"|",$D$2)),AND(IFERROR(FIND("（",$A22),0)&gt;0,ISNUMBER(FIND("|"&amp;LEFT($A22,FIND("（",$A22)-1)&amp;"*|",$D$2)))),FALSE)))),ROW()-19,999)</f>
        <v>3</v>
      </c>
      <c r="AC22" t="str">
        <f ca="1">IFERROR(INDEX($A$20:$A$78,SMALL($AD$20:$AD$78,3)),"")</f>
        <v>人类学</v>
      </c>
      <c r="AD22">
        <f ca="1">IF(AND($A22&lt;&gt;"",COUNTIF($A$20:A22,A22)=1,AND($A22&lt;&gt;"",$A22&lt;&gt;"非自然知识",COUNTIF($A$20:$A$78,$A22)&gt;0,OR($B$3="any",$B$3="fixed",AND($B$3="group",LEFT($A22,LEN($E$3)+1)=$E$3&amp;"（"),IFERROR(OR(ISNUMBER(FIND("|"&amp;$A22&amp;"|",$D$3)),AND(IFERROR(FIND("（",$A22),0)&gt;0,ISNUMBER(FIND("|"&amp;LEFT($A22,FIND("（",$A22)-1)&amp;"*|",$D$3)))),FALSE)))),ROW()-19,999)</f>
        <v>3</v>
      </c>
      <c r="AE22" t="str">
        <f ca="1">IFERROR(INDEX($A$20:$A$78,SMALL($AF$20:$AF$78,3)),"")</f>
        <v>人类学</v>
      </c>
      <c r="AF22">
        <f ca="1">IF(AND($A22&lt;&gt;"",COUNTIF($A$20:A22,A22)=1,AND($A22&lt;&gt;"",$A22&lt;&gt;"非自然知识",COUNTIF($A$20:$A$78,$A22)&gt;0,OR($B$4="any",$B$4="fixed",AND($B$4="group",LEFT($A22,LEN($E$4)+1)=$E$4&amp;"（"),IFERROR(OR(ISNUMBER(FIND("|"&amp;$A22&amp;"|",$D$4)),AND(IFERROR(FIND("（",$A22),0)&gt;0,ISNUMBER(FIND("|"&amp;LEFT($A22,FIND("（",$A22)-1)&amp;"*|",$D$4)))),FALSE)))),ROW()-19,999)</f>
        <v>3</v>
      </c>
      <c r="AG22" t="str">
        <f ca="1">IFERROR(INDEX($A$20:$A$78,SMALL($AH$20:$AH$78,3)),"")</f>
        <v>人类学</v>
      </c>
      <c r="AH22">
        <f ca="1">IF(AND($A22&lt;&gt;"",COUNTIF($A$20:A22,A22)=1,AND($A22&lt;&gt;"",$A22&lt;&gt;"非自然知识",COUNTIF($A$20:$A$78,$A22)&gt;0,OR($B$5="any",$B$5="fixed",AND($B$5="group",LEFT($A22,LEN($E$5)+1)=$E$5&amp;"（"),IFERROR(OR(ISNUMBER(FIND("|"&amp;$A22&amp;"|",$D$5)),AND(IFERROR(FIND("（",$A22),0)&gt;0,ISNUMBER(FIND("|"&amp;LEFT($A22,FIND("（",$A22)-1)&amp;"*|",$D$5)))),FALSE)))),ROW()-19,999)</f>
        <v>3</v>
      </c>
      <c r="AI22" t="str">
        <f ca="1">IFERROR(INDEX($A$20:$A$78,SMALL($AJ$20:$AJ$78,3)),"")</f>
        <v>人类学</v>
      </c>
      <c r="AJ22">
        <f ca="1">IF(AND($A22&lt;&gt;"",COUNTIF($A$20:A22,A22)=1,AND($A22&lt;&gt;"",$A22&lt;&gt;"非自然知识",COUNTIF($A$20:$A$78,$A22)&gt;0,OR($B$6="any",$B$6="fixed",AND($B$6="group",LEFT($A22,LEN($E$6)+1)=$E$6&amp;"（"),IFERROR(OR(ISNUMBER(FIND("|"&amp;$A22&amp;"|",$D$6)),AND(IFERROR(FIND("（",$A22),0)&gt;0,ISNUMBER(FIND("|"&amp;LEFT($A22,FIND("（",$A22)-1)&amp;"*|",$D$6)))),FALSE)))),ROW()-19,999)</f>
        <v>3</v>
      </c>
      <c r="AK22" t="str">
        <f ca="1">IFERROR(INDEX($A$20:$A$78,SMALL($AL$20:$AL$78,3)),"")</f>
        <v>人类学</v>
      </c>
      <c r="AL22">
        <f ca="1">IF(AND($A22&lt;&gt;"",COUNTIF($A$20:A22,A22)=1,AND($A22&lt;&gt;"",$A22&lt;&gt;"非自然知识",COUNTIF($A$20:$A$78,$A22)&gt;0,OR($B$7="any",$B$7="fixed",AND($B$7="group",LEFT($A22,LEN($E$7)+1)=$E$7&amp;"（"),IFERROR(OR(ISNUMBER(FIND("|"&amp;$A22&amp;"|",$D$7)),AND(IFERROR(FIND("（",$A22),0)&gt;0,ISNUMBER(FIND("|"&amp;LEFT($A22,FIND("（",$A22)-1)&amp;"*|",$D$7)))),FALSE)))),ROW()-19,999)</f>
        <v>3</v>
      </c>
      <c r="AM22" t="str">
        <f ca="1">IFERROR(INDEX($A$20:$A$78,SMALL($AN$20:$AN$78,3)),"")</f>
        <v>人类学</v>
      </c>
      <c r="AN22">
        <f ca="1">IF(AND($A22&lt;&gt;"",COUNTIF($A$20:A22,A22)=1,AND($A22&lt;&gt;"",$A22&lt;&gt;"非自然知识",COUNTIF($A$20:$A$78,$A22)&gt;0,OR($B$8="any",$B$8="fixed",AND($B$8="group",LEFT($A22,LEN($E$8)+1)=$E$8&amp;"（"),IFERROR(OR(ISNUMBER(FIND("|"&amp;$A22&amp;"|",$D$8)),AND(IFERROR(FIND("（",$A22),0)&gt;0,ISNUMBER(FIND("|"&amp;LEFT($A22,FIND("（",$A22)-1)&amp;"*|",$D$8)))),FALSE)))),ROW()-19,999)</f>
        <v>3</v>
      </c>
      <c r="AO22" t="str">
        <f ca="1">IFERROR(INDEX($A$20:$A$78,SMALL($AP$20:$AP$78,3)),"")</f>
        <v>人类学</v>
      </c>
      <c r="AP22">
        <f ca="1">IF(AND($A22&lt;&gt;"",COUNTIF($A$20:A22,A22)=1,AND($A22&lt;&gt;"",$A22&lt;&gt;"非自然知识",COUNTIF($A$20:$A$78,$A22)&gt;0,OR($B$9="any",$B$9="fixed",AND($B$9="group",LEFT($A22,LEN($E$9)+1)=$E$9&amp;"（"),IFERROR(OR(ISNUMBER(FIND("|"&amp;$A22&amp;"|",$D$9)),AND(IFERROR(FIND("（",$A22),0)&gt;0,ISNUMBER(FIND("|"&amp;LEFT($A22,FIND("（",$A22)-1)&amp;"*|",$D$9)))),FALSE)))),ROW()-19,999)</f>
        <v>3</v>
      </c>
    </row>
    <row r="23" spans="1:42">
      <c r="A23" t="str">
        <f>人物卡!D17</f>
        <v>考古学</v>
      </c>
      <c r="B23" t="str">
        <f t="shared" si="2"/>
        <v/>
      </c>
      <c r="C23">
        <f ca="1">IF(人物卡!V17="",N(人物卡!S17),N(人物卡!V17))</f>
        <v>0</v>
      </c>
      <c r="D23">
        <f ca="1">IF(AND(A23&lt;&gt;"",COUNTIF($A$20:A23,A23)=1),COUNTIF($H$2:$H$9,A23)*20,0)</f>
        <v>0</v>
      </c>
      <c r="E23">
        <f ca="1" t="shared" si="3"/>
        <v>0</v>
      </c>
      <c r="F23">
        <f ca="1">IF(AND(A23&lt;&gt;"",COUNTIF($A$20:A23,A23)=1),IF(A23="神秘学",IF(人物卡!$DF$46="人类不应知道之事",20,IF(OR(人物卡!$DF$46="极端暴力",人物卡!$DF$46="关押或入狱",人物卡!$DF$46="艰苦经历"),10,0)),0)+IF(人物卡!$DF$46="艰苦经历",COUNTIF($H$12:$H$16,A23)*10,0),0)</f>
        <v>0</v>
      </c>
      <c r="G23">
        <f ca="1">IF(人物卡!$DF$46="艰苦经历",MIN(F23,MAX(0,90-C23-E23)),MIN(F23,MAX(0,99-C23-E23)))</f>
        <v>0</v>
      </c>
      <c r="H23" t="str">
        <f ca="1" t="shared" si="4"/>
        <v/>
      </c>
      <c r="I23" t="str">
        <f ca="1" t="shared" si="5"/>
        <v/>
      </c>
      <c r="J23" t="s">
        <v>1036</v>
      </c>
      <c r="K23" t="s">
        <v>1043</v>
      </c>
      <c r="Y23">
        <f>IF(AND($A23&lt;&gt;"",COUNTIF($A$20:A23,A23)=1,$A23&lt;&gt;"非自然知识"),ROW()-19,999)</f>
        <v>4</v>
      </c>
      <c r="Z23" t="str">
        <f ca="1">IFERROR(INDEX($A$20:$A$78,SMALL($Y$20:$Y$78,4)),"")</f>
        <v>考古学</v>
      </c>
      <c r="AA23" t="str">
        <f ca="1">IFERROR(INDEX($A$20:$A$78,SMALL($AB$20:$AB$78,4)),"")</f>
        <v>考古学</v>
      </c>
      <c r="AB23">
        <f ca="1">IF(AND($A23&lt;&gt;"",COUNTIF($A$20:A23,A23)=1,AND($A23&lt;&gt;"",$A23&lt;&gt;"非自然知识",COUNTIF($A$20:$A$78,$A23)&gt;0,OR($B$2="any",$B$2="fixed",AND($B$2="group",LEFT($A23,LEN($E$2)+1)=$E$2&amp;"（"),IFERROR(OR(ISNUMBER(FIND("|"&amp;$A23&amp;"|",$D$2)),AND(IFERROR(FIND("（",$A23),0)&gt;0,ISNUMBER(FIND("|"&amp;LEFT($A23,FIND("（",$A23)-1)&amp;"*|",$D$2)))),FALSE)))),ROW()-19,999)</f>
        <v>4</v>
      </c>
      <c r="AC23" t="str">
        <f ca="1">IFERROR(INDEX($A$20:$A$78,SMALL($AD$20:$AD$78,4)),"")</f>
        <v>考古学</v>
      </c>
      <c r="AD23">
        <f ca="1">IF(AND($A23&lt;&gt;"",COUNTIF($A$20:A23,A23)=1,AND($A23&lt;&gt;"",$A23&lt;&gt;"非自然知识",COUNTIF($A$20:$A$78,$A23)&gt;0,OR($B$3="any",$B$3="fixed",AND($B$3="group",LEFT($A23,LEN($E$3)+1)=$E$3&amp;"（"),IFERROR(OR(ISNUMBER(FIND("|"&amp;$A23&amp;"|",$D$3)),AND(IFERROR(FIND("（",$A23),0)&gt;0,ISNUMBER(FIND("|"&amp;LEFT($A23,FIND("（",$A23)-1)&amp;"*|",$D$3)))),FALSE)))),ROW()-19,999)</f>
        <v>4</v>
      </c>
      <c r="AE23" t="str">
        <f ca="1">IFERROR(INDEX($A$20:$A$78,SMALL($AF$20:$AF$78,4)),"")</f>
        <v>考古学</v>
      </c>
      <c r="AF23">
        <f ca="1">IF(AND($A23&lt;&gt;"",COUNTIF($A$20:A23,A23)=1,AND($A23&lt;&gt;"",$A23&lt;&gt;"非自然知识",COUNTIF($A$20:$A$78,$A23)&gt;0,OR($B$4="any",$B$4="fixed",AND($B$4="group",LEFT($A23,LEN($E$4)+1)=$E$4&amp;"（"),IFERROR(OR(ISNUMBER(FIND("|"&amp;$A23&amp;"|",$D$4)),AND(IFERROR(FIND("（",$A23),0)&gt;0,ISNUMBER(FIND("|"&amp;LEFT($A23,FIND("（",$A23)-1)&amp;"*|",$D$4)))),FALSE)))),ROW()-19,999)</f>
        <v>4</v>
      </c>
      <c r="AG23" t="str">
        <f ca="1">IFERROR(INDEX($A$20:$A$78,SMALL($AH$20:$AH$78,4)),"")</f>
        <v>考古学</v>
      </c>
      <c r="AH23">
        <f ca="1">IF(AND($A23&lt;&gt;"",COUNTIF($A$20:A23,A23)=1,AND($A23&lt;&gt;"",$A23&lt;&gt;"非自然知识",COUNTIF($A$20:$A$78,$A23)&gt;0,OR($B$5="any",$B$5="fixed",AND($B$5="group",LEFT($A23,LEN($E$5)+1)=$E$5&amp;"（"),IFERROR(OR(ISNUMBER(FIND("|"&amp;$A23&amp;"|",$D$5)),AND(IFERROR(FIND("（",$A23),0)&gt;0,ISNUMBER(FIND("|"&amp;LEFT($A23,FIND("（",$A23)-1)&amp;"*|",$D$5)))),FALSE)))),ROW()-19,999)</f>
        <v>4</v>
      </c>
      <c r="AI23" t="str">
        <f ca="1">IFERROR(INDEX($A$20:$A$78,SMALL($AJ$20:$AJ$78,4)),"")</f>
        <v>考古学</v>
      </c>
      <c r="AJ23">
        <f ca="1">IF(AND($A23&lt;&gt;"",COUNTIF($A$20:A23,A23)=1,AND($A23&lt;&gt;"",$A23&lt;&gt;"非自然知识",COUNTIF($A$20:$A$78,$A23)&gt;0,OR($B$6="any",$B$6="fixed",AND($B$6="group",LEFT($A23,LEN($E$6)+1)=$E$6&amp;"（"),IFERROR(OR(ISNUMBER(FIND("|"&amp;$A23&amp;"|",$D$6)),AND(IFERROR(FIND("（",$A23),0)&gt;0,ISNUMBER(FIND("|"&amp;LEFT($A23,FIND("（",$A23)-1)&amp;"*|",$D$6)))),FALSE)))),ROW()-19,999)</f>
        <v>4</v>
      </c>
      <c r="AK23" t="str">
        <f ca="1">IFERROR(INDEX($A$20:$A$78,SMALL($AL$20:$AL$78,4)),"")</f>
        <v>考古学</v>
      </c>
      <c r="AL23">
        <f ca="1">IF(AND($A23&lt;&gt;"",COUNTIF($A$20:A23,A23)=1,AND($A23&lt;&gt;"",$A23&lt;&gt;"非自然知识",COUNTIF($A$20:$A$78,$A23)&gt;0,OR($B$7="any",$B$7="fixed",AND($B$7="group",LEFT($A23,LEN($E$7)+1)=$E$7&amp;"（"),IFERROR(OR(ISNUMBER(FIND("|"&amp;$A23&amp;"|",$D$7)),AND(IFERROR(FIND("（",$A23),0)&gt;0,ISNUMBER(FIND("|"&amp;LEFT($A23,FIND("（",$A23)-1)&amp;"*|",$D$7)))),FALSE)))),ROW()-19,999)</f>
        <v>4</v>
      </c>
      <c r="AM23" t="str">
        <f ca="1">IFERROR(INDEX($A$20:$A$78,SMALL($AN$20:$AN$78,4)),"")</f>
        <v>考古学</v>
      </c>
      <c r="AN23">
        <f ca="1">IF(AND($A23&lt;&gt;"",COUNTIF($A$20:A23,A23)=1,AND($A23&lt;&gt;"",$A23&lt;&gt;"非自然知识",COUNTIF($A$20:$A$78,$A23)&gt;0,OR($B$8="any",$B$8="fixed",AND($B$8="group",LEFT($A23,LEN($E$8)+1)=$E$8&amp;"（"),IFERROR(OR(ISNUMBER(FIND("|"&amp;$A23&amp;"|",$D$8)),AND(IFERROR(FIND("（",$A23),0)&gt;0,ISNUMBER(FIND("|"&amp;LEFT($A23,FIND("（",$A23)-1)&amp;"*|",$D$8)))),FALSE)))),ROW()-19,999)</f>
        <v>4</v>
      </c>
      <c r="AO23" t="str">
        <f ca="1">IFERROR(INDEX($A$20:$A$78,SMALL($AP$20:$AP$78,4)),"")</f>
        <v>考古学</v>
      </c>
      <c r="AP23">
        <f ca="1">IF(AND($A23&lt;&gt;"",COUNTIF($A$20:A23,A23)=1,AND($A23&lt;&gt;"",$A23&lt;&gt;"非自然知识",COUNTIF($A$20:$A$78,$A23)&gt;0,OR($B$9="any",$B$9="fixed",AND($B$9="group",LEFT($A23,LEN($E$9)+1)=$E$9&amp;"（"),IFERROR(OR(ISNUMBER(FIND("|"&amp;$A23&amp;"|",$D$9)),AND(IFERROR(FIND("（",$A23),0)&gt;0,ISNUMBER(FIND("|"&amp;LEFT($A23,FIND("（",$A23)-1)&amp;"*|",$D$9)))),FALSE)))),ROW()-19,999)</f>
        <v>4</v>
      </c>
    </row>
    <row r="24" spans="1:42">
      <c r="A24" t="str">
        <f ca="1">IF(TRIM(人物卡!J18)="","","艺术（"&amp;TRIM(人物卡!J18)&amp;"）")</f>
        <v/>
      </c>
      <c r="B24" t="str">
        <f ca="1" t="shared" si="2"/>
        <v/>
      </c>
      <c r="C24">
        <f ca="1">IF(人物卡!V18="",N(人物卡!S18),N(人物卡!V18))</f>
        <v>0</v>
      </c>
      <c r="D24">
        <f ca="1">IF(AND(A24&lt;&gt;"",COUNTIF($A$20:A24,A24)=1),COUNTIF($H$2:$H$9,A24)*20,0)</f>
        <v>0</v>
      </c>
      <c r="E24">
        <f ca="1" t="shared" si="3"/>
        <v>0</v>
      </c>
      <c r="F24">
        <f ca="1">IF(AND(A24&lt;&gt;"",COUNTIF($A$20:A24,A24)=1),IF(A24="神秘学",IF(人物卡!$DF$46="人类不应知道之事",20,IF(OR(人物卡!$DF$46="极端暴力",人物卡!$DF$46="关押或入狱",人物卡!$DF$46="艰苦经历"),10,0)),0)+IF(人物卡!$DF$46="艰苦经历",COUNTIF($H$12:$H$16,A24)*10,0),0)</f>
        <v>0</v>
      </c>
      <c r="G24">
        <f ca="1">IF(人物卡!$DF$46="艰苦经历",MIN(F24,MAX(0,90-C24-E24)),MIN(F24,MAX(0,99-C24-E24)))</f>
        <v>0</v>
      </c>
      <c r="H24" t="str">
        <f ca="1" t="shared" si="4"/>
        <v/>
      </c>
      <c r="I24" t="str">
        <f ca="1" t="shared" si="5"/>
        <v/>
      </c>
      <c r="J24" t="s">
        <v>1062</v>
      </c>
      <c r="K24" t="s">
        <v>1069</v>
      </c>
      <c r="Y24">
        <f ca="1">IF(AND($A24&lt;&gt;"",COUNTIF($A$20:A24,A24)=1,$A24&lt;&gt;"非自然知识"),ROW()-19,999)</f>
        <v>999</v>
      </c>
      <c r="Z24" t="str">
        <f ca="1">IFERROR(INDEX($A$20:$A$78,SMALL($Y$20:$Y$78,5)),"")</f>
        <v>炮术</v>
      </c>
      <c r="AA24" t="str">
        <f ca="1">IFERROR(INDEX($A$20:$A$78,SMALL($AB$20:$AB$78,5)),"")</f>
        <v>炮术</v>
      </c>
      <c r="AB24">
        <f ca="1">IF(AND($A24&lt;&gt;"",COUNTIF($A$20:A24,A24)=1,AND($A24&lt;&gt;"",$A24&lt;&gt;"非自然知识",COUNTIF($A$20:$A$78,$A24)&gt;0,OR($B$2="any",$B$2="fixed",AND($B$2="group",LEFT($A24,LEN($E$2)+1)=$E$2&amp;"（"),IFERROR(OR(ISNUMBER(FIND("|"&amp;$A24&amp;"|",$D$2)),AND(IFERROR(FIND("（",$A24),0)&gt;0,ISNUMBER(FIND("|"&amp;LEFT($A24,FIND("（",$A24)-1)&amp;"*|",$D$2)))),FALSE)))),ROW()-19,999)</f>
        <v>999</v>
      </c>
      <c r="AC24" t="str">
        <f ca="1">IFERROR(INDEX($A$20:$A$78,SMALL($AD$20:$AD$78,5)),"")</f>
        <v>炮术</v>
      </c>
      <c r="AD24">
        <f ca="1">IF(AND($A24&lt;&gt;"",COUNTIF($A$20:A24,A24)=1,AND($A24&lt;&gt;"",$A24&lt;&gt;"非自然知识",COUNTIF($A$20:$A$78,$A24)&gt;0,OR($B$3="any",$B$3="fixed",AND($B$3="group",LEFT($A24,LEN($E$3)+1)=$E$3&amp;"（"),IFERROR(OR(ISNUMBER(FIND("|"&amp;$A24&amp;"|",$D$3)),AND(IFERROR(FIND("（",$A24),0)&gt;0,ISNUMBER(FIND("|"&amp;LEFT($A24,FIND("（",$A24)-1)&amp;"*|",$D$3)))),FALSE)))),ROW()-19,999)</f>
        <v>999</v>
      </c>
      <c r="AE24" t="str">
        <f ca="1">IFERROR(INDEX($A$20:$A$78,SMALL($AF$20:$AF$78,5)),"")</f>
        <v>炮术</v>
      </c>
      <c r="AF24">
        <f ca="1">IF(AND($A24&lt;&gt;"",COUNTIF($A$20:A24,A24)=1,AND($A24&lt;&gt;"",$A24&lt;&gt;"非自然知识",COUNTIF($A$20:$A$78,$A24)&gt;0,OR($B$4="any",$B$4="fixed",AND($B$4="group",LEFT($A24,LEN($E$4)+1)=$E$4&amp;"（"),IFERROR(OR(ISNUMBER(FIND("|"&amp;$A24&amp;"|",$D$4)),AND(IFERROR(FIND("（",$A24),0)&gt;0,ISNUMBER(FIND("|"&amp;LEFT($A24,FIND("（",$A24)-1)&amp;"*|",$D$4)))),FALSE)))),ROW()-19,999)</f>
        <v>999</v>
      </c>
      <c r="AG24" t="str">
        <f ca="1">IFERROR(INDEX($A$20:$A$78,SMALL($AH$20:$AH$78,5)),"")</f>
        <v>炮术</v>
      </c>
      <c r="AH24">
        <f ca="1">IF(AND($A24&lt;&gt;"",COUNTIF($A$20:A24,A24)=1,AND($A24&lt;&gt;"",$A24&lt;&gt;"非自然知识",COUNTIF($A$20:$A$78,$A24)&gt;0,OR($B$5="any",$B$5="fixed",AND($B$5="group",LEFT($A24,LEN($E$5)+1)=$E$5&amp;"（"),IFERROR(OR(ISNUMBER(FIND("|"&amp;$A24&amp;"|",$D$5)),AND(IFERROR(FIND("（",$A24),0)&gt;0,ISNUMBER(FIND("|"&amp;LEFT($A24,FIND("（",$A24)-1)&amp;"*|",$D$5)))),FALSE)))),ROW()-19,999)</f>
        <v>999</v>
      </c>
      <c r="AI24" t="str">
        <f ca="1">IFERROR(INDEX($A$20:$A$78,SMALL($AJ$20:$AJ$78,5)),"")</f>
        <v>炮术</v>
      </c>
      <c r="AJ24">
        <f ca="1">IF(AND($A24&lt;&gt;"",COUNTIF($A$20:A24,A24)=1,AND($A24&lt;&gt;"",$A24&lt;&gt;"非自然知识",COUNTIF($A$20:$A$78,$A24)&gt;0,OR($B$6="any",$B$6="fixed",AND($B$6="group",LEFT($A24,LEN($E$6)+1)=$E$6&amp;"（"),IFERROR(OR(ISNUMBER(FIND("|"&amp;$A24&amp;"|",$D$6)),AND(IFERROR(FIND("（",$A24),0)&gt;0,ISNUMBER(FIND("|"&amp;LEFT($A24,FIND("（",$A24)-1)&amp;"*|",$D$6)))),FALSE)))),ROW()-19,999)</f>
        <v>999</v>
      </c>
      <c r="AK24" t="str">
        <f ca="1">IFERROR(INDEX($A$20:$A$78,SMALL($AL$20:$AL$78,5)),"")</f>
        <v>炮术</v>
      </c>
      <c r="AL24">
        <f ca="1">IF(AND($A24&lt;&gt;"",COUNTIF($A$20:A24,A24)=1,AND($A24&lt;&gt;"",$A24&lt;&gt;"非自然知识",COUNTIF($A$20:$A$78,$A24)&gt;0,OR($B$7="any",$B$7="fixed",AND($B$7="group",LEFT($A24,LEN($E$7)+1)=$E$7&amp;"（"),IFERROR(OR(ISNUMBER(FIND("|"&amp;$A24&amp;"|",$D$7)),AND(IFERROR(FIND("（",$A24),0)&gt;0,ISNUMBER(FIND("|"&amp;LEFT($A24,FIND("（",$A24)-1)&amp;"*|",$D$7)))),FALSE)))),ROW()-19,999)</f>
        <v>999</v>
      </c>
      <c r="AM24" t="str">
        <f ca="1">IFERROR(INDEX($A$20:$A$78,SMALL($AN$20:$AN$78,5)),"")</f>
        <v>炮术</v>
      </c>
      <c r="AN24">
        <f ca="1">IF(AND($A24&lt;&gt;"",COUNTIF($A$20:A24,A24)=1,AND($A24&lt;&gt;"",$A24&lt;&gt;"非自然知识",COUNTIF($A$20:$A$78,$A24)&gt;0,OR($B$8="any",$B$8="fixed",AND($B$8="group",LEFT($A24,LEN($E$8)+1)=$E$8&amp;"（"),IFERROR(OR(ISNUMBER(FIND("|"&amp;$A24&amp;"|",$D$8)),AND(IFERROR(FIND("（",$A24),0)&gt;0,ISNUMBER(FIND("|"&amp;LEFT($A24,FIND("（",$A24)-1)&amp;"*|",$D$8)))),FALSE)))),ROW()-19,999)</f>
        <v>999</v>
      </c>
      <c r="AO24" t="str">
        <f ca="1">IFERROR(INDEX($A$20:$A$78,SMALL($AP$20:$AP$78,5)),"")</f>
        <v>炮术</v>
      </c>
      <c r="AP24">
        <f ca="1">IF(AND($A24&lt;&gt;"",COUNTIF($A$20:A24,A24)=1,AND($A24&lt;&gt;"",$A24&lt;&gt;"非自然知识",COUNTIF($A$20:$A$78,$A24)&gt;0,OR($B$9="any",$B$9="fixed",AND($B$9="group",LEFT($A24,LEN($E$9)+1)=$E$9&amp;"（"),IFERROR(OR(ISNUMBER(FIND("|"&amp;$A24&amp;"|",$D$9)),AND(IFERROR(FIND("（",$A24),0)&gt;0,ISNUMBER(FIND("|"&amp;LEFT($A24,FIND("（",$A24)-1)&amp;"*|",$D$9)))),FALSE)))),ROW()-19,999)</f>
        <v>999</v>
      </c>
    </row>
    <row r="25" spans="1:42">
      <c r="A25" t="str">
        <f ca="1">IF(TRIM(人物卡!J19)="","","艺术（"&amp;TRIM(人物卡!J19)&amp;"）")</f>
        <v/>
      </c>
      <c r="B25" t="str">
        <f ca="1" t="shared" si="2"/>
        <v/>
      </c>
      <c r="C25">
        <f ca="1">IF(人物卡!V19="",N(人物卡!S19),N(人物卡!V19))</f>
        <v>0</v>
      </c>
      <c r="D25">
        <f ca="1">IF(AND(A25&lt;&gt;"",COUNTIF($A$20:A25,A25)=1),COUNTIF($H$2:$H$9,A25)*20,0)</f>
        <v>0</v>
      </c>
      <c r="E25">
        <f ca="1" t="shared" si="3"/>
        <v>0</v>
      </c>
      <c r="F25">
        <f ca="1">IF(AND(A25&lt;&gt;"",COUNTIF($A$20:A25,A25)=1),IF(A25="神秘学",IF(人物卡!$DF$46="人类不应知道之事",20,IF(OR(人物卡!$DF$46="极端暴力",人物卡!$DF$46="关押或入狱",人物卡!$DF$46="艰苦经历"),10,0)),0)+IF(人物卡!$DF$46="艰苦经历",COUNTIF($H$12:$H$16,A25)*10,0),0)</f>
        <v>0</v>
      </c>
      <c r="G25">
        <f ca="1">IF(人物卡!$DF$46="艰苦经历",MIN(F25,MAX(0,90-C25-E25)),MIN(F25,MAX(0,99-C25-E25)))</f>
        <v>0</v>
      </c>
      <c r="H25" t="str">
        <f ca="1" t="shared" si="4"/>
        <v/>
      </c>
      <c r="I25" t="str">
        <f ca="1" t="shared" si="5"/>
        <v/>
      </c>
      <c r="J25" t="s">
        <v>1088</v>
      </c>
      <c r="K25" t="s">
        <v>1095</v>
      </c>
      <c r="Y25">
        <f ca="1">IF(AND($A25&lt;&gt;"",COUNTIF($A$20:A25,A25)=1,$A25&lt;&gt;"非自然知识"),ROW()-19,999)</f>
        <v>999</v>
      </c>
      <c r="Z25" t="str">
        <f ca="1">IFERROR(INDEX($A$20:$A$78,SMALL($Y$20:$Y$78,6)),"")</f>
        <v>运动</v>
      </c>
      <c r="AA25" t="str">
        <f ca="1">IFERROR(INDEX($A$20:$A$78,SMALL($AB$20:$AB$78,6)),"")</f>
        <v>运动</v>
      </c>
      <c r="AB25">
        <f ca="1">IF(AND($A25&lt;&gt;"",COUNTIF($A$20:A25,A25)=1,AND($A25&lt;&gt;"",$A25&lt;&gt;"非自然知识",COUNTIF($A$20:$A$78,$A25)&gt;0,OR($B$2="any",$B$2="fixed",AND($B$2="group",LEFT($A25,LEN($E$2)+1)=$E$2&amp;"（"),IFERROR(OR(ISNUMBER(FIND("|"&amp;$A25&amp;"|",$D$2)),AND(IFERROR(FIND("（",$A25),0)&gt;0,ISNUMBER(FIND("|"&amp;LEFT($A25,FIND("（",$A25)-1)&amp;"*|",$D$2)))),FALSE)))),ROW()-19,999)</f>
        <v>999</v>
      </c>
      <c r="AC25" t="str">
        <f ca="1">IFERROR(INDEX($A$20:$A$78,SMALL($AD$20:$AD$78,6)),"")</f>
        <v>运动</v>
      </c>
      <c r="AD25">
        <f ca="1">IF(AND($A25&lt;&gt;"",COUNTIF($A$20:A25,A25)=1,AND($A25&lt;&gt;"",$A25&lt;&gt;"非自然知识",COUNTIF($A$20:$A$78,$A25)&gt;0,OR($B$3="any",$B$3="fixed",AND($B$3="group",LEFT($A25,LEN($E$3)+1)=$E$3&amp;"（"),IFERROR(OR(ISNUMBER(FIND("|"&amp;$A25&amp;"|",$D$3)),AND(IFERROR(FIND("（",$A25),0)&gt;0,ISNUMBER(FIND("|"&amp;LEFT($A25,FIND("（",$A25)-1)&amp;"*|",$D$3)))),FALSE)))),ROW()-19,999)</f>
        <v>999</v>
      </c>
      <c r="AE25" t="str">
        <f ca="1">IFERROR(INDEX($A$20:$A$78,SMALL($AF$20:$AF$78,6)),"")</f>
        <v>运动</v>
      </c>
      <c r="AF25">
        <f ca="1">IF(AND($A25&lt;&gt;"",COUNTIF($A$20:A25,A25)=1,AND($A25&lt;&gt;"",$A25&lt;&gt;"非自然知识",COUNTIF($A$20:$A$78,$A25)&gt;0,OR($B$4="any",$B$4="fixed",AND($B$4="group",LEFT($A25,LEN($E$4)+1)=$E$4&amp;"（"),IFERROR(OR(ISNUMBER(FIND("|"&amp;$A25&amp;"|",$D$4)),AND(IFERROR(FIND("（",$A25),0)&gt;0,ISNUMBER(FIND("|"&amp;LEFT($A25,FIND("（",$A25)-1)&amp;"*|",$D$4)))),FALSE)))),ROW()-19,999)</f>
        <v>999</v>
      </c>
      <c r="AG25" t="str">
        <f ca="1">IFERROR(INDEX($A$20:$A$78,SMALL($AH$20:$AH$78,6)),"")</f>
        <v>运动</v>
      </c>
      <c r="AH25">
        <f ca="1">IF(AND($A25&lt;&gt;"",COUNTIF($A$20:A25,A25)=1,AND($A25&lt;&gt;"",$A25&lt;&gt;"非自然知识",COUNTIF($A$20:$A$78,$A25)&gt;0,OR($B$5="any",$B$5="fixed",AND($B$5="group",LEFT($A25,LEN($E$5)+1)=$E$5&amp;"（"),IFERROR(OR(ISNUMBER(FIND("|"&amp;$A25&amp;"|",$D$5)),AND(IFERROR(FIND("（",$A25),0)&gt;0,ISNUMBER(FIND("|"&amp;LEFT($A25,FIND("（",$A25)-1)&amp;"*|",$D$5)))),FALSE)))),ROW()-19,999)</f>
        <v>999</v>
      </c>
      <c r="AI25" t="str">
        <f ca="1">IFERROR(INDEX($A$20:$A$78,SMALL($AJ$20:$AJ$78,6)),"")</f>
        <v>运动</v>
      </c>
      <c r="AJ25">
        <f ca="1">IF(AND($A25&lt;&gt;"",COUNTIF($A$20:A25,A25)=1,AND($A25&lt;&gt;"",$A25&lt;&gt;"非自然知识",COUNTIF($A$20:$A$78,$A25)&gt;0,OR($B$6="any",$B$6="fixed",AND($B$6="group",LEFT($A25,LEN($E$6)+1)=$E$6&amp;"（"),IFERROR(OR(ISNUMBER(FIND("|"&amp;$A25&amp;"|",$D$6)),AND(IFERROR(FIND("（",$A25),0)&gt;0,ISNUMBER(FIND("|"&amp;LEFT($A25,FIND("（",$A25)-1)&amp;"*|",$D$6)))),FALSE)))),ROW()-19,999)</f>
        <v>999</v>
      </c>
      <c r="AK25" t="str">
        <f ca="1">IFERROR(INDEX($A$20:$A$78,SMALL($AL$20:$AL$78,6)),"")</f>
        <v>运动</v>
      </c>
      <c r="AL25">
        <f ca="1">IF(AND($A25&lt;&gt;"",COUNTIF($A$20:A25,A25)=1,AND($A25&lt;&gt;"",$A25&lt;&gt;"非自然知识",COUNTIF($A$20:$A$78,$A25)&gt;0,OR($B$7="any",$B$7="fixed",AND($B$7="group",LEFT($A25,LEN($E$7)+1)=$E$7&amp;"（"),IFERROR(OR(ISNUMBER(FIND("|"&amp;$A25&amp;"|",$D$7)),AND(IFERROR(FIND("（",$A25),0)&gt;0,ISNUMBER(FIND("|"&amp;LEFT($A25,FIND("（",$A25)-1)&amp;"*|",$D$7)))),FALSE)))),ROW()-19,999)</f>
        <v>999</v>
      </c>
      <c r="AM25" t="str">
        <f ca="1">IFERROR(INDEX($A$20:$A$78,SMALL($AN$20:$AN$78,6)),"")</f>
        <v>运动</v>
      </c>
      <c r="AN25">
        <f ca="1">IF(AND($A25&lt;&gt;"",COUNTIF($A$20:A25,A25)=1,AND($A25&lt;&gt;"",$A25&lt;&gt;"非自然知识",COUNTIF($A$20:$A$78,$A25)&gt;0,OR($B$8="any",$B$8="fixed",AND($B$8="group",LEFT($A25,LEN($E$8)+1)=$E$8&amp;"（"),IFERROR(OR(ISNUMBER(FIND("|"&amp;$A25&amp;"|",$D$8)),AND(IFERROR(FIND("（",$A25),0)&gt;0,ISNUMBER(FIND("|"&amp;LEFT($A25,FIND("（",$A25)-1)&amp;"*|",$D$8)))),FALSE)))),ROW()-19,999)</f>
        <v>999</v>
      </c>
      <c r="AO25" t="str">
        <f ca="1">IFERROR(INDEX($A$20:$A$78,SMALL($AP$20:$AP$78,6)),"")</f>
        <v>运动</v>
      </c>
      <c r="AP25">
        <f ca="1">IF(AND($A25&lt;&gt;"",COUNTIF($A$20:A25,A25)=1,AND($A25&lt;&gt;"",$A25&lt;&gt;"非自然知识",COUNTIF($A$20:$A$78,$A25)&gt;0,OR($B$9="any",$B$9="fixed",AND($B$9="group",LEFT($A25,LEN($E$9)+1)=$E$9&amp;"（"),IFERROR(OR(ISNUMBER(FIND("|"&amp;$A25&amp;"|",$D$9)),AND(IFERROR(FIND("（",$A25),0)&gt;0,ISNUMBER(FIND("|"&amp;LEFT($A25,FIND("（",$A25)-1)&amp;"*|",$D$9)))),FALSE)))),ROW()-19,999)</f>
        <v>999</v>
      </c>
    </row>
    <row r="26" spans="1:42">
      <c r="A26" t="str">
        <f ca="1">IF(TRIM(人物卡!J20)="","","艺术（"&amp;TRIM(人物卡!J20)&amp;"）")</f>
        <v/>
      </c>
      <c r="B26" t="str">
        <f ca="1" t="shared" si="2"/>
        <v/>
      </c>
      <c r="C26">
        <f ca="1">IF(人物卡!V20="",N(人物卡!S20),N(人物卡!V20))</f>
        <v>0</v>
      </c>
      <c r="D26">
        <f ca="1">IF(AND(A26&lt;&gt;"",COUNTIF($A$20:A26,A26)=1),COUNTIF($H$2:$H$9,A26)*20,0)</f>
        <v>0</v>
      </c>
      <c r="E26">
        <f ca="1" t="shared" si="3"/>
        <v>0</v>
      </c>
      <c r="F26">
        <f ca="1">IF(AND(A26&lt;&gt;"",COUNTIF($A$20:A26,A26)=1),IF(A26="神秘学",IF(人物卡!$DF$46="人类不应知道之事",20,IF(OR(人物卡!$DF$46="极端暴力",人物卡!$DF$46="关押或入狱",人物卡!$DF$46="艰苦经历"),10,0)),0)+IF(人物卡!$DF$46="艰苦经历",COUNTIF($H$12:$H$16,A26)*10,0),0)</f>
        <v>0</v>
      </c>
      <c r="G26">
        <f ca="1">IF(人物卡!$DF$46="艰苦经历",MIN(F26,MAX(0,90-C26-E26)),MIN(F26,MAX(0,99-C26-E26)))</f>
        <v>0</v>
      </c>
      <c r="H26" t="str">
        <f ca="1" t="shared" si="4"/>
        <v/>
      </c>
      <c r="I26" t="str">
        <f ca="1" t="shared" si="5"/>
        <v/>
      </c>
      <c r="J26" t="s">
        <v>1116</v>
      </c>
      <c r="K26" t="s">
        <v>1124</v>
      </c>
      <c r="Y26">
        <f ca="1">IF(AND($A26&lt;&gt;"",COUNTIF($A$20:A26,A26)=1,$A26&lt;&gt;"非自然知识"),ROW()-19,999)</f>
        <v>999</v>
      </c>
      <c r="Z26" t="str">
        <f ca="1">IFERROR(INDEX($A$20:$A$78,SMALL($Y$20:$Y$78,7)),"")</f>
        <v>行政</v>
      </c>
      <c r="AA26" t="str">
        <f ca="1">IFERROR(INDEX($A$20:$A$78,SMALL($AB$20:$AB$78,7)),"")</f>
        <v>行政</v>
      </c>
      <c r="AB26">
        <f ca="1">IF(AND($A26&lt;&gt;"",COUNTIF($A$20:A26,A26)=1,AND($A26&lt;&gt;"",$A26&lt;&gt;"非自然知识",COUNTIF($A$20:$A$78,$A26)&gt;0,OR($B$2="any",$B$2="fixed",AND($B$2="group",LEFT($A26,LEN($E$2)+1)=$E$2&amp;"（"),IFERROR(OR(ISNUMBER(FIND("|"&amp;$A26&amp;"|",$D$2)),AND(IFERROR(FIND("（",$A26),0)&gt;0,ISNUMBER(FIND("|"&amp;LEFT($A26,FIND("（",$A26)-1)&amp;"*|",$D$2)))),FALSE)))),ROW()-19,999)</f>
        <v>999</v>
      </c>
      <c r="AC26" t="str">
        <f ca="1">IFERROR(INDEX($A$20:$A$78,SMALL($AD$20:$AD$78,7)),"")</f>
        <v>行政</v>
      </c>
      <c r="AD26">
        <f ca="1">IF(AND($A26&lt;&gt;"",COUNTIF($A$20:A26,A26)=1,AND($A26&lt;&gt;"",$A26&lt;&gt;"非自然知识",COUNTIF($A$20:$A$78,$A26)&gt;0,OR($B$3="any",$B$3="fixed",AND($B$3="group",LEFT($A26,LEN($E$3)+1)=$E$3&amp;"（"),IFERROR(OR(ISNUMBER(FIND("|"&amp;$A26&amp;"|",$D$3)),AND(IFERROR(FIND("（",$A26),0)&gt;0,ISNUMBER(FIND("|"&amp;LEFT($A26,FIND("（",$A26)-1)&amp;"*|",$D$3)))),FALSE)))),ROW()-19,999)</f>
        <v>999</v>
      </c>
      <c r="AE26" t="str">
        <f ca="1">IFERROR(INDEX($A$20:$A$78,SMALL($AF$20:$AF$78,7)),"")</f>
        <v>行政</v>
      </c>
      <c r="AF26">
        <f ca="1">IF(AND($A26&lt;&gt;"",COUNTIF($A$20:A26,A26)=1,AND($A26&lt;&gt;"",$A26&lt;&gt;"非自然知识",COUNTIF($A$20:$A$78,$A26)&gt;0,OR($B$4="any",$B$4="fixed",AND($B$4="group",LEFT($A26,LEN($E$4)+1)=$E$4&amp;"（"),IFERROR(OR(ISNUMBER(FIND("|"&amp;$A26&amp;"|",$D$4)),AND(IFERROR(FIND("（",$A26),0)&gt;0,ISNUMBER(FIND("|"&amp;LEFT($A26,FIND("（",$A26)-1)&amp;"*|",$D$4)))),FALSE)))),ROW()-19,999)</f>
        <v>999</v>
      </c>
      <c r="AG26" t="str">
        <f ca="1">IFERROR(INDEX($A$20:$A$78,SMALL($AH$20:$AH$78,7)),"")</f>
        <v>行政</v>
      </c>
      <c r="AH26">
        <f ca="1">IF(AND($A26&lt;&gt;"",COUNTIF($A$20:A26,A26)=1,AND($A26&lt;&gt;"",$A26&lt;&gt;"非自然知识",COUNTIF($A$20:$A$78,$A26)&gt;0,OR($B$5="any",$B$5="fixed",AND($B$5="group",LEFT($A26,LEN($E$5)+1)=$E$5&amp;"（"),IFERROR(OR(ISNUMBER(FIND("|"&amp;$A26&amp;"|",$D$5)),AND(IFERROR(FIND("（",$A26),0)&gt;0,ISNUMBER(FIND("|"&amp;LEFT($A26,FIND("（",$A26)-1)&amp;"*|",$D$5)))),FALSE)))),ROW()-19,999)</f>
        <v>999</v>
      </c>
      <c r="AI26" t="str">
        <f ca="1">IFERROR(INDEX($A$20:$A$78,SMALL($AJ$20:$AJ$78,7)),"")</f>
        <v>行政</v>
      </c>
      <c r="AJ26">
        <f ca="1">IF(AND($A26&lt;&gt;"",COUNTIF($A$20:A26,A26)=1,AND($A26&lt;&gt;"",$A26&lt;&gt;"非自然知识",COUNTIF($A$20:$A$78,$A26)&gt;0,OR($B$6="any",$B$6="fixed",AND($B$6="group",LEFT($A26,LEN($E$6)+1)=$E$6&amp;"（"),IFERROR(OR(ISNUMBER(FIND("|"&amp;$A26&amp;"|",$D$6)),AND(IFERROR(FIND("（",$A26),0)&gt;0,ISNUMBER(FIND("|"&amp;LEFT($A26,FIND("（",$A26)-1)&amp;"*|",$D$6)))),FALSE)))),ROW()-19,999)</f>
        <v>999</v>
      </c>
      <c r="AK26" t="str">
        <f ca="1">IFERROR(INDEX($A$20:$A$78,SMALL($AL$20:$AL$78,7)),"")</f>
        <v>行政</v>
      </c>
      <c r="AL26">
        <f ca="1">IF(AND($A26&lt;&gt;"",COUNTIF($A$20:A26,A26)=1,AND($A26&lt;&gt;"",$A26&lt;&gt;"非自然知识",COUNTIF($A$20:$A$78,$A26)&gt;0,OR($B$7="any",$B$7="fixed",AND($B$7="group",LEFT($A26,LEN($E$7)+1)=$E$7&amp;"（"),IFERROR(OR(ISNUMBER(FIND("|"&amp;$A26&amp;"|",$D$7)),AND(IFERROR(FIND("（",$A26),0)&gt;0,ISNUMBER(FIND("|"&amp;LEFT($A26,FIND("（",$A26)-1)&amp;"*|",$D$7)))),FALSE)))),ROW()-19,999)</f>
        <v>999</v>
      </c>
      <c r="AM26" t="str">
        <f ca="1">IFERROR(INDEX($A$20:$A$78,SMALL($AN$20:$AN$78,7)),"")</f>
        <v>行政</v>
      </c>
      <c r="AN26">
        <f ca="1">IF(AND($A26&lt;&gt;"",COUNTIF($A$20:A26,A26)=1,AND($A26&lt;&gt;"",$A26&lt;&gt;"非自然知识",COUNTIF($A$20:$A$78,$A26)&gt;0,OR($B$8="any",$B$8="fixed",AND($B$8="group",LEFT($A26,LEN($E$8)+1)=$E$8&amp;"（"),IFERROR(OR(ISNUMBER(FIND("|"&amp;$A26&amp;"|",$D$8)),AND(IFERROR(FIND("（",$A26),0)&gt;0,ISNUMBER(FIND("|"&amp;LEFT($A26,FIND("（",$A26)-1)&amp;"*|",$D$8)))),FALSE)))),ROW()-19,999)</f>
        <v>999</v>
      </c>
      <c r="AO26" t="str">
        <f ca="1">IFERROR(INDEX($A$20:$A$78,SMALL($AP$20:$AP$78,7)),"")</f>
        <v>行政</v>
      </c>
      <c r="AP26">
        <f ca="1">IF(AND($A26&lt;&gt;"",COUNTIF($A$20:A26,A26)=1,AND($A26&lt;&gt;"",$A26&lt;&gt;"非自然知识",COUNTIF($A$20:$A$78,$A26)&gt;0,OR($B$9="any",$B$9="fixed",AND($B$9="group",LEFT($A26,LEN($E$9)+1)=$E$9&amp;"（"),IFERROR(OR(ISNUMBER(FIND("|"&amp;$A26&amp;"|",$D$9)),AND(IFERROR(FIND("（",$A26),0)&gt;0,ISNUMBER(FIND("|"&amp;LEFT($A26,FIND("（",$A26)-1)&amp;"*|",$D$9)))),FALSE)))),ROW()-19,999)</f>
        <v>999</v>
      </c>
    </row>
    <row r="27" spans="1:42">
      <c r="A27" t="str">
        <f>人物卡!D21</f>
        <v>炮术</v>
      </c>
      <c r="B27" t="str">
        <f t="shared" si="2"/>
        <v/>
      </c>
      <c r="C27">
        <f ca="1">IF(人物卡!V21="",N(人物卡!S21),N(人物卡!V21))</f>
        <v>0</v>
      </c>
      <c r="D27">
        <f ca="1">IF(AND(A27&lt;&gt;"",COUNTIF($A$20:A27,A27)=1),COUNTIF($H$2:$H$9,A27)*20,0)</f>
        <v>0</v>
      </c>
      <c r="E27">
        <f ca="1" t="shared" si="3"/>
        <v>0</v>
      </c>
      <c r="F27">
        <f ca="1">IF(AND(A27&lt;&gt;"",COUNTIF($A$20:A27,A27)=1),IF(A27="神秘学",IF(人物卡!$DF$46="人类不应知道之事",20,IF(OR(人物卡!$DF$46="极端暴力",人物卡!$DF$46="关押或入狱",人物卡!$DF$46="艰苦经历"),10,0)),0)+IF(人物卡!$DF$46="艰苦经历",COUNTIF($H$12:$H$16,A27)*10,0),0)</f>
        <v>0</v>
      </c>
      <c r="G27">
        <f ca="1">IF(人物卡!$DF$46="艰苦经历",MIN(F27,MAX(0,90-C27-E27)),MIN(F27,MAX(0,99-C27-E27)))</f>
        <v>0</v>
      </c>
      <c r="H27" t="str">
        <f ca="1" t="shared" si="4"/>
        <v/>
      </c>
      <c r="I27" t="str">
        <f ca="1" t="shared" si="5"/>
        <v/>
      </c>
      <c r="J27" t="s">
        <v>1144</v>
      </c>
      <c r="K27" t="s">
        <v>1151</v>
      </c>
      <c r="Y27">
        <f ca="1">IF(AND($A27&lt;&gt;"",COUNTIF($A$20:A27,A27)=1,$A27&lt;&gt;"非自然知识"),ROW()-19,999)</f>
        <v>8</v>
      </c>
      <c r="Z27" t="str">
        <f ca="1">IFERROR(INDEX($A$20:$A$78,SMALL($Y$20:$Y$78,8)),"")</f>
        <v>计算机科学</v>
      </c>
      <c r="AA27" t="str">
        <f ca="1">IFERROR(INDEX($A$20:$A$78,SMALL($AB$20:$AB$78,8)),"")</f>
        <v>计算机科学</v>
      </c>
      <c r="AB27">
        <f ca="1">IF(AND($A27&lt;&gt;"",COUNTIF($A$20:A27,A27)=1,AND($A27&lt;&gt;"",$A27&lt;&gt;"非自然知识",COUNTIF($A$20:$A$78,$A27)&gt;0,OR($B$2="any",$B$2="fixed",AND($B$2="group",LEFT($A27,LEN($E$2)+1)=$E$2&amp;"（"),IFERROR(OR(ISNUMBER(FIND("|"&amp;$A27&amp;"|",$D$2)),AND(IFERROR(FIND("（",$A27),0)&gt;0,ISNUMBER(FIND("|"&amp;LEFT($A27,FIND("（",$A27)-1)&amp;"*|",$D$2)))),FALSE)))),ROW()-19,999)</f>
        <v>8</v>
      </c>
      <c r="AC27" t="str">
        <f ca="1">IFERROR(INDEX($A$20:$A$78,SMALL($AD$20:$AD$78,8)),"")</f>
        <v>计算机科学</v>
      </c>
      <c r="AD27">
        <f ca="1">IF(AND($A27&lt;&gt;"",COUNTIF($A$20:A27,A27)=1,AND($A27&lt;&gt;"",$A27&lt;&gt;"非自然知识",COUNTIF($A$20:$A$78,$A27)&gt;0,OR($B$3="any",$B$3="fixed",AND($B$3="group",LEFT($A27,LEN($E$3)+1)=$E$3&amp;"（"),IFERROR(OR(ISNUMBER(FIND("|"&amp;$A27&amp;"|",$D$3)),AND(IFERROR(FIND("（",$A27),0)&gt;0,ISNUMBER(FIND("|"&amp;LEFT($A27,FIND("（",$A27)-1)&amp;"*|",$D$3)))),FALSE)))),ROW()-19,999)</f>
        <v>8</v>
      </c>
      <c r="AE27" t="str">
        <f ca="1">IFERROR(INDEX($A$20:$A$78,SMALL($AF$20:$AF$78,8)),"")</f>
        <v>计算机科学</v>
      </c>
      <c r="AF27">
        <f ca="1">IF(AND($A27&lt;&gt;"",COUNTIF($A$20:A27,A27)=1,AND($A27&lt;&gt;"",$A27&lt;&gt;"非自然知识",COUNTIF($A$20:$A$78,$A27)&gt;0,OR($B$4="any",$B$4="fixed",AND($B$4="group",LEFT($A27,LEN($E$4)+1)=$E$4&amp;"（"),IFERROR(OR(ISNUMBER(FIND("|"&amp;$A27&amp;"|",$D$4)),AND(IFERROR(FIND("（",$A27),0)&gt;0,ISNUMBER(FIND("|"&amp;LEFT($A27,FIND("（",$A27)-1)&amp;"*|",$D$4)))),FALSE)))),ROW()-19,999)</f>
        <v>8</v>
      </c>
      <c r="AG27" t="str">
        <f ca="1">IFERROR(INDEX($A$20:$A$78,SMALL($AH$20:$AH$78,8)),"")</f>
        <v>计算机科学</v>
      </c>
      <c r="AH27">
        <f ca="1">IF(AND($A27&lt;&gt;"",COUNTIF($A$20:A27,A27)=1,AND($A27&lt;&gt;"",$A27&lt;&gt;"非自然知识",COUNTIF($A$20:$A$78,$A27)&gt;0,OR($B$5="any",$B$5="fixed",AND($B$5="group",LEFT($A27,LEN($E$5)+1)=$E$5&amp;"（"),IFERROR(OR(ISNUMBER(FIND("|"&amp;$A27&amp;"|",$D$5)),AND(IFERROR(FIND("（",$A27),0)&gt;0,ISNUMBER(FIND("|"&amp;LEFT($A27,FIND("（",$A27)-1)&amp;"*|",$D$5)))),FALSE)))),ROW()-19,999)</f>
        <v>8</v>
      </c>
      <c r="AI27" t="str">
        <f ca="1">IFERROR(INDEX($A$20:$A$78,SMALL($AJ$20:$AJ$78,8)),"")</f>
        <v>计算机科学</v>
      </c>
      <c r="AJ27">
        <f ca="1">IF(AND($A27&lt;&gt;"",COUNTIF($A$20:A27,A27)=1,AND($A27&lt;&gt;"",$A27&lt;&gt;"非自然知识",COUNTIF($A$20:$A$78,$A27)&gt;0,OR($B$6="any",$B$6="fixed",AND($B$6="group",LEFT($A27,LEN($E$6)+1)=$E$6&amp;"（"),IFERROR(OR(ISNUMBER(FIND("|"&amp;$A27&amp;"|",$D$6)),AND(IFERROR(FIND("（",$A27),0)&gt;0,ISNUMBER(FIND("|"&amp;LEFT($A27,FIND("（",$A27)-1)&amp;"*|",$D$6)))),FALSE)))),ROW()-19,999)</f>
        <v>8</v>
      </c>
      <c r="AK27" t="str">
        <f ca="1">IFERROR(INDEX($A$20:$A$78,SMALL($AL$20:$AL$78,8)),"")</f>
        <v>计算机科学</v>
      </c>
      <c r="AL27">
        <f ca="1">IF(AND($A27&lt;&gt;"",COUNTIF($A$20:A27,A27)=1,AND($A27&lt;&gt;"",$A27&lt;&gt;"非自然知识",COUNTIF($A$20:$A$78,$A27)&gt;0,OR($B$7="any",$B$7="fixed",AND($B$7="group",LEFT($A27,LEN($E$7)+1)=$E$7&amp;"（"),IFERROR(OR(ISNUMBER(FIND("|"&amp;$A27&amp;"|",$D$7)),AND(IFERROR(FIND("（",$A27),0)&gt;0,ISNUMBER(FIND("|"&amp;LEFT($A27,FIND("（",$A27)-1)&amp;"*|",$D$7)))),FALSE)))),ROW()-19,999)</f>
        <v>8</v>
      </c>
      <c r="AM27" t="str">
        <f ca="1">IFERROR(INDEX($A$20:$A$78,SMALL($AN$20:$AN$78,8)),"")</f>
        <v>计算机科学</v>
      </c>
      <c r="AN27">
        <f ca="1">IF(AND($A27&lt;&gt;"",COUNTIF($A$20:A27,A27)=1,AND($A27&lt;&gt;"",$A27&lt;&gt;"非自然知识",COUNTIF($A$20:$A$78,$A27)&gt;0,OR($B$8="any",$B$8="fixed",AND($B$8="group",LEFT($A27,LEN($E$8)+1)=$E$8&amp;"（"),IFERROR(OR(ISNUMBER(FIND("|"&amp;$A27&amp;"|",$D$8)),AND(IFERROR(FIND("（",$A27),0)&gt;0,ISNUMBER(FIND("|"&amp;LEFT($A27,FIND("（",$A27)-1)&amp;"*|",$D$8)))),FALSE)))),ROW()-19,999)</f>
        <v>8</v>
      </c>
      <c r="AO27" t="str">
        <f ca="1">IFERROR(INDEX($A$20:$A$78,SMALL($AP$20:$AP$78,8)),"")</f>
        <v>计算机科学</v>
      </c>
      <c r="AP27">
        <f ca="1">IF(AND($A27&lt;&gt;"",COUNTIF($A$20:A27,A27)=1,AND($A27&lt;&gt;"",$A27&lt;&gt;"非自然知识",COUNTIF($A$20:$A$78,$A27)&gt;0,OR($B$9="any",$B$9="fixed",AND($B$9="group",LEFT($A27,LEN($E$9)+1)=$E$9&amp;"（"),IFERROR(OR(ISNUMBER(FIND("|"&amp;$A27&amp;"|",$D$9)),AND(IFERROR(FIND("（",$A27),0)&gt;0,ISNUMBER(FIND("|"&amp;LEFT($A27,FIND("（",$A27)-1)&amp;"*|",$D$9)))),FALSE)))),ROW()-19,999)</f>
        <v>8</v>
      </c>
    </row>
    <row r="28" spans="1:42">
      <c r="A28" t="str">
        <f>人物卡!D22</f>
        <v>运动</v>
      </c>
      <c r="B28" t="str">
        <f t="shared" si="2"/>
        <v/>
      </c>
      <c r="C28">
        <f ca="1">IF(人物卡!V22="",N(人物卡!S22),N(人物卡!V22))</f>
        <v>30</v>
      </c>
      <c r="D28">
        <f ca="1">IF(AND(A28&lt;&gt;"",COUNTIF($A$20:A28,A28)=1),COUNTIF($H$2:$H$9,A28)*20,0)</f>
        <v>0</v>
      </c>
      <c r="E28">
        <f ca="1" t="shared" si="3"/>
        <v>0</v>
      </c>
      <c r="F28">
        <f ca="1">IF(AND(A28&lt;&gt;"",COUNTIF($A$20:A28,A28)=1),IF(A28="神秘学",IF(人物卡!$DF$46="人类不应知道之事",20,IF(OR(人物卡!$DF$46="极端暴力",人物卡!$DF$46="关押或入狱",人物卡!$DF$46="艰苦经历"),10,0)),0)+IF(人物卡!$DF$46="艰苦经历",COUNTIF($H$12:$H$16,A28)*10,0),0)</f>
        <v>0</v>
      </c>
      <c r="G28">
        <f ca="1">IF(人物卡!$DF$46="艰苦经历",MIN(F28,MAX(0,90-C28-E28)),MIN(F28,MAX(0,99-C28-E28)))</f>
        <v>0</v>
      </c>
      <c r="H28" t="str">
        <f ca="1" t="shared" si="4"/>
        <v/>
      </c>
      <c r="I28" t="str">
        <f ca="1" t="shared" si="5"/>
        <v/>
      </c>
      <c r="J28" t="s">
        <v>1173</v>
      </c>
      <c r="K28" t="s">
        <v>1182</v>
      </c>
      <c r="Y28">
        <f ca="1">IF(AND($A28&lt;&gt;"",COUNTIF($A$20:A28,A28)=1,$A28&lt;&gt;"非自然知识"),ROW()-19,999)</f>
        <v>9</v>
      </c>
      <c r="Z28" t="str">
        <f ca="1">IFERROR(INDEX($A$20:$A$78,SMALL($Y$20:$Y$78,9)),"")</f>
        <v>犯罪学</v>
      </c>
      <c r="AA28" t="str">
        <f ca="1">IFERROR(INDEX($A$20:$A$78,SMALL($AB$20:$AB$78,9)),"")</f>
        <v>犯罪学</v>
      </c>
      <c r="AB28">
        <f ca="1">IF(AND($A28&lt;&gt;"",COUNTIF($A$20:A28,A28)=1,AND($A28&lt;&gt;"",$A28&lt;&gt;"非自然知识",COUNTIF($A$20:$A$78,$A28)&gt;0,OR($B$2="any",$B$2="fixed",AND($B$2="group",LEFT($A28,LEN($E$2)+1)=$E$2&amp;"（"),IFERROR(OR(ISNUMBER(FIND("|"&amp;$A28&amp;"|",$D$2)),AND(IFERROR(FIND("（",$A28),0)&gt;0,ISNUMBER(FIND("|"&amp;LEFT($A28,FIND("（",$A28)-1)&amp;"*|",$D$2)))),FALSE)))),ROW()-19,999)</f>
        <v>9</v>
      </c>
      <c r="AC28" t="str">
        <f ca="1">IFERROR(INDEX($A$20:$A$78,SMALL($AD$20:$AD$78,9)),"")</f>
        <v>犯罪学</v>
      </c>
      <c r="AD28">
        <f ca="1">IF(AND($A28&lt;&gt;"",COUNTIF($A$20:A28,A28)=1,AND($A28&lt;&gt;"",$A28&lt;&gt;"非自然知识",COUNTIF($A$20:$A$78,$A28)&gt;0,OR($B$3="any",$B$3="fixed",AND($B$3="group",LEFT($A28,LEN($E$3)+1)=$E$3&amp;"（"),IFERROR(OR(ISNUMBER(FIND("|"&amp;$A28&amp;"|",$D$3)),AND(IFERROR(FIND("（",$A28),0)&gt;0,ISNUMBER(FIND("|"&amp;LEFT($A28,FIND("（",$A28)-1)&amp;"*|",$D$3)))),FALSE)))),ROW()-19,999)</f>
        <v>9</v>
      </c>
      <c r="AE28" t="str">
        <f ca="1">IFERROR(INDEX($A$20:$A$78,SMALL($AF$20:$AF$78,9)),"")</f>
        <v>犯罪学</v>
      </c>
      <c r="AF28">
        <f ca="1">IF(AND($A28&lt;&gt;"",COUNTIF($A$20:A28,A28)=1,AND($A28&lt;&gt;"",$A28&lt;&gt;"非自然知识",COUNTIF($A$20:$A$78,$A28)&gt;0,OR($B$4="any",$B$4="fixed",AND($B$4="group",LEFT($A28,LEN($E$4)+1)=$E$4&amp;"（"),IFERROR(OR(ISNUMBER(FIND("|"&amp;$A28&amp;"|",$D$4)),AND(IFERROR(FIND("（",$A28),0)&gt;0,ISNUMBER(FIND("|"&amp;LEFT($A28,FIND("（",$A28)-1)&amp;"*|",$D$4)))),FALSE)))),ROW()-19,999)</f>
        <v>9</v>
      </c>
      <c r="AG28" t="str">
        <f ca="1">IFERROR(INDEX($A$20:$A$78,SMALL($AH$20:$AH$78,9)),"")</f>
        <v>犯罪学</v>
      </c>
      <c r="AH28">
        <f ca="1">IF(AND($A28&lt;&gt;"",COUNTIF($A$20:A28,A28)=1,AND($A28&lt;&gt;"",$A28&lt;&gt;"非自然知识",COUNTIF($A$20:$A$78,$A28)&gt;0,OR($B$5="any",$B$5="fixed",AND($B$5="group",LEFT($A28,LEN($E$5)+1)=$E$5&amp;"（"),IFERROR(OR(ISNUMBER(FIND("|"&amp;$A28&amp;"|",$D$5)),AND(IFERROR(FIND("（",$A28),0)&gt;0,ISNUMBER(FIND("|"&amp;LEFT($A28,FIND("（",$A28)-1)&amp;"*|",$D$5)))),FALSE)))),ROW()-19,999)</f>
        <v>9</v>
      </c>
      <c r="AI28" t="str">
        <f ca="1">IFERROR(INDEX($A$20:$A$78,SMALL($AJ$20:$AJ$78,9)),"")</f>
        <v>犯罪学</v>
      </c>
      <c r="AJ28">
        <f ca="1">IF(AND($A28&lt;&gt;"",COUNTIF($A$20:A28,A28)=1,AND($A28&lt;&gt;"",$A28&lt;&gt;"非自然知识",COUNTIF($A$20:$A$78,$A28)&gt;0,OR($B$6="any",$B$6="fixed",AND($B$6="group",LEFT($A28,LEN($E$6)+1)=$E$6&amp;"（"),IFERROR(OR(ISNUMBER(FIND("|"&amp;$A28&amp;"|",$D$6)),AND(IFERROR(FIND("（",$A28),0)&gt;0,ISNUMBER(FIND("|"&amp;LEFT($A28,FIND("（",$A28)-1)&amp;"*|",$D$6)))),FALSE)))),ROW()-19,999)</f>
        <v>9</v>
      </c>
      <c r="AK28" t="str">
        <f ca="1">IFERROR(INDEX($A$20:$A$78,SMALL($AL$20:$AL$78,9)),"")</f>
        <v>犯罪学</v>
      </c>
      <c r="AL28">
        <f ca="1">IF(AND($A28&lt;&gt;"",COUNTIF($A$20:A28,A28)=1,AND($A28&lt;&gt;"",$A28&lt;&gt;"非自然知识",COUNTIF($A$20:$A$78,$A28)&gt;0,OR($B$7="any",$B$7="fixed",AND($B$7="group",LEFT($A28,LEN($E$7)+1)=$E$7&amp;"（"),IFERROR(OR(ISNUMBER(FIND("|"&amp;$A28&amp;"|",$D$7)),AND(IFERROR(FIND("（",$A28),0)&gt;0,ISNUMBER(FIND("|"&amp;LEFT($A28,FIND("（",$A28)-1)&amp;"*|",$D$7)))),FALSE)))),ROW()-19,999)</f>
        <v>9</v>
      </c>
      <c r="AM28" t="str">
        <f ca="1">IFERROR(INDEX($A$20:$A$78,SMALL($AN$20:$AN$78,9)),"")</f>
        <v>犯罪学</v>
      </c>
      <c r="AN28">
        <f ca="1">IF(AND($A28&lt;&gt;"",COUNTIF($A$20:A28,A28)=1,AND($A28&lt;&gt;"",$A28&lt;&gt;"非自然知识",COUNTIF($A$20:$A$78,$A28)&gt;0,OR($B$8="any",$B$8="fixed",AND($B$8="group",LEFT($A28,LEN($E$8)+1)=$E$8&amp;"（"),IFERROR(OR(ISNUMBER(FIND("|"&amp;$A28&amp;"|",$D$8)),AND(IFERROR(FIND("（",$A28),0)&gt;0,ISNUMBER(FIND("|"&amp;LEFT($A28,FIND("（",$A28)-1)&amp;"*|",$D$8)))),FALSE)))),ROW()-19,999)</f>
        <v>9</v>
      </c>
      <c r="AO28" t="str">
        <f ca="1">IFERROR(INDEX($A$20:$A$78,SMALL($AP$20:$AP$78,9)),"")</f>
        <v>犯罪学</v>
      </c>
      <c r="AP28">
        <f ca="1">IF(AND($A28&lt;&gt;"",COUNTIF($A$20:A28,A28)=1,AND($A28&lt;&gt;"",$A28&lt;&gt;"非自然知识",COUNTIF($A$20:$A$78,$A28)&gt;0,OR($B$9="any",$B$9="fixed",AND($B$9="group",LEFT($A28,LEN($E$9)+1)=$E$9&amp;"（"),IFERROR(OR(ISNUMBER(FIND("|"&amp;$A28&amp;"|",$D$9)),AND(IFERROR(FIND("（",$A28),0)&gt;0,ISNUMBER(FIND("|"&amp;LEFT($A28,FIND("（",$A28)-1)&amp;"*|",$D$9)))),FALSE)))),ROW()-19,999)</f>
        <v>9</v>
      </c>
    </row>
    <row r="29" spans="1:42">
      <c r="A29" t="str">
        <f>人物卡!D23</f>
        <v>行政</v>
      </c>
      <c r="B29" t="str">
        <f t="shared" si="2"/>
        <v/>
      </c>
      <c r="C29">
        <f ca="1">IF(人物卡!V23="",N(人物卡!S23),N(人物卡!V23))</f>
        <v>10</v>
      </c>
      <c r="D29">
        <f ca="1">IF(AND(A29&lt;&gt;"",COUNTIF($A$20:A29,A29)=1),COUNTIF($H$2:$H$9,A29)*20,0)</f>
        <v>0</v>
      </c>
      <c r="E29">
        <f ca="1" t="shared" si="3"/>
        <v>0</v>
      </c>
      <c r="F29">
        <f ca="1">IF(AND(A29&lt;&gt;"",COUNTIF($A$20:A29,A29)=1),IF(A29="神秘学",IF(人物卡!$DF$46="人类不应知道之事",20,IF(OR(人物卡!$DF$46="极端暴力",人物卡!$DF$46="关押或入狱",人物卡!$DF$46="艰苦经历"),10,0)),0)+IF(人物卡!$DF$46="艰苦经历",COUNTIF($H$12:$H$16,A29)*10,0),0)</f>
        <v>0</v>
      </c>
      <c r="G29">
        <f ca="1">IF(人物卡!$DF$46="艰苦经历",MIN(F29,MAX(0,90-C29-E29)),MIN(F29,MAX(0,99-C29-E29)))</f>
        <v>0</v>
      </c>
      <c r="H29" t="str">
        <f ca="1" t="shared" si="4"/>
        <v/>
      </c>
      <c r="I29" t="str">
        <f ca="1" t="shared" si="5"/>
        <v/>
      </c>
      <c r="J29" t="s">
        <v>1201</v>
      </c>
      <c r="K29" t="s">
        <v>1208</v>
      </c>
      <c r="Y29">
        <f ca="1">IF(AND($A29&lt;&gt;"",COUNTIF($A$20:A29,A29)=1,$A29&lt;&gt;"非自然知识"),ROW()-19,999)</f>
        <v>10</v>
      </c>
      <c r="Z29" t="str">
        <f ca="1">IFERROR(INDEX($A$20:$A$78,SMALL($Y$20:$Y$78,10)),"")</f>
        <v>爆破</v>
      </c>
      <c r="AA29" t="str">
        <f ca="1">IFERROR(INDEX($A$20:$A$78,SMALL($AB$20:$AB$78,10)),"")</f>
        <v>爆破</v>
      </c>
      <c r="AB29">
        <f ca="1">IF(AND($A29&lt;&gt;"",COUNTIF($A$20:A29,A29)=1,AND($A29&lt;&gt;"",$A29&lt;&gt;"非自然知识",COUNTIF($A$20:$A$78,$A29)&gt;0,OR($B$2="any",$B$2="fixed",AND($B$2="group",LEFT($A29,LEN($E$2)+1)=$E$2&amp;"（"),IFERROR(OR(ISNUMBER(FIND("|"&amp;$A29&amp;"|",$D$2)),AND(IFERROR(FIND("（",$A29),0)&gt;0,ISNUMBER(FIND("|"&amp;LEFT($A29,FIND("（",$A29)-1)&amp;"*|",$D$2)))),FALSE)))),ROW()-19,999)</f>
        <v>10</v>
      </c>
      <c r="AC29" t="str">
        <f ca="1">IFERROR(INDEX($A$20:$A$78,SMALL($AD$20:$AD$78,10)),"")</f>
        <v>爆破</v>
      </c>
      <c r="AD29">
        <f ca="1">IF(AND($A29&lt;&gt;"",COUNTIF($A$20:A29,A29)=1,AND($A29&lt;&gt;"",$A29&lt;&gt;"非自然知识",COUNTIF($A$20:$A$78,$A29)&gt;0,OR($B$3="any",$B$3="fixed",AND($B$3="group",LEFT($A29,LEN($E$3)+1)=$E$3&amp;"（"),IFERROR(OR(ISNUMBER(FIND("|"&amp;$A29&amp;"|",$D$3)),AND(IFERROR(FIND("（",$A29),0)&gt;0,ISNUMBER(FIND("|"&amp;LEFT($A29,FIND("（",$A29)-1)&amp;"*|",$D$3)))),FALSE)))),ROW()-19,999)</f>
        <v>10</v>
      </c>
      <c r="AE29" t="str">
        <f ca="1">IFERROR(INDEX($A$20:$A$78,SMALL($AF$20:$AF$78,10)),"")</f>
        <v>爆破</v>
      </c>
      <c r="AF29">
        <f ca="1">IF(AND($A29&lt;&gt;"",COUNTIF($A$20:A29,A29)=1,AND($A29&lt;&gt;"",$A29&lt;&gt;"非自然知识",COUNTIF($A$20:$A$78,$A29)&gt;0,OR($B$4="any",$B$4="fixed",AND($B$4="group",LEFT($A29,LEN($E$4)+1)=$E$4&amp;"（"),IFERROR(OR(ISNUMBER(FIND("|"&amp;$A29&amp;"|",$D$4)),AND(IFERROR(FIND("（",$A29),0)&gt;0,ISNUMBER(FIND("|"&amp;LEFT($A29,FIND("（",$A29)-1)&amp;"*|",$D$4)))),FALSE)))),ROW()-19,999)</f>
        <v>10</v>
      </c>
      <c r="AG29" t="str">
        <f ca="1">IFERROR(INDEX($A$20:$A$78,SMALL($AH$20:$AH$78,10)),"")</f>
        <v>爆破</v>
      </c>
      <c r="AH29">
        <f ca="1">IF(AND($A29&lt;&gt;"",COUNTIF($A$20:A29,A29)=1,AND($A29&lt;&gt;"",$A29&lt;&gt;"非自然知识",COUNTIF($A$20:$A$78,$A29)&gt;0,OR($B$5="any",$B$5="fixed",AND($B$5="group",LEFT($A29,LEN($E$5)+1)=$E$5&amp;"（"),IFERROR(OR(ISNUMBER(FIND("|"&amp;$A29&amp;"|",$D$5)),AND(IFERROR(FIND("（",$A29),0)&gt;0,ISNUMBER(FIND("|"&amp;LEFT($A29,FIND("（",$A29)-1)&amp;"*|",$D$5)))),FALSE)))),ROW()-19,999)</f>
        <v>10</v>
      </c>
      <c r="AI29" t="str">
        <f ca="1">IFERROR(INDEX($A$20:$A$78,SMALL($AJ$20:$AJ$78,10)),"")</f>
        <v>爆破</v>
      </c>
      <c r="AJ29">
        <f ca="1">IF(AND($A29&lt;&gt;"",COUNTIF($A$20:A29,A29)=1,AND($A29&lt;&gt;"",$A29&lt;&gt;"非自然知识",COUNTIF($A$20:$A$78,$A29)&gt;0,OR($B$6="any",$B$6="fixed",AND($B$6="group",LEFT($A29,LEN($E$6)+1)=$E$6&amp;"（"),IFERROR(OR(ISNUMBER(FIND("|"&amp;$A29&amp;"|",$D$6)),AND(IFERROR(FIND("（",$A29),0)&gt;0,ISNUMBER(FIND("|"&amp;LEFT($A29,FIND("（",$A29)-1)&amp;"*|",$D$6)))),FALSE)))),ROW()-19,999)</f>
        <v>10</v>
      </c>
      <c r="AK29" t="str">
        <f ca="1">IFERROR(INDEX($A$20:$A$78,SMALL($AL$20:$AL$78,10)),"")</f>
        <v>爆破</v>
      </c>
      <c r="AL29">
        <f ca="1">IF(AND($A29&lt;&gt;"",COUNTIF($A$20:A29,A29)=1,AND($A29&lt;&gt;"",$A29&lt;&gt;"非自然知识",COUNTIF($A$20:$A$78,$A29)&gt;0,OR($B$7="any",$B$7="fixed",AND($B$7="group",LEFT($A29,LEN($E$7)+1)=$E$7&amp;"（"),IFERROR(OR(ISNUMBER(FIND("|"&amp;$A29&amp;"|",$D$7)),AND(IFERROR(FIND("（",$A29),0)&gt;0,ISNUMBER(FIND("|"&amp;LEFT($A29,FIND("（",$A29)-1)&amp;"*|",$D$7)))),FALSE)))),ROW()-19,999)</f>
        <v>10</v>
      </c>
      <c r="AM29" t="str">
        <f ca="1">IFERROR(INDEX($A$20:$A$78,SMALL($AN$20:$AN$78,10)),"")</f>
        <v>爆破</v>
      </c>
      <c r="AN29">
        <f ca="1">IF(AND($A29&lt;&gt;"",COUNTIF($A$20:A29,A29)=1,AND($A29&lt;&gt;"",$A29&lt;&gt;"非自然知识",COUNTIF($A$20:$A$78,$A29)&gt;0,OR($B$8="any",$B$8="fixed",AND($B$8="group",LEFT($A29,LEN($E$8)+1)=$E$8&amp;"（"),IFERROR(OR(ISNUMBER(FIND("|"&amp;$A29&amp;"|",$D$8)),AND(IFERROR(FIND("（",$A29),0)&gt;0,ISNUMBER(FIND("|"&amp;LEFT($A29,FIND("（",$A29)-1)&amp;"*|",$D$8)))),FALSE)))),ROW()-19,999)</f>
        <v>10</v>
      </c>
      <c r="AO29" t="str">
        <f ca="1">IFERROR(INDEX($A$20:$A$78,SMALL($AP$20:$AP$78,10)),"")</f>
        <v>爆破</v>
      </c>
      <c r="AP29">
        <f ca="1">IF(AND($A29&lt;&gt;"",COUNTIF($A$20:A29,A29)=1,AND($A29&lt;&gt;"",$A29&lt;&gt;"非自然知识",COUNTIF($A$20:$A$78,$A29)&gt;0,OR($B$9="any",$B$9="fixed",AND($B$9="group",LEFT($A29,LEN($E$9)+1)=$E$9&amp;"（"),IFERROR(OR(ISNUMBER(FIND("|"&amp;$A29&amp;"|",$D$9)),AND(IFERROR(FIND("（",$A29),0)&gt;0,ISNUMBER(FIND("|"&amp;LEFT($A29,FIND("（",$A29)-1)&amp;"*|",$D$9)))),FALSE)))),ROW()-19,999)</f>
        <v>10</v>
      </c>
    </row>
    <row r="30" spans="1:42">
      <c r="A30" t="str">
        <f>人物卡!D24</f>
        <v>计算机科学</v>
      </c>
      <c r="B30" t="str">
        <f t="shared" si="2"/>
        <v/>
      </c>
      <c r="C30">
        <f ca="1">IF(人物卡!V24="",N(人物卡!S24),N(人物卡!V24))</f>
        <v>0</v>
      </c>
      <c r="D30">
        <f ca="1">IF(AND(A30&lt;&gt;"",COUNTIF($A$20:A30,A30)=1),COUNTIF($H$2:$H$9,A30)*20,0)</f>
        <v>0</v>
      </c>
      <c r="E30">
        <f ca="1" t="shared" si="3"/>
        <v>0</v>
      </c>
      <c r="F30">
        <f ca="1">IF(AND(A30&lt;&gt;"",COUNTIF($A$20:A30,A30)=1),IF(A30="神秘学",IF(人物卡!$DF$46="人类不应知道之事",20,IF(OR(人物卡!$DF$46="极端暴力",人物卡!$DF$46="关押或入狱",人物卡!$DF$46="艰苦经历"),10,0)),0)+IF(人物卡!$DF$46="艰苦经历",COUNTIF($H$12:$H$16,A30)*10,0),0)</f>
        <v>0</v>
      </c>
      <c r="G30">
        <f ca="1">IF(人物卡!$DF$46="艰苦经历",MIN(F30,MAX(0,90-C30-E30)),MIN(F30,MAX(0,99-C30-E30)))</f>
        <v>0</v>
      </c>
      <c r="H30" t="str">
        <f ca="1" t="shared" si="4"/>
        <v/>
      </c>
      <c r="I30" t="str">
        <f ca="1" t="shared" si="5"/>
        <v/>
      </c>
      <c r="J30" t="s">
        <v>1227</v>
      </c>
      <c r="K30" t="s">
        <v>1234</v>
      </c>
      <c r="Y30">
        <f ca="1">IF(AND($A30&lt;&gt;"",COUNTIF($A$20:A30,A30)=1,$A30&lt;&gt;"非自然知识"),ROW()-19,999)</f>
        <v>11</v>
      </c>
      <c r="Z30" t="str">
        <f ca="1">IFERROR(INDEX($A$20:$A$78,SMALL($Y$20:$Y$78,11)),"")</f>
        <v>乔装</v>
      </c>
      <c r="AA30" t="str">
        <f ca="1">IFERROR(INDEX($A$20:$A$78,SMALL($AB$20:$AB$78,11)),"")</f>
        <v>乔装</v>
      </c>
      <c r="AB30">
        <f ca="1">IF(AND($A30&lt;&gt;"",COUNTIF($A$20:A30,A30)=1,AND($A30&lt;&gt;"",$A30&lt;&gt;"非自然知识",COUNTIF($A$20:$A$78,$A30)&gt;0,OR($B$2="any",$B$2="fixed",AND($B$2="group",LEFT($A30,LEN($E$2)+1)=$E$2&amp;"（"),IFERROR(OR(ISNUMBER(FIND("|"&amp;$A30&amp;"|",$D$2)),AND(IFERROR(FIND("（",$A30),0)&gt;0,ISNUMBER(FIND("|"&amp;LEFT($A30,FIND("（",$A30)-1)&amp;"*|",$D$2)))),FALSE)))),ROW()-19,999)</f>
        <v>11</v>
      </c>
      <c r="AC30" t="str">
        <f ca="1">IFERROR(INDEX($A$20:$A$78,SMALL($AD$20:$AD$78,11)),"")</f>
        <v>乔装</v>
      </c>
      <c r="AD30">
        <f ca="1">IF(AND($A30&lt;&gt;"",COUNTIF($A$20:A30,A30)=1,AND($A30&lt;&gt;"",$A30&lt;&gt;"非自然知识",COUNTIF($A$20:$A$78,$A30)&gt;0,OR($B$3="any",$B$3="fixed",AND($B$3="group",LEFT($A30,LEN($E$3)+1)=$E$3&amp;"（"),IFERROR(OR(ISNUMBER(FIND("|"&amp;$A30&amp;"|",$D$3)),AND(IFERROR(FIND("（",$A30),0)&gt;0,ISNUMBER(FIND("|"&amp;LEFT($A30,FIND("（",$A30)-1)&amp;"*|",$D$3)))),FALSE)))),ROW()-19,999)</f>
        <v>11</v>
      </c>
      <c r="AE30" t="str">
        <f ca="1">IFERROR(INDEX($A$20:$A$78,SMALL($AF$20:$AF$78,11)),"")</f>
        <v>乔装</v>
      </c>
      <c r="AF30">
        <f ca="1">IF(AND($A30&lt;&gt;"",COUNTIF($A$20:A30,A30)=1,AND($A30&lt;&gt;"",$A30&lt;&gt;"非自然知识",COUNTIF($A$20:$A$78,$A30)&gt;0,OR($B$4="any",$B$4="fixed",AND($B$4="group",LEFT($A30,LEN($E$4)+1)=$E$4&amp;"（"),IFERROR(OR(ISNUMBER(FIND("|"&amp;$A30&amp;"|",$D$4)),AND(IFERROR(FIND("（",$A30),0)&gt;0,ISNUMBER(FIND("|"&amp;LEFT($A30,FIND("（",$A30)-1)&amp;"*|",$D$4)))),FALSE)))),ROW()-19,999)</f>
        <v>11</v>
      </c>
      <c r="AG30" t="str">
        <f ca="1">IFERROR(INDEX($A$20:$A$78,SMALL($AH$20:$AH$78,11)),"")</f>
        <v>乔装</v>
      </c>
      <c r="AH30">
        <f ca="1">IF(AND($A30&lt;&gt;"",COUNTIF($A$20:A30,A30)=1,AND($A30&lt;&gt;"",$A30&lt;&gt;"非自然知识",COUNTIF($A$20:$A$78,$A30)&gt;0,OR($B$5="any",$B$5="fixed",AND($B$5="group",LEFT($A30,LEN($E$5)+1)=$E$5&amp;"（"),IFERROR(OR(ISNUMBER(FIND("|"&amp;$A30&amp;"|",$D$5)),AND(IFERROR(FIND("（",$A30),0)&gt;0,ISNUMBER(FIND("|"&amp;LEFT($A30,FIND("（",$A30)-1)&amp;"*|",$D$5)))),FALSE)))),ROW()-19,999)</f>
        <v>11</v>
      </c>
      <c r="AI30" t="str">
        <f ca="1">IFERROR(INDEX($A$20:$A$78,SMALL($AJ$20:$AJ$78,11)),"")</f>
        <v>乔装</v>
      </c>
      <c r="AJ30">
        <f ca="1">IF(AND($A30&lt;&gt;"",COUNTIF($A$20:A30,A30)=1,AND($A30&lt;&gt;"",$A30&lt;&gt;"非自然知识",COUNTIF($A$20:$A$78,$A30)&gt;0,OR($B$6="any",$B$6="fixed",AND($B$6="group",LEFT($A30,LEN($E$6)+1)=$E$6&amp;"（"),IFERROR(OR(ISNUMBER(FIND("|"&amp;$A30&amp;"|",$D$6)),AND(IFERROR(FIND("（",$A30),0)&gt;0,ISNUMBER(FIND("|"&amp;LEFT($A30,FIND("（",$A30)-1)&amp;"*|",$D$6)))),FALSE)))),ROW()-19,999)</f>
        <v>11</v>
      </c>
      <c r="AK30" t="str">
        <f ca="1">IFERROR(INDEX($A$20:$A$78,SMALL($AL$20:$AL$78,11)),"")</f>
        <v>乔装</v>
      </c>
      <c r="AL30">
        <f ca="1">IF(AND($A30&lt;&gt;"",COUNTIF($A$20:A30,A30)=1,AND($A30&lt;&gt;"",$A30&lt;&gt;"非自然知识",COUNTIF($A$20:$A$78,$A30)&gt;0,OR($B$7="any",$B$7="fixed",AND($B$7="group",LEFT($A30,LEN($E$7)+1)=$E$7&amp;"（"),IFERROR(OR(ISNUMBER(FIND("|"&amp;$A30&amp;"|",$D$7)),AND(IFERROR(FIND("（",$A30),0)&gt;0,ISNUMBER(FIND("|"&amp;LEFT($A30,FIND("（",$A30)-1)&amp;"*|",$D$7)))),FALSE)))),ROW()-19,999)</f>
        <v>11</v>
      </c>
      <c r="AM30" t="str">
        <f ca="1">IFERROR(INDEX($A$20:$A$78,SMALL($AN$20:$AN$78,11)),"")</f>
        <v>乔装</v>
      </c>
      <c r="AN30">
        <f ca="1">IF(AND($A30&lt;&gt;"",COUNTIF($A$20:A30,A30)=1,AND($A30&lt;&gt;"",$A30&lt;&gt;"非自然知识",COUNTIF($A$20:$A$78,$A30)&gt;0,OR($B$8="any",$B$8="fixed",AND($B$8="group",LEFT($A30,LEN($E$8)+1)=$E$8&amp;"（"),IFERROR(OR(ISNUMBER(FIND("|"&amp;$A30&amp;"|",$D$8)),AND(IFERROR(FIND("（",$A30),0)&gt;0,ISNUMBER(FIND("|"&amp;LEFT($A30,FIND("（",$A30)-1)&amp;"*|",$D$8)))),FALSE)))),ROW()-19,999)</f>
        <v>11</v>
      </c>
      <c r="AO30" t="str">
        <f ca="1">IFERROR(INDEX($A$20:$A$78,SMALL($AP$20:$AP$78,11)),"")</f>
        <v>乔装</v>
      </c>
      <c r="AP30">
        <f ca="1">IF(AND($A30&lt;&gt;"",COUNTIF($A$20:A30,A30)=1,AND($A30&lt;&gt;"",$A30&lt;&gt;"非自然知识",COUNTIF($A$20:$A$78,$A30)&gt;0,OR($B$9="any",$B$9="fixed",AND($B$9="group",LEFT($A30,LEN($E$9)+1)=$E$9&amp;"（"),IFERROR(OR(ISNUMBER(FIND("|"&amp;$A30&amp;"|",$D$9)),AND(IFERROR(FIND("（",$A30),0)&gt;0,ISNUMBER(FIND("|"&amp;LEFT($A30,FIND("（",$A30)-1)&amp;"*|",$D$9)))),FALSE)))),ROW()-19,999)</f>
        <v>11</v>
      </c>
    </row>
    <row r="31" spans="1:42">
      <c r="A31" t="str">
        <f ca="1">IF(TRIM(人物卡!J25)="","","工艺（"&amp;TRIM(人物卡!J25)&amp;"）")</f>
        <v/>
      </c>
      <c r="B31" t="str">
        <f ca="1" t="shared" si="2"/>
        <v/>
      </c>
      <c r="C31">
        <f ca="1">IF(人物卡!V25="",N(人物卡!S25),N(人物卡!V25))</f>
        <v>0</v>
      </c>
      <c r="D31">
        <f ca="1">IF(AND(A31&lt;&gt;"",COUNTIF($A$20:A31,A31)=1),COUNTIF($H$2:$H$9,A31)*20,0)</f>
        <v>0</v>
      </c>
      <c r="E31">
        <f ca="1" t="shared" si="3"/>
        <v>0</v>
      </c>
      <c r="F31">
        <f ca="1">IF(AND(A31&lt;&gt;"",COUNTIF($A$20:A31,A31)=1),IF(A31="神秘学",IF(人物卡!$DF$46="人类不应知道之事",20,IF(OR(人物卡!$DF$46="极端暴力",人物卡!$DF$46="关押或入狱",人物卡!$DF$46="艰苦经历"),10,0)),0)+IF(人物卡!$DF$46="艰苦经历",COUNTIF($H$12:$H$16,A31)*10,0),0)</f>
        <v>0</v>
      </c>
      <c r="G31">
        <f ca="1">IF(人物卡!$DF$46="艰苦经历",MIN(F31,MAX(0,90-C31-E31)),MIN(F31,MAX(0,99-C31-E31)))</f>
        <v>0</v>
      </c>
      <c r="H31" t="str">
        <f ca="1" t="shared" si="4"/>
        <v/>
      </c>
      <c r="I31" t="str">
        <f ca="1" t="shared" si="5"/>
        <v/>
      </c>
      <c r="J31" t="s">
        <v>1252</v>
      </c>
      <c r="K31" t="s">
        <v>1259</v>
      </c>
      <c r="Y31">
        <f ca="1">IF(AND($A31&lt;&gt;"",COUNTIF($A$20:A31,A31)=1,$A31&lt;&gt;"非自然知识"),ROW()-19,999)</f>
        <v>999</v>
      </c>
      <c r="Z31" t="str">
        <f ca="1">IFERROR(INDEX($A$20:$A$78,SMALL($Y$20:$Y$78,12)),"")</f>
        <v>闪避</v>
      </c>
      <c r="AA31" t="str">
        <f ca="1">IFERROR(INDEX($A$20:$A$78,SMALL($AB$20:$AB$78,12)),"")</f>
        <v>闪避</v>
      </c>
      <c r="AB31">
        <f ca="1">IF(AND($A31&lt;&gt;"",COUNTIF($A$20:A31,A31)=1,AND($A31&lt;&gt;"",$A31&lt;&gt;"非自然知识",COUNTIF($A$20:$A$78,$A31)&gt;0,OR($B$2="any",$B$2="fixed",AND($B$2="group",LEFT($A31,LEN($E$2)+1)=$E$2&amp;"（"),IFERROR(OR(ISNUMBER(FIND("|"&amp;$A31&amp;"|",$D$2)),AND(IFERROR(FIND("（",$A31),0)&gt;0,ISNUMBER(FIND("|"&amp;LEFT($A31,FIND("（",$A31)-1)&amp;"*|",$D$2)))),FALSE)))),ROW()-19,999)</f>
        <v>999</v>
      </c>
      <c r="AC31" t="str">
        <f ca="1">IFERROR(INDEX($A$20:$A$78,SMALL($AD$20:$AD$78,12)),"")</f>
        <v>闪避</v>
      </c>
      <c r="AD31">
        <f ca="1">IF(AND($A31&lt;&gt;"",COUNTIF($A$20:A31,A31)=1,AND($A31&lt;&gt;"",$A31&lt;&gt;"非自然知识",COUNTIF($A$20:$A$78,$A31)&gt;0,OR($B$3="any",$B$3="fixed",AND($B$3="group",LEFT($A31,LEN($E$3)+1)=$E$3&amp;"（"),IFERROR(OR(ISNUMBER(FIND("|"&amp;$A31&amp;"|",$D$3)),AND(IFERROR(FIND("（",$A31),0)&gt;0,ISNUMBER(FIND("|"&amp;LEFT($A31,FIND("（",$A31)-1)&amp;"*|",$D$3)))),FALSE)))),ROW()-19,999)</f>
        <v>999</v>
      </c>
      <c r="AE31" t="str">
        <f ca="1">IFERROR(INDEX($A$20:$A$78,SMALL($AF$20:$AF$78,12)),"")</f>
        <v>闪避</v>
      </c>
      <c r="AF31">
        <f ca="1">IF(AND($A31&lt;&gt;"",COUNTIF($A$20:A31,A31)=1,AND($A31&lt;&gt;"",$A31&lt;&gt;"非自然知识",COUNTIF($A$20:$A$78,$A31)&gt;0,OR($B$4="any",$B$4="fixed",AND($B$4="group",LEFT($A31,LEN($E$4)+1)=$E$4&amp;"（"),IFERROR(OR(ISNUMBER(FIND("|"&amp;$A31&amp;"|",$D$4)),AND(IFERROR(FIND("（",$A31),0)&gt;0,ISNUMBER(FIND("|"&amp;LEFT($A31,FIND("（",$A31)-1)&amp;"*|",$D$4)))),FALSE)))),ROW()-19,999)</f>
        <v>999</v>
      </c>
      <c r="AG31" t="str">
        <f ca="1">IFERROR(INDEX($A$20:$A$78,SMALL($AH$20:$AH$78,12)),"")</f>
        <v>闪避</v>
      </c>
      <c r="AH31">
        <f ca="1">IF(AND($A31&lt;&gt;"",COUNTIF($A$20:A31,A31)=1,AND($A31&lt;&gt;"",$A31&lt;&gt;"非自然知识",COUNTIF($A$20:$A$78,$A31)&gt;0,OR($B$5="any",$B$5="fixed",AND($B$5="group",LEFT($A31,LEN($E$5)+1)=$E$5&amp;"（"),IFERROR(OR(ISNUMBER(FIND("|"&amp;$A31&amp;"|",$D$5)),AND(IFERROR(FIND("（",$A31),0)&gt;0,ISNUMBER(FIND("|"&amp;LEFT($A31,FIND("（",$A31)-1)&amp;"*|",$D$5)))),FALSE)))),ROW()-19,999)</f>
        <v>999</v>
      </c>
      <c r="AI31" t="str">
        <f ca="1">IFERROR(INDEX($A$20:$A$78,SMALL($AJ$20:$AJ$78,12)),"")</f>
        <v>闪避</v>
      </c>
      <c r="AJ31">
        <f ca="1">IF(AND($A31&lt;&gt;"",COUNTIF($A$20:A31,A31)=1,AND($A31&lt;&gt;"",$A31&lt;&gt;"非自然知识",COUNTIF($A$20:$A$78,$A31)&gt;0,OR($B$6="any",$B$6="fixed",AND($B$6="group",LEFT($A31,LEN($E$6)+1)=$E$6&amp;"（"),IFERROR(OR(ISNUMBER(FIND("|"&amp;$A31&amp;"|",$D$6)),AND(IFERROR(FIND("（",$A31),0)&gt;0,ISNUMBER(FIND("|"&amp;LEFT($A31,FIND("（",$A31)-1)&amp;"*|",$D$6)))),FALSE)))),ROW()-19,999)</f>
        <v>999</v>
      </c>
      <c r="AK31" t="str">
        <f ca="1">IFERROR(INDEX($A$20:$A$78,SMALL($AL$20:$AL$78,12)),"")</f>
        <v>闪避</v>
      </c>
      <c r="AL31">
        <f ca="1">IF(AND($A31&lt;&gt;"",COUNTIF($A$20:A31,A31)=1,AND($A31&lt;&gt;"",$A31&lt;&gt;"非自然知识",COUNTIF($A$20:$A$78,$A31)&gt;0,OR($B$7="any",$B$7="fixed",AND($B$7="group",LEFT($A31,LEN($E$7)+1)=$E$7&amp;"（"),IFERROR(OR(ISNUMBER(FIND("|"&amp;$A31&amp;"|",$D$7)),AND(IFERROR(FIND("（",$A31),0)&gt;0,ISNUMBER(FIND("|"&amp;LEFT($A31,FIND("（",$A31)-1)&amp;"*|",$D$7)))),FALSE)))),ROW()-19,999)</f>
        <v>999</v>
      </c>
      <c r="AM31" t="str">
        <f ca="1">IFERROR(INDEX($A$20:$A$78,SMALL($AN$20:$AN$78,12)),"")</f>
        <v>闪避</v>
      </c>
      <c r="AN31">
        <f ca="1">IF(AND($A31&lt;&gt;"",COUNTIF($A$20:A31,A31)=1,AND($A31&lt;&gt;"",$A31&lt;&gt;"非自然知识",COUNTIF($A$20:$A$78,$A31)&gt;0,OR($B$8="any",$B$8="fixed",AND($B$8="group",LEFT($A31,LEN($E$8)+1)=$E$8&amp;"（"),IFERROR(OR(ISNUMBER(FIND("|"&amp;$A31&amp;"|",$D$8)),AND(IFERROR(FIND("（",$A31),0)&gt;0,ISNUMBER(FIND("|"&amp;LEFT($A31,FIND("（",$A31)-1)&amp;"*|",$D$8)))),FALSE)))),ROW()-19,999)</f>
        <v>999</v>
      </c>
      <c r="AO31" t="str">
        <f ca="1">IFERROR(INDEX($A$20:$A$78,SMALL($AP$20:$AP$78,12)),"")</f>
        <v>闪避</v>
      </c>
      <c r="AP31">
        <f ca="1">IF(AND($A31&lt;&gt;"",COUNTIF($A$20:A31,A31)=1,AND($A31&lt;&gt;"",$A31&lt;&gt;"非自然知识",COUNTIF($A$20:$A$78,$A31)&gt;0,OR($B$9="any",$B$9="fixed",AND($B$9="group",LEFT($A31,LEN($E$9)+1)=$E$9&amp;"（"),IFERROR(OR(ISNUMBER(FIND("|"&amp;$A31&amp;"|",$D$9)),AND(IFERROR(FIND("（",$A31),0)&gt;0,ISNUMBER(FIND("|"&amp;LEFT($A31,FIND("（",$A31)-1)&amp;"*|",$D$9)))),FALSE)))),ROW()-19,999)</f>
        <v>999</v>
      </c>
    </row>
    <row r="32" spans="1:42">
      <c r="A32" t="str">
        <f ca="1">IF(TRIM(人物卡!J26)="","","工艺（"&amp;TRIM(人物卡!J26)&amp;"）")</f>
        <v/>
      </c>
      <c r="B32" t="str">
        <f ca="1" t="shared" si="2"/>
        <v/>
      </c>
      <c r="C32">
        <f ca="1">IF(人物卡!V26="",N(人物卡!S26),N(人物卡!V26))</f>
        <v>0</v>
      </c>
      <c r="D32">
        <f ca="1">IF(AND(A32&lt;&gt;"",COUNTIF($A$20:A32,A32)=1),COUNTIF($H$2:$H$9,A32)*20,0)</f>
        <v>0</v>
      </c>
      <c r="E32">
        <f ca="1" t="shared" si="3"/>
        <v>0</v>
      </c>
      <c r="F32">
        <f ca="1">IF(AND(A32&lt;&gt;"",COUNTIF($A$20:A32,A32)=1),IF(A32="神秘学",IF(人物卡!$DF$46="人类不应知道之事",20,IF(OR(人物卡!$DF$46="极端暴力",人物卡!$DF$46="关押或入狱",人物卡!$DF$46="艰苦经历"),10,0)),0)+IF(人物卡!$DF$46="艰苦经历",COUNTIF($H$12:$H$16,A32)*10,0),0)</f>
        <v>0</v>
      </c>
      <c r="G32">
        <f ca="1">IF(人物卡!$DF$46="艰苦经历",MIN(F32,MAX(0,90-C32-E32)),MIN(F32,MAX(0,99-C32-E32)))</f>
        <v>0</v>
      </c>
      <c r="H32" t="str">
        <f ca="1" t="shared" si="4"/>
        <v/>
      </c>
      <c r="I32" t="str">
        <f ca="1" t="shared" si="5"/>
        <v/>
      </c>
      <c r="J32" t="s">
        <v>2273</v>
      </c>
      <c r="K32" t="s">
        <v>2274</v>
      </c>
      <c r="Y32">
        <f ca="1">IF(AND($A32&lt;&gt;"",COUNTIF($A$20:A32,A32)=1,$A32&lt;&gt;"非自然知识"),ROW()-19,999)</f>
        <v>999</v>
      </c>
      <c r="Z32" t="str">
        <f ca="1">IFERROR(INDEX($A$20:$A$78,SMALL($Y$20:$Y$78,13)),"")</f>
        <v>机动车驾驶</v>
      </c>
      <c r="AA32" t="str">
        <f ca="1">IFERROR(INDEX($A$20:$A$78,SMALL($AB$20:$AB$78,13)),"")</f>
        <v>机动车驾驶</v>
      </c>
      <c r="AB32">
        <f ca="1">IF(AND($A32&lt;&gt;"",COUNTIF($A$20:A32,A32)=1,AND($A32&lt;&gt;"",$A32&lt;&gt;"非自然知识",COUNTIF($A$20:$A$78,$A32)&gt;0,OR($B$2="any",$B$2="fixed",AND($B$2="group",LEFT($A32,LEN($E$2)+1)=$E$2&amp;"（"),IFERROR(OR(ISNUMBER(FIND("|"&amp;$A32&amp;"|",$D$2)),AND(IFERROR(FIND("（",$A32),0)&gt;0,ISNUMBER(FIND("|"&amp;LEFT($A32,FIND("（",$A32)-1)&amp;"*|",$D$2)))),FALSE)))),ROW()-19,999)</f>
        <v>999</v>
      </c>
      <c r="AC32" t="str">
        <f ca="1">IFERROR(INDEX($A$20:$A$78,SMALL($AD$20:$AD$78,13)),"")</f>
        <v>机动车驾驶</v>
      </c>
      <c r="AD32">
        <f ca="1">IF(AND($A32&lt;&gt;"",COUNTIF($A$20:A32,A32)=1,AND($A32&lt;&gt;"",$A32&lt;&gt;"非自然知识",COUNTIF($A$20:$A$78,$A32)&gt;0,OR($B$3="any",$B$3="fixed",AND($B$3="group",LEFT($A32,LEN($E$3)+1)=$E$3&amp;"（"),IFERROR(OR(ISNUMBER(FIND("|"&amp;$A32&amp;"|",$D$3)),AND(IFERROR(FIND("（",$A32),0)&gt;0,ISNUMBER(FIND("|"&amp;LEFT($A32,FIND("（",$A32)-1)&amp;"*|",$D$3)))),FALSE)))),ROW()-19,999)</f>
        <v>999</v>
      </c>
      <c r="AE32" t="str">
        <f ca="1">IFERROR(INDEX($A$20:$A$78,SMALL($AF$20:$AF$78,13)),"")</f>
        <v>机动车驾驶</v>
      </c>
      <c r="AF32">
        <f ca="1">IF(AND($A32&lt;&gt;"",COUNTIF($A$20:A32,A32)=1,AND($A32&lt;&gt;"",$A32&lt;&gt;"非自然知识",COUNTIF($A$20:$A$78,$A32)&gt;0,OR($B$4="any",$B$4="fixed",AND($B$4="group",LEFT($A32,LEN($E$4)+1)=$E$4&amp;"（"),IFERROR(OR(ISNUMBER(FIND("|"&amp;$A32&amp;"|",$D$4)),AND(IFERROR(FIND("（",$A32),0)&gt;0,ISNUMBER(FIND("|"&amp;LEFT($A32,FIND("（",$A32)-1)&amp;"*|",$D$4)))),FALSE)))),ROW()-19,999)</f>
        <v>999</v>
      </c>
      <c r="AG32" t="str">
        <f ca="1">IFERROR(INDEX($A$20:$A$78,SMALL($AH$20:$AH$78,13)),"")</f>
        <v>机动车驾驶</v>
      </c>
      <c r="AH32">
        <f ca="1">IF(AND($A32&lt;&gt;"",COUNTIF($A$20:A32,A32)=1,AND($A32&lt;&gt;"",$A32&lt;&gt;"非自然知识",COUNTIF($A$20:$A$78,$A32)&gt;0,OR($B$5="any",$B$5="fixed",AND($B$5="group",LEFT($A32,LEN($E$5)+1)=$E$5&amp;"（"),IFERROR(OR(ISNUMBER(FIND("|"&amp;$A32&amp;"|",$D$5)),AND(IFERROR(FIND("（",$A32),0)&gt;0,ISNUMBER(FIND("|"&amp;LEFT($A32,FIND("（",$A32)-1)&amp;"*|",$D$5)))),FALSE)))),ROW()-19,999)</f>
        <v>999</v>
      </c>
      <c r="AI32" t="str">
        <f ca="1">IFERROR(INDEX($A$20:$A$78,SMALL($AJ$20:$AJ$78,13)),"")</f>
        <v>机动车驾驶</v>
      </c>
      <c r="AJ32">
        <f ca="1">IF(AND($A32&lt;&gt;"",COUNTIF($A$20:A32,A32)=1,AND($A32&lt;&gt;"",$A32&lt;&gt;"非自然知识",COUNTIF($A$20:$A$78,$A32)&gt;0,OR($B$6="any",$B$6="fixed",AND($B$6="group",LEFT($A32,LEN($E$6)+1)=$E$6&amp;"（"),IFERROR(OR(ISNUMBER(FIND("|"&amp;$A32&amp;"|",$D$6)),AND(IFERROR(FIND("（",$A32),0)&gt;0,ISNUMBER(FIND("|"&amp;LEFT($A32,FIND("（",$A32)-1)&amp;"*|",$D$6)))),FALSE)))),ROW()-19,999)</f>
        <v>999</v>
      </c>
      <c r="AK32" t="str">
        <f ca="1">IFERROR(INDEX($A$20:$A$78,SMALL($AL$20:$AL$78,13)),"")</f>
        <v>机动车驾驶</v>
      </c>
      <c r="AL32">
        <f ca="1">IF(AND($A32&lt;&gt;"",COUNTIF($A$20:A32,A32)=1,AND($A32&lt;&gt;"",$A32&lt;&gt;"非自然知识",COUNTIF($A$20:$A$78,$A32)&gt;0,OR($B$7="any",$B$7="fixed",AND($B$7="group",LEFT($A32,LEN($E$7)+1)=$E$7&amp;"（"),IFERROR(OR(ISNUMBER(FIND("|"&amp;$A32&amp;"|",$D$7)),AND(IFERROR(FIND("（",$A32),0)&gt;0,ISNUMBER(FIND("|"&amp;LEFT($A32,FIND("（",$A32)-1)&amp;"*|",$D$7)))),FALSE)))),ROW()-19,999)</f>
        <v>999</v>
      </c>
      <c r="AM32" t="str">
        <f ca="1">IFERROR(INDEX($A$20:$A$78,SMALL($AN$20:$AN$78,13)),"")</f>
        <v>机动车驾驶</v>
      </c>
      <c r="AN32">
        <f ca="1">IF(AND($A32&lt;&gt;"",COUNTIF($A$20:A32,A32)=1,AND($A32&lt;&gt;"",$A32&lt;&gt;"非自然知识",COUNTIF($A$20:$A$78,$A32)&gt;0,OR($B$8="any",$B$8="fixed",AND($B$8="group",LEFT($A32,LEN($E$8)+1)=$E$8&amp;"（"),IFERROR(OR(ISNUMBER(FIND("|"&amp;$A32&amp;"|",$D$8)),AND(IFERROR(FIND("（",$A32),0)&gt;0,ISNUMBER(FIND("|"&amp;LEFT($A32,FIND("（",$A32)-1)&amp;"*|",$D$8)))),FALSE)))),ROW()-19,999)</f>
        <v>999</v>
      </c>
      <c r="AO32" t="str">
        <f ca="1">IFERROR(INDEX($A$20:$A$78,SMALL($AP$20:$AP$78,13)),"")</f>
        <v>机动车驾驶</v>
      </c>
      <c r="AP32">
        <f ca="1">IF(AND($A32&lt;&gt;"",COUNTIF($A$20:A32,A32)=1,AND($A32&lt;&gt;"",$A32&lt;&gt;"非自然知识",COUNTIF($A$20:$A$78,$A32)&gt;0,OR($B$9="any",$B$9="fixed",AND($B$9="group",LEFT($A32,LEN($E$9)+1)=$E$9&amp;"（"),IFERROR(OR(ISNUMBER(FIND("|"&amp;$A32&amp;"|",$D$9)),AND(IFERROR(FIND("（",$A32),0)&gt;0,ISNUMBER(FIND("|"&amp;LEFT($A32,FIND("（",$A32)-1)&amp;"*|",$D$9)))),FALSE)))),ROW()-19,999)</f>
        <v>999</v>
      </c>
    </row>
    <row r="33" spans="1:42">
      <c r="A33" t="str">
        <f ca="1">IF(TRIM(人物卡!J27)="","","工艺（"&amp;TRIM(人物卡!J27)&amp;"）")</f>
        <v/>
      </c>
      <c r="B33" t="str">
        <f ca="1" t="shared" si="2"/>
        <v/>
      </c>
      <c r="C33">
        <f ca="1">IF(人物卡!V27="",N(人物卡!S27),N(人物卡!V27))</f>
        <v>0</v>
      </c>
      <c r="D33">
        <f ca="1">IF(AND(A33&lt;&gt;"",COUNTIF($A$20:A33,A33)=1),COUNTIF($H$2:$H$9,A33)*20,0)</f>
        <v>0</v>
      </c>
      <c r="E33">
        <f ca="1" t="shared" si="3"/>
        <v>0</v>
      </c>
      <c r="F33">
        <f ca="1">IF(AND(A33&lt;&gt;"",COUNTIF($A$20:A33,A33)=1),IF(A33="神秘学",IF(人物卡!$DF$46="人类不应知道之事",20,IF(OR(人物卡!$DF$46="极端暴力",人物卡!$DF$46="关押或入狱",人物卡!$DF$46="艰苦经历"),10,0)),0)+IF(人物卡!$DF$46="艰苦经历",COUNTIF($H$12:$H$16,A33)*10,0),0)</f>
        <v>0</v>
      </c>
      <c r="G33">
        <f ca="1">IF(人物卡!$DF$46="艰苦经历",MIN(F33,MAX(0,90-C33-E33)),MIN(F33,MAX(0,99-C33-E33)))</f>
        <v>0</v>
      </c>
      <c r="H33" t="str">
        <f ca="1" t="shared" si="4"/>
        <v/>
      </c>
      <c r="I33" t="str">
        <f ca="1" t="shared" si="5"/>
        <v/>
      </c>
      <c r="J33" t="s">
        <v>2275</v>
      </c>
      <c r="K33" t="s">
        <v>2276</v>
      </c>
      <c r="Y33">
        <f ca="1">IF(AND($A33&lt;&gt;"",COUNTIF($A$20:A33,A33)=1,$A33&lt;&gt;"非自然知识"),ROW()-19,999)</f>
        <v>999</v>
      </c>
      <c r="Z33" t="str">
        <f ca="1">IFERROR(INDEX($A$20:$A$78,SMALL($Y$20:$Y$78,14)),"")</f>
        <v>射击</v>
      </c>
      <c r="AA33" t="str">
        <f ca="1">IFERROR(INDEX($A$20:$A$78,SMALL($AB$20:$AB$78,14)),"")</f>
        <v>射击</v>
      </c>
      <c r="AB33">
        <f ca="1">IF(AND($A33&lt;&gt;"",COUNTIF($A$20:A33,A33)=1,AND($A33&lt;&gt;"",$A33&lt;&gt;"非自然知识",COUNTIF($A$20:$A$78,$A33)&gt;0,OR($B$2="any",$B$2="fixed",AND($B$2="group",LEFT($A33,LEN($E$2)+1)=$E$2&amp;"（"),IFERROR(OR(ISNUMBER(FIND("|"&amp;$A33&amp;"|",$D$2)),AND(IFERROR(FIND("（",$A33),0)&gt;0,ISNUMBER(FIND("|"&amp;LEFT($A33,FIND("（",$A33)-1)&amp;"*|",$D$2)))),FALSE)))),ROW()-19,999)</f>
        <v>999</v>
      </c>
      <c r="AC33" t="str">
        <f ca="1">IFERROR(INDEX($A$20:$A$78,SMALL($AD$20:$AD$78,14)),"")</f>
        <v>射击</v>
      </c>
      <c r="AD33">
        <f ca="1">IF(AND($A33&lt;&gt;"",COUNTIF($A$20:A33,A33)=1,AND($A33&lt;&gt;"",$A33&lt;&gt;"非自然知识",COUNTIF($A$20:$A$78,$A33)&gt;0,OR($B$3="any",$B$3="fixed",AND($B$3="group",LEFT($A33,LEN($E$3)+1)=$E$3&amp;"（"),IFERROR(OR(ISNUMBER(FIND("|"&amp;$A33&amp;"|",$D$3)),AND(IFERROR(FIND("（",$A33),0)&gt;0,ISNUMBER(FIND("|"&amp;LEFT($A33,FIND("（",$A33)-1)&amp;"*|",$D$3)))),FALSE)))),ROW()-19,999)</f>
        <v>999</v>
      </c>
      <c r="AE33" t="str">
        <f ca="1">IFERROR(INDEX($A$20:$A$78,SMALL($AF$20:$AF$78,14)),"")</f>
        <v>射击</v>
      </c>
      <c r="AF33">
        <f ca="1">IF(AND($A33&lt;&gt;"",COUNTIF($A$20:A33,A33)=1,AND($A33&lt;&gt;"",$A33&lt;&gt;"非自然知识",COUNTIF($A$20:$A$78,$A33)&gt;0,OR($B$4="any",$B$4="fixed",AND($B$4="group",LEFT($A33,LEN($E$4)+1)=$E$4&amp;"（"),IFERROR(OR(ISNUMBER(FIND("|"&amp;$A33&amp;"|",$D$4)),AND(IFERROR(FIND("（",$A33),0)&gt;0,ISNUMBER(FIND("|"&amp;LEFT($A33,FIND("（",$A33)-1)&amp;"*|",$D$4)))),FALSE)))),ROW()-19,999)</f>
        <v>999</v>
      </c>
      <c r="AG33" t="str">
        <f ca="1">IFERROR(INDEX($A$20:$A$78,SMALL($AH$20:$AH$78,14)),"")</f>
        <v>射击</v>
      </c>
      <c r="AH33">
        <f ca="1">IF(AND($A33&lt;&gt;"",COUNTIF($A$20:A33,A33)=1,AND($A33&lt;&gt;"",$A33&lt;&gt;"非自然知识",COUNTIF($A$20:$A$78,$A33)&gt;0,OR($B$5="any",$B$5="fixed",AND($B$5="group",LEFT($A33,LEN($E$5)+1)=$E$5&amp;"（"),IFERROR(OR(ISNUMBER(FIND("|"&amp;$A33&amp;"|",$D$5)),AND(IFERROR(FIND("（",$A33),0)&gt;0,ISNUMBER(FIND("|"&amp;LEFT($A33,FIND("（",$A33)-1)&amp;"*|",$D$5)))),FALSE)))),ROW()-19,999)</f>
        <v>999</v>
      </c>
      <c r="AI33" t="str">
        <f ca="1">IFERROR(INDEX($A$20:$A$78,SMALL($AJ$20:$AJ$78,14)),"")</f>
        <v>射击</v>
      </c>
      <c r="AJ33">
        <f ca="1">IF(AND($A33&lt;&gt;"",COUNTIF($A$20:A33,A33)=1,AND($A33&lt;&gt;"",$A33&lt;&gt;"非自然知识",COUNTIF($A$20:$A$78,$A33)&gt;0,OR($B$6="any",$B$6="fixed",AND($B$6="group",LEFT($A33,LEN($E$6)+1)=$E$6&amp;"（"),IFERROR(OR(ISNUMBER(FIND("|"&amp;$A33&amp;"|",$D$6)),AND(IFERROR(FIND("（",$A33),0)&gt;0,ISNUMBER(FIND("|"&amp;LEFT($A33,FIND("（",$A33)-1)&amp;"*|",$D$6)))),FALSE)))),ROW()-19,999)</f>
        <v>999</v>
      </c>
      <c r="AK33" t="str">
        <f ca="1">IFERROR(INDEX($A$20:$A$78,SMALL($AL$20:$AL$78,14)),"")</f>
        <v>射击</v>
      </c>
      <c r="AL33">
        <f ca="1">IF(AND($A33&lt;&gt;"",COUNTIF($A$20:A33,A33)=1,AND($A33&lt;&gt;"",$A33&lt;&gt;"非自然知识",COUNTIF($A$20:$A$78,$A33)&gt;0,OR($B$7="any",$B$7="fixed",AND($B$7="group",LEFT($A33,LEN($E$7)+1)=$E$7&amp;"（"),IFERROR(OR(ISNUMBER(FIND("|"&amp;$A33&amp;"|",$D$7)),AND(IFERROR(FIND("（",$A33),0)&gt;0,ISNUMBER(FIND("|"&amp;LEFT($A33,FIND("（",$A33)-1)&amp;"*|",$D$7)))),FALSE)))),ROW()-19,999)</f>
        <v>999</v>
      </c>
      <c r="AM33" t="str">
        <f ca="1">IFERROR(INDEX($A$20:$A$78,SMALL($AN$20:$AN$78,14)),"")</f>
        <v>射击</v>
      </c>
      <c r="AN33">
        <f ca="1">IF(AND($A33&lt;&gt;"",COUNTIF($A$20:A33,A33)=1,AND($A33&lt;&gt;"",$A33&lt;&gt;"非自然知识",COUNTIF($A$20:$A$78,$A33)&gt;0,OR($B$8="any",$B$8="fixed",AND($B$8="group",LEFT($A33,LEN($E$8)+1)=$E$8&amp;"（"),IFERROR(OR(ISNUMBER(FIND("|"&amp;$A33&amp;"|",$D$8)),AND(IFERROR(FIND("（",$A33),0)&gt;0,ISNUMBER(FIND("|"&amp;LEFT($A33,FIND("（",$A33)-1)&amp;"*|",$D$8)))),FALSE)))),ROW()-19,999)</f>
        <v>999</v>
      </c>
      <c r="AO33" t="str">
        <f ca="1">IFERROR(INDEX($A$20:$A$78,SMALL($AP$20:$AP$78,14)),"")</f>
        <v>射击</v>
      </c>
      <c r="AP33">
        <f ca="1">IF(AND($A33&lt;&gt;"",COUNTIF($A$20:A33,A33)=1,AND($A33&lt;&gt;"",$A33&lt;&gt;"非自然知识",COUNTIF($A$20:$A$78,$A33)&gt;0,OR($B$9="any",$B$9="fixed",AND($B$9="group",LEFT($A33,LEN($E$9)+1)=$E$9&amp;"（"),IFERROR(OR(ISNUMBER(FIND("|"&amp;$A33&amp;"|",$D$9)),AND(IFERROR(FIND("（",$A33),0)&gt;0,ISNUMBER(FIND("|"&amp;LEFT($A33,FIND("（",$A33)-1)&amp;"*|",$D$9)))),FALSE)))),ROW()-19,999)</f>
        <v>999</v>
      </c>
    </row>
    <row r="34" spans="1:42">
      <c r="A34" t="str">
        <f ca="1">IF(TRIM(人物卡!J28)="","","工艺（"&amp;TRIM(人物卡!J28)&amp;"）")</f>
        <v/>
      </c>
      <c r="B34" t="str">
        <f ca="1" t="shared" si="2"/>
        <v/>
      </c>
      <c r="C34">
        <f ca="1">IF(人物卡!V28="",N(人物卡!S28),N(人物卡!V28))</f>
        <v>0</v>
      </c>
      <c r="D34">
        <f ca="1">IF(AND(A34&lt;&gt;"",COUNTIF($A$20:A34,A34)=1),COUNTIF($H$2:$H$9,A34)*20,0)</f>
        <v>0</v>
      </c>
      <c r="E34">
        <f ca="1" t="shared" si="3"/>
        <v>0</v>
      </c>
      <c r="F34">
        <f ca="1">IF(AND(A34&lt;&gt;"",COUNTIF($A$20:A34,A34)=1),IF(A34="神秘学",IF(人物卡!$DF$46="人类不应知道之事",20,IF(OR(人物卡!$DF$46="极端暴力",人物卡!$DF$46="关押或入狱",人物卡!$DF$46="艰苦经历"),10,0)),0)+IF(人物卡!$DF$46="艰苦经历",COUNTIF($H$12:$H$16,A34)*10,0),0)</f>
        <v>0</v>
      </c>
      <c r="G34">
        <f ca="1">IF(人物卡!$DF$46="艰苦经历",MIN(F34,MAX(0,90-C34-E34)),MIN(F34,MAX(0,99-C34-E34)))</f>
        <v>0</v>
      </c>
      <c r="H34" t="str">
        <f ca="1" t="shared" si="4"/>
        <v/>
      </c>
      <c r="I34" t="str">
        <f ca="1" t="shared" si="5"/>
        <v/>
      </c>
      <c r="J34" t="s">
        <v>2277</v>
      </c>
      <c r="K34" t="s">
        <v>2278</v>
      </c>
      <c r="Y34">
        <f ca="1">IF(AND($A34&lt;&gt;"",COUNTIF($A$20:A34,A34)=1,$A34&lt;&gt;"非自然知识"),ROW()-19,999)</f>
        <v>999</v>
      </c>
      <c r="Z34" t="str">
        <f ca="1">IFERROR(INDEX($A$20:$A$78,SMALL($Y$20:$Y$78,15)),"")</f>
        <v>急救</v>
      </c>
      <c r="AA34" t="str">
        <f ca="1">IFERROR(INDEX($A$20:$A$78,SMALL($AB$20:$AB$78,15)),"")</f>
        <v>急救</v>
      </c>
      <c r="AB34">
        <f ca="1">IF(AND($A34&lt;&gt;"",COUNTIF($A$20:A34,A34)=1,AND($A34&lt;&gt;"",$A34&lt;&gt;"非自然知识",COUNTIF($A$20:$A$78,$A34)&gt;0,OR($B$2="any",$B$2="fixed",AND($B$2="group",LEFT($A34,LEN($E$2)+1)=$E$2&amp;"（"),IFERROR(OR(ISNUMBER(FIND("|"&amp;$A34&amp;"|",$D$2)),AND(IFERROR(FIND("（",$A34),0)&gt;0,ISNUMBER(FIND("|"&amp;LEFT($A34,FIND("（",$A34)-1)&amp;"*|",$D$2)))),FALSE)))),ROW()-19,999)</f>
        <v>999</v>
      </c>
      <c r="AC34" t="str">
        <f ca="1">IFERROR(INDEX($A$20:$A$78,SMALL($AD$20:$AD$78,15)),"")</f>
        <v>急救</v>
      </c>
      <c r="AD34">
        <f ca="1">IF(AND($A34&lt;&gt;"",COUNTIF($A$20:A34,A34)=1,AND($A34&lt;&gt;"",$A34&lt;&gt;"非自然知识",COUNTIF($A$20:$A$78,$A34)&gt;0,OR($B$3="any",$B$3="fixed",AND($B$3="group",LEFT($A34,LEN($E$3)+1)=$E$3&amp;"（"),IFERROR(OR(ISNUMBER(FIND("|"&amp;$A34&amp;"|",$D$3)),AND(IFERROR(FIND("（",$A34),0)&gt;0,ISNUMBER(FIND("|"&amp;LEFT($A34,FIND("（",$A34)-1)&amp;"*|",$D$3)))),FALSE)))),ROW()-19,999)</f>
        <v>999</v>
      </c>
      <c r="AE34" t="str">
        <f ca="1">IFERROR(INDEX($A$20:$A$78,SMALL($AF$20:$AF$78,15)),"")</f>
        <v>急救</v>
      </c>
      <c r="AF34">
        <f ca="1">IF(AND($A34&lt;&gt;"",COUNTIF($A$20:A34,A34)=1,AND($A34&lt;&gt;"",$A34&lt;&gt;"非自然知识",COUNTIF($A$20:$A$78,$A34)&gt;0,OR($B$4="any",$B$4="fixed",AND($B$4="group",LEFT($A34,LEN($E$4)+1)=$E$4&amp;"（"),IFERROR(OR(ISNUMBER(FIND("|"&amp;$A34&amp;"|",$D$4)),AND(IFERROR(FIND("（",$A34),0)&gt;0,ISNUMBER(FIND("|"&amp;LEFT($A34,FIND("（",$A34)-1)&amp;"*|",$D$4)))),FALSE)))),ROW()-19,999)</f>
        <v>999</v>
      </c>
      <c r="AG34" t="str">
        <f ca="1">IFERROR(INDEX($A$20:$A$78,SMALL($AH$20:$AH$78,15)),"")</f>
        <v>急救</v>
      </c>
      <c r="AH34">
        <f ca="1">IF(AND($A34&lt;&gt;"",COUNTIF($A$20:A34,A34)=1,AND($A34&lt;&gt;"",$A34&lt;&gt;"非自然知识",COUNTIF($A$20:$A$78,$A34)&gt;0,OR($B$5="any",$B$5="fixed",AND($B$5="group",LEFT($A34,LEN($E$5)+1)=$E$5&amp;"（"),IFERROR(OR(ISNUMBER(FIND("|"&amp;$A34&amp;"|",$D$5)),AND(IFERROR(FIND("（",$A34),0)&gt;0,ISNUMBER(FIND("|"&amp;LEFT($A34,FIND("（",$A34)-1)&amp;"*|",$D$5)))),FALSE)))),ROW()-19,999)</f>
        <v>999</v>
      </c>
      <c r="AI34" t="str">
        <f ca="1">IFERROR(INDEX($A$20:$A$78,SMALL($AJ$20:$AJ$78,15)),"")</f>
        <v>急救</v>
      </c>
      <c r="AJ34">
        <f ca="1">IF(AND($A34&lt;&gt;"",COUNTIF($A$20:A34,A34)=1,AND($A34&lt;&gt;"",$A34&lt;&gt;"非自然知识",COUNTIF($A$20:$A$78,$A34)&gt;0,OR($B$6="any",$B$6="fixed",AND($B$6="group",LEFT($A34,LEN($E$6)+1)=$E$6&amp;"（"),IFERROR(OR(ISNUMBER(FIND("|"&amp;$A34&amp;"|",$D$6)),AND(IFERROR(FIND("（",$A34),0)&gt;0,ISNUMBER(FIND("|"&amp;LEFT($A34,FIND("（",$A34)-1)&amp;"*|",$D$6)))),FALSE)))),ROW()-19,999)</f>
        <v>999</v>
      </c>
      <c r="AK34" t="str">
        <f ca="1">IFERROR(INDEX($A$20:$A$78,SMALL($AL$20:$AL$78,15)),"")</f>
        <v>急救</v>
      </c>
      <c r="AL34">
        <f ca="1">IF(AND($A34&lt;&gt;"",COUNTIF($A$20:A34,A34)=1,AND($A34&lt;&gt;"",$A34&lt;&gt;"非自然知识",COUNTIF($A$20:$A$78,$A34)&gt;0,OR($B$7="any",$B$7="fixed",AND($B$7="group",LEFT($A34,LEN($E$7)+1)=$E$7&amp;"（"),IFERROR(OR(ISNUMBER(FIND("|"&amp;$A34&amp;"|",$D$7)),AND(IFERROR(FIND("（",$A34),0)&gt;0,ISNUMBER(FIND("|"&amp;LEFT($A34,FIND("（",$A34)-1)&amp;"*|",$D$7)))),FALSE)))),ROW()-19,999)</f>
        <v>999</v>
      </c>
      <c r="AM34" t="str">
        <f ca="1">IFERROR(INDEX($A$20:$A$78,SMALL($AN$20:$AN$78,15)),"")</f>
        <v>急救</v>
      </c>
      <c r="AN34">
        <f ca="1">IF(AND($A34&lt;&gt;"",COUNTIF($A$20:A34,A34)=1,AND($A34&lt;&gt;"",$A34&lt;&gt;"非自然知识",COUNTIF($A$20:$A$78,$A34)&gt;0,OR($B$8="any",$B$8="fixed",AND($B$8="group",LEFT($A34,LEN($E$8)+1)=$E$8&amp;"（"),IFERROR(OR(ISNUMBER(FIND("|"&amp;$A34&amp;"|",$D$8)),AND(IFERROR(FIND("（",$A34),0)&gt;0,ISNUMBER(FIND("|"&amp;LEFT($A34,FIND("（",$A34)-1)&amp;"*|",$D$8)))),FALSE)))),ROW()-19,999)</f>
        <v>999</v>
      </c>
      <c r="AO34" t="str">
        <f ca="1">IFERROR(INDEX($A$20:$A$78,SMALL($AP$20:$AP$78,15)),"")</f>
        <v>急救</v>
      </c>
      <c r="AP34">
        <f ca="1">IF(AND($A34&lt;&gt;"",COUNTIF($A$20:A34,A34)=1,AND($A34&lt;&gt;"",$A34&lt;&gt;"非自然知识",COUNTIF($A$20:$A$78,$A34)&gt;0,OR($B$9="any",$B$9="fixed",AND($B$9="group",LEFT($A34,LEN($E$9)+1)=$E$9&amp;"（"),IFERROR(OR(ISNUMBER(FIND("|"&amp;$A34&amp;"|",$D$9)),AND(IFERROR(FIND("（",$A34),0)&gt;0,ISNUMBER(FIND("|"&amp;LEFT($A34,FIND("（",$A34)-1)&amp;"*|",$D$9)))),FALSE)))),ROW()-19,999)</f>
        <v>999</v>
      </c>
    </row>
    <row r="35" spans="1:42">
      <c r="A35" t="str">
        <f>人物卡!D29</f>
        <v>犯罪学</v>
      </c>
      <c r="B35" t="str">
        <f t="shared" si="2"/>
        <v/>
      </c>
      <c r="C35">
        <f ca="1">IF(人物卡!V29="",N(人物卡!S29),N(人物卡!V29))</f>
        <v>10</v>
      </c>
      <c r="D35">
        <f ca="1">IF(AND(A35&lt;&gt;"",COUNTIF($A$20:A35,A35)=1),COUNTIF($H$2:$H$9,A35)*20,0)</f>
        <v>0</v>
      </c>
      <c r="E35">
        <f ca="1" t="shared" si="3"/>
        <v>0</v>
      </c>
      <c r="F35">
        <f ca="1">IF(AND(A35&lt;&gt;"",COUNTIF($A$20:A35,A35)=1),IF(A35="神秘学",IF(人物卡!$DF$46="人类不应知道之事",20,IF(OR(人物卡!$DF$46="极端暴力",人物卡!$DF$46="关押或入狱",人物卡!$DF$46="艰苦经历"),10,0)),0)+IF(人物卡!$DF$46="艰苦经历",COUNTIF($H$12:$H$16,A35)*10,0),0)</f>
        <v>0</v>
      </c>
      <c r="G35">
        <f ca="1">IF(人物卡!$DF$46="艰苦经历",MIN(F35,MAX(0,90-C35-E35)),MIN(F35,MAX(0,99-C35-E35)))</f>
        <v>0</v>
      </c>
      <c r="H35" t="str">
        <f ca="1" t="shared" si="4"/>
        <v/>
      </c>
      <c r="I35" t="str">
        <f ca="1" t="shared" si="5"/>
        <v/>
      </c>
      <c r="J35" t="s">
        <v>2279</v>
      </c>
      <c r="K35" t="s">
        <v>2280</v>
      </c>
      <c r="Y35">
        <f ca="1">IF(AND($A35&lt;&gt;"",COUNTIF($A$20:A35,A35)=1,$A35&lt;&gt;"非自然知识"),ROW()-19,999)</f>
        <v>16</v>
      </c>
      <c r="Z35" t="str">
        <f ca="1">IFERROR(INDEX($A$20:$A$78,SMALL($Y$20:$Y$78,16)),"")</f>
        <v>法证学</v>
      </c>
      <c r="AA35" t="str">
        <f ca="1">IFERROR(INDEX($A$20:$A$78,SMALL($AB$20:$AB$78,16)),"")</f>
        <v>法证学</v>
      </c>
      <c r="AB35">
        <f ca="1">IF(AND($A35&lt;&gt;"",COUNTIF($A$20:A35,A35)=1,AND($A35&lt;&gt;"",$A35&lt;&gt;"非自然知识",COUNTIF($A$20:$A$78,$A35)&gt;0,OR($B$2="any",$B$2="fixed",AND($B$2="group",LEFT($A35,LEN($E$2)+1)=$E$2&amp;"（"),IFERROR(OR(ISNUMBER(FIND("|"&amp;$A35&amp;"|",$D$2)),AND(IFERROR(FIND("（",$A35),0)&gt;0,ISNUMBER(FIND("|"&amp;LEFT($A35,FIND("（",$A35)-1)&amp;"*|",$D$2)))),FALSE)))),ROW()-19,999)</f>
        <v>16</v>
      </c>
      <c r="AC35" t="str">
        <f ca="1">IFERROR(INDEX($A$20:$A$78,SMALL($AD$20:$AD$78,16)),"")</f>
        <v>法证学</v>
      </c>
      <c r="AD35">
        <f ca="1">IF(AND($A35&lt;&gt;"",COUNTIF($A$20:A35,A35)=1,AND($A35&lt;&gt;"",$A35&lt;&gt;"非自然知识",COUNTIF($A$20:$A$78,$A35)&gt;0,OR($B$3="any",$B$3="fixed",AND($B$3="group",LEFT($A35,LEN($E$3)+1)=$E$3&amp;"（"),IFERROR(OR(ISNUMBER(FIND("|"&amp;$A35&amp;"|",$D$3)),AND(IFERROR(FIND("（",$A35),0)&gt;0,ISNUMBER(FIND("|"&amp;LEFT($A35,FIND("（",$A35)-1)&amp;"*|",$D$3)))),FALSE)))),ROW()-19,999)</f>
        <v>16</v>
      </c>
      <c r="AE35" t="str">
        <f ca="1">IFERROR(INDEX($A$20:$A$78,SMALL($AF$20:$AF$78,16)),"")</f>
        <v>法证学</v>
      </c>
      <c r="AF35">
        <f ca="1">IF(AND($A35&lt;&gt;"",COUNTIF($A$20:A35,A35)=1,AND($A35&lt;&gt;"",$A35&lt;&gt;"非自然知识",COUNTIF($A$20:$A$78,$A35)&gt;0,OR($B$4="any",$B$4="fixed",AND($B$4="group",LEFT($A35,LEN($E$4)+1)=$E$4&amp;"（"),IFERROR(OR(ISNUMBER(FIND("|"&amp;$A35&amp;"|",$D$4)),AND(IFERROR(FIND("（",$A35),0)&gt;0,ISNUMBER(FIND("|"&amp;LEFT($A35,FIND("（",$A35)-1)&amp;"*|",$D$4)))),FALSE)))),ROW()-19,999)</f>
        <v>16</v>
      </c>
      <c r="AG35" t="str">
        <f ca="1">IFERROR(INDEX($A$20:$A$78,SMALL($AH$20:$AH$78,16)),"")</f>
        <v>法证学</v>
      </c>
      <c r="AH35">
        <f ca="1">IF(AND($A35&lt;&gt;"",COUNTIF($A$20:A35,A35)=1,AND($A35&lt;&gt;"",$A35&lt;&gt;"非自然知识",COUNTIF($A$20:$A$78,$A35)&gt;0,OR($B$5="any",$B$5="fixed",AND($B$5="group",LEFT($A35,LEN($E$5)+1)=$E$5&amp;"（"),IFERROR(OR(ISNUMBER(FIND("|"&amp;$A35&amp;"|",$D$5)),AND(IFERROR(FIND("（",$A35),0)&gt;0,ISNUMBER(FIND("|"&amp;LEFT($A35,FIND("（",$A35)-1)&amp;"*|",$D$5)))),FALSE)))),ROW()-19,999)</f>
        <v>16</v>
      </c>
      <c r="AI35" t="str">
        <f ca="1">IFERROR(INDEX($A$20:$A$78,SMALL($AJ$20:$AJ$78,16)),"")</f>
        <v>法证学</v>
      </c>
      <c r="AJ35">
        <f ca="1">IF(AND($A35&lt;&gt;"",COUNTIF($A$20:A35,A35)=1,AND($A35&lt;&gt;"",$A35&lt;&gt;"非自然知识",COUNTIF($A$20:$A$78,$A35)&gt;0,OR($B$6="any",$B$6="fixed",AND($B$6="group",LEFT($A35,LEN($E$6)+1)=$E$6&amp;"（"),IFERROR(OR(ISNUMBER(FIND("|"&amp;$A35&amp;"|",$D$6)),AND(IFERROR(FIND("（",$A35),0)&gt;0,ISNUMBER(FIND("|"&amp;LEFT($A35,FIND("（",$A35)-1)&amp;"*|",$D$6)))),FALSE)))),ROW()-19,999)</f>
        <v>16</v>
      </c>
      <c r="AK35" t="str">
        <f ca="1">IFERROR(INDEX($A$20:$A$78,SMALL($AL$20:$AL$78,16)),"")</f>
        <v>法证学</v>
      </c>
      <c r="AL35">
        <f ca="1">IF(AND($A35&lt;&gt;"",COUNTIF($A$20:A35,A35)=1,AND($A35&lt;&gt;"",$A35&lt;&gt;"非自然知识",COUNTIF($A$20:$A$78,$A35)&gt;0,OR($B$7="any",$B$7="fixed",AND($B$7="group",LEFT($A35,LEN($E$7)+1)=$E$7&amp;"（"),IFERROR(OR(ISNUMBER(FIND("|"&amp;$A35&amp;"|",$D$7)),AND(IFERROR(FIND("（",$A35),0)&gt;0,ISNUMBER(FIND("|"&amp;LEFT($A35,FIND("（",$A35)-1)&amp;"*|",$D$7)))),FALSE)))),ROW()-19,999)</f>
        <v>16</v>
      </c>
      <c r="AM35" t="str">
        <f ca="1">IFERROR(INDEX($A$20:$A$78,SMALL($AN$20:$AN$78,16)),"")</f>
        <v>法证学</v>
      </c>
      <c r="AN35">
        <f ca="1">IF(AND($A35&lt;&gt;"",COUNTIF($A$20:A35,A35)=1,AND($A35&lt;&gt;"",$A35&lt;&gt;"非自然知识",COUNTIF($A$20:$A$78,$A35)&gt;0,OR($B$8="any",$B$8="fixed",AND($B$8="group",LEFT($A35,LEN($E$8)+1)=$E$8&amp;"（"),IFERROR(OR(ISNUMBER(FIND("|"&amp;$A35&amp;"|",$D$8)),AND(IFERROR(FIND("（",$A35),0)&gt;0,ISNUMBER(FIND("|"&amp;LEFT($A35,FIND("（",$A35)-1)&amp;"*|",$D$8)))),FALSE)))),ROW()-19,999)</f>
        <v>16</v>
      </c>
      <c r="AO35" t="str">
        <f ca="1">IFERROR(INDEX($A$20:$A$78,SMALL($AP$20:$AP$78,16)),"")</f>
        <v>法证学</v>
      </c>
      <c r="AP35">
        <f ca="1">IF(AND($A35&lt;&gt;"",COUNTIF($A$20:A35,A35)=1,AND($A35&lt;&gt;"",$A35&lt;&gt;"非自然知识",COUNTIF($A$20:$A$78,$A35)&gt;0,OR($B$9="any",$B$9="fixed",AND($B$9="group",LEFT($A35,LEN($E$9)+1)=$E$9&amp;"（"),IFERROR(OR(ISNUMBER(FIND("|"&amp;$A35&amp;"|",$D$9)),AND(IFERROR(FIND("（",$A35),0)&gt;0,ISNUMBER(FIND("|"&amp;LEFT($A35,FIND("（",$A35)-1)&amp;"*|",$D$9)))),FALSE)))),ROW()-19,999)</f>
        <v>16</v>
      </c>
    </row>
    <row r="36" spans="1:42">
      <c r="A36" t="str">
        <f>人物卡!D30</f>
        <v>爆破</v>
      </c>
      <c r="B36" t="str">
        <f t="shared" si="2"/>
        <v/>
      </c>
      <c r="C36">
        <f ca="1">IF(人物卡!V30="",N(人物卡!S30),N(人物卡!V30))</f>
        <v>0</v>
      </c>
      <c r="D36">
        <f ca="1">IF(AND(A36&lt;&gt;"",COUNTIF($A$20:A36,A36)=1),COUNTIF($H$2:$H$9,A36)*20,0)</f>
        <v>0</v>
      </c>
      <c r="E36">
        <f ca="1" t="shared" si="3"/>
        <v>0</v>
      </c>
      <c r="F36">
        <f ca="1">IF(AND(A36&lt;&gt;"",COUNTIF($A$20:A36,A36)=1),IF(A36="神秘学",IF(人物卡!$DF$46="人类不应知道之事",20,IF(OR(人物卡!$DF$46="极端暴力",人物卡!$DF$46="关押或入狱",人物卡!$DF$46="艰苦经历"),10,0)),0)+IF(人物卡!$DF$46="艰苦经历",COUNTIF($H$12:$H$16,A36)*10,0),0)</f>
        <v>0</v>
      </c>
      <c r="G36">
        <f ca="1">IF(人物卡!$DF$46="艰苦经历",MIN(F36,MAX(0,90-C36-E36)),MIN(F36,MAX(0,99-C36-E36)))</f>
        <v>0</v>
      </c>
      <c r="H36" t="str">
        <f ca="1" t="shared" si="4"/>
        <v/>
      </c>
      <c r="I36" t="str">
        <f ca="1" t="shared" si="5"/>
        <v/>
      </c>
      <c r="J36" t="s">
        <v>1278</v>
      </c>
      <c r="K36" t="s">
        <v>1285</v>
      </c>
      <c r="Y36">
        <f ca="1">IF(AND($A36&lt;&gt;"",COUNTIF($A$20:A36,A36)=1,$A36&lt;&gt;"非自然知识"),ROW()-19,999)</f>
        <v>17</v>
      </c>
      <c r="Z36" t="str">
        <f ca="1">IFERROR(INDEX($A$20:$A$78,SMALL($Y$20:$Y$78,17)),"")</f>
        <v>重型机械</v>
      </c>
      <c r="AA36" t="str">
        <f ca="1">IFERROR(INDEX($A$20:$A$78,SMALL($AB$20:$AB$78,17)),"")</f>
        <v>重型机械</v>
      </c>
      <c r="AB36">
        <f ca="1">IF(AND($A36&lt;&gt;"",COUNTIF($A$20:A36,A36)=1,AND($A36&lt;&gt;"",$A36&lt;&gt;"非自然知识",COUNTIF($A$20:$A$78,$A36)&gt;0,OR($B$2="any",$B$2="fixed",AND($B$2="group",LEFT($A36,LEN($E$2)+1)=$E$2&amp;"（"),IFERROR(OR(ISNUMBER(FIND("|"&amp;$A36&amp;"|",$D$2)),AND(IFERROR(FIND("（",$A36),0)&gt;0,ISNUMBER(FIND("|"&amp;LEFT($A36,FIND("（",$A36)-1)&amp;"*|",$D$2)))),FALSE)))),ROW()-19,999)</f>
        <v>17</v>
      </c>
      <c r="AC36" t="str">
        <f ca="1">IFERROR(INDEX($A$20:$A$78,SMALL($AD$20:$AD$78,17)),"")</f>
        <v>重型机械</v>
      </c>
      <c r="AD36">
        <f ca="1">IF(AND($A36&lt;&gt;"",COUNTIF($A$20:A36,A36)=1,AND($A36&lt;&gt;"",$A36&lt;&gt;"非自然知识",COUNTIF($A$20:$A$78,$A36)&gt;0,OR($B$3="any",$B$3="fixed",AND($B$3="group",LEFT($A36,LEN($E$3)+1)=$E$3&amp;"（"),IFERROR(OR(ISNUMBER(FIND("|"&amp;$A36&amp;"|",$D$3)),AND(IFERROR(FIND("（",$A36),0)&gt;0,ISNUMBER(FIND("|"&amp;LEFT($A36,FIND("（",$A36)-1)&amp;"*|",$D$3)))),FALSE)))),ROW()-19,999)</f>
        <v>17</v>
      </c>
      <c r="AE36" t="str">
        <f ca="1">IFERROR(INDEX($A$20:$A$78,SMALL($AF$20:$AF$78,17)),"")</f>
        <v>重型机械</v>
      </c>
      <c r="AF36">
        <f ca="1">IF(AND($A36&lt;&gt;"",COUNTIF($A$20:A36,A36)=1,AND($A36&lt;&gt;"",$A36&lt;&gt;"非自然知识",COUNTIF($A$20:$A$78,$A36)&gt;0,OR($B$4="any",$B$4="fixed",AND($B$4="group",LEFT($A36,LEN($E$4)+1)=$E$4&amp;"（"),IFERROR(OR(ISNUMBER(FIND("|"&amp;$A36&amp;"|",$D$4)),AND(IFERROR(FIND("（",$A36),0)&gt;0,ISNUMBER(FIND("|"&amp;LEFT($A36,FIND("（",$A36)-1)&amp;"*|",$D$4)))),FALSE)))),ROW()-19,999)</f>
        <v>17</v>
      </c>
      <c r="AG36" t="str">
        <f ca="1">IFERROR(INDEX($A$20:$A$78,SMALL($AH$20:$AH$78,17)),"")</f>
        <v>重型机械</v>
      </c>
      <c r="AH36">
        <f ca="1">IF(AND($A36&lt;&gt;"",COUNTIF($A$20:A36,A36)=1,AND($A36&lt;&gt;"",$A36&lt;&gt;"非自然知识",COUNTIF($A$20:$A$78,$A36)&gt;0,OR($B$5="any",$B$5="fixed",AND($B$5="group",LEFT($A36,LEN($E$5)+1)=$E$5&amp;"（"),IFERROR(OR(ISNUMBER(FIND("|"&amp;$A36&amp;"|",$D$5)),AND(IFERROR(FIND("（",$A36),0)&gt;0,ISNUMBER(FIND("|"&amp;LEFT($A36,FIND("（",$A36)-1)&amp;"*|",$D$5)))),FALSE)))),ROW()-19,999)</f>
        <v>17</v>
      </c>
      <c r="AI36" t="str">
        <f ca="1">IFERROR(INDEX($A$20:$A$78,SMALL($AJ$20:$AJ$78,17)),"")</f>
        <v>重型机械</v>
      </c>
      <c r="AJ36">
        <f ca="1">IF(AND($A36&lt;&gt;"",COUNTIF($A$20:A36,A36)=1,AND($A36&lt;&gt;"",$A36&lt;&gt;"非自然知识",COUNTIF($A$20:$A$78,$A36)&gt;0,OR($B$6="any",$B$6="fixed",AND($B$6="group",LEFT($A36,LEN($E$6)+1)=$E$6&amp;"（"),IFERROR(OR(ISNUMBER(FIND("|"&amp;$A36&amp;"|",$D$6)),AND(IFERROR(FIND("（",$A36),0)&gt;0,ISNUMBER(FIND("|"&amp;LEFT($A36,FIND("（",$A36)-1)&amp;"*|",$D$6)))),FALSE)))),ROW()-19,999)</f>
        <v>17</v>
      </c>
      <c r="AK36" t="str">
        <f ca="1">IFERROR(INDEX($A$20:$A$78,SMALL($AL$20:$AL$78,17)),"")</f>
        <v>重型机械</v>
      </c>
      <c r="AL36">
        <f ca="1">IF(AND($A36&lt;&gt;"",COUNTIF($A$20:A36,A36)=1,AND($A36&lt;&gt;"",$A36&lt;&gt;"非自然知识",COUNTIF($A$20:$A$78,$A36)&gt;0,OR($B$7="any",$B$7="fixed",AND($B$7="group",LEFT($A36,LEN($E$7)+1)=$E$7&amp;"（"),IFERROR(OR(ISNUMBER(FIND("|"&amp;$A36&amp;"|",$D$7)),AND(IFERROR(FIND("（",$A36),0)&gt;0,ISNUMBER(FIND("|"&amp;LEFT($A36,FIND("（",$A36)-1)&amp;"*|",$D$7)))),FALSE)))),ROW()-19,999)</f>
        <v>17</v>
      </c>
      <c r="AM36" t="str">
        <f ca="1">IFERROR(INDEX($A$20:$A$78,SMALL($AN$20:$AN$78,17)),"")</f>
        <v>重型机械</v>
      </c>
      <c r="AN36">
        <f ca="1">IF(AND($A36&lt;&gt;"",COUNTIF($A$20:A36,A36)=1,AND($A36&lt;&gt;"",$A36&lt;&gt;"非自然知识",COUNTIF($A$20:$A$78,$A36)&gt;0,OR($B$8="any",$B$8="fixed",AND($B$8="group",LEFT($A36,LEN($E$8)+1)=$E$8&amp;"（"),IFERROR(OR(ISNUMBER(FIND("|"&amp;$A36&amp;"|",$D$8)),AND(IFERROR(FIND("（",$A36),0)&gt;0,ISNUMBER(FIND("|"&amp;LEFT($A36,FIND("（",$A36)-1)&amp;"*|",$D$8)))),FALSE)))),ROW()-19,999)</f>
        <v>17</v>
      </c>
      <c r="AO36" t="str">
        <f ca="1">IFERROR(INDEX($A$20:$A$78,SMALL($AP$20:$AP$78,17)),"")</f>
        <v>重型机械</v>
      </c>
      <c r="AP36">
        <f ca="1">IF(AND($A36&lt;&gt;"",COUNTIF($A$20:A36,A36)=1,AND($A36&lt;&gt;"",$A36&lt;&gt;"非自然知识",COUNTIF($A$20:$A$78,$A36)&gt;0,OR($B$9="any",$B$9="fixed",AND($B$9="group",LEFT($A36,LEN($E$9)+1)=$E$9&amp;"（"),IFERROR(OR(ISNUMBER(FIND("|"&amp;$A36&amp;"|",$D$9)),AND(IFERROR(FIND("（",$A36),0)&gt;0,ISNUMBER(FIND("|"&amp;LEFT($A36,FIND("（",$A36)-1)&amp;"*|",$D$9)))),FALSE)))),ROW()-19,999)</f>
        <v>17</v>
      </c>
    </row>
    <row r="37" spans="1:42">
      <c r="A37" t="str">
        <f>人物卡!D31</f>
        <v>乔装</v>
      </c>
      <c r="B37" t="str">
        <f t="shared" si="2"/>
        <v/>
      </c>
      <c r="C37">
        <f ca="1">IF(人物卡!V31="",N(人物卡!S31),N(人物卡!V31))</f>
        <v>10</v>
      </c>
      <c r="D37">
        <f ca="1">IF(AND(A37&lt;&gt;"",COUNTIF($A$20:A37,A37)=1),COUNTIF($H$2:$H$9,A37)*20,0)</f>
        <v>0</v>
      </c>
      <c r="E37">
        <f ca="1" t="shared" si="3"/>
        <v>0</v>
      </c>
      <c r="F37">
        <f ca="1">IF(AND(A37&lt;&gt;"",COUNTIF($A$20:A37,A37)=1),IF(A37="神秘学",IF(人物卡!$DF$46="人类不应知道之事",20,IF(OR(人物卡!$DF$46="极端暴力",人物卡!$DF$46="关押或入狱",人物卡!$DF$46="艰苦经历"),10,0)),0)+IF(人物卡!$DF$46="艰苦经历",COUNTIF($H$12:$H$16,A37)*10,0),0)</f>
        <v>0</v>
      </c>
      <c r="G37">
        <f ca="1">IF(人物卡!$DF$46="艰苦经历",MIN(F37,MAX(0,90-C37-E37)),MIN(F37,MAX(0,99-C37-E37)))</f>
        <v>0</v>
      </c>
      <c r="H37" t="str">
        <f ca="1" t="shared" si="4"/>
        <v/>
      </c>
      <c r="I37" t="str">
        <f ca="1" t="shared" si="5"/>
        <v/>
      </c>
      <c r="J37" t="s">
        <v>2281</v>
      </c>
      <c r="K37" t="s">
        <v>2282</v>
      </c>
      <c r="Y37">
        <f ca="1">IF(AND($A37&lt;&gt;"",COUNTIF($A$20:A37,A37)=1,$A37&lt;&gt;"非自然知识"),ROW()-19,999)</f>
        <v>18</v>
      </c>
      <c r="Z37" t="str">
        <f ca="1">IFERROR(INDEX($A$20:$A$78,SMALL($Y$20:$Y$78,18)),"")</f>
        <v>重型武器</v>
      </c>
      <c r="AA37" t="str">
        <f ca="1">IFERROR(INDEX($A$20:$A$78,SMALL($AB$20:$AB$78,18)),"")</f>
        <v>重型武器</v>
      </c>
      <c r="AB37">
        <f ca="1">IF(AND($A37&lt;&gt;"",COUNTIF($A$20:A37,A37)=1,AND($A37&lt;&gt;"",$A37&lt;&gt;"非自然知识",COUNTIF($A$20:$A$78,$A37)&gt;0,OR($B$2="any",$B$2="fixed",AND($B$2="group",LEFT($A37,LEN($E$2)+1)=$E$2&amp;"（"),IFERROR(OR(ISNUMBER(FIND("|"&amp;$A37&amp;"|",$D$2)),AND(IFERROR(FIND("（",$A37),0)&gt;0,ISNUMBER(FIND("|"&amp;LEFT($A37,FIND("（",$A37)-1)&amp;"*|",$D$2)))),FALSE)))),ROW()-19,999)</f>
        <v>18</v>
      </c>
      <c r="AC37" t="str">
        <f ca="1">IFERROR(INDEX($A$20:$A$78,SMALL($AD$20:$AD$78,18)),"")</f>
        <v>重型武器</v>
      </c>
      <c r="AD37">
        <f ca="1">IF(AND($A37&lt;&gt;"",COUNTIF($A$20:A37,A37)=1,AND($A37&lt;&gt;"",$A37&lt;&gt;"非自然知识",COUNTIF($A$20:$A$78,$A37)&gt;0,OR($B$3="any",$B$3="fixed",AND($B$3="group",LEFT($A37,LEN($E$3)+1)=$E$3&amp;"（"),IFERROR(OR(ISNUMBER(FIND("|"&amp;$A37&amp;"|",$D$3)),AND(IFERROR(FIND("（",$A37),0)&gt;0,ISNUMBER(FIND("|"&amp;LEFT($A37,FIND("（",$A37)-1)&amp;"*|",$D$3)))),FALSE)))),ROW()-19,999)</f>
        <v>18</v>
      </c>
      <c r="AE37" t="str">
        <f ca="1">IFERROR(INDEX($A$20:$A$78,SMALL($AF$20:$AF$78,18)),"")</f>
        <v>重型武器</v>
      </c>
      <c r="AF37">
        <f ca="1">IF(AND($A37&lt;&gt;"",COUNTIF($A$20:A37,A37)=1,AND($A37&lt;&gt;"",$A37&lt;&gt;"非自然知识",COUNTIF($A$20:$A$78,$A37)&gt;0,OR($B$4="any",$B$4="fixed",AND($B$4="group",LEFT($A37,LEN($E$4)+1)=$E$4&amp;"（"),IFERROR(OR(ISNUMBER(FIND("|"&amp;$A37&amp;"|",$D$4)),AND(IFERROR(FIND("（",$A37),0)&gt;0,ISNUMBER(FIND("|"&amp;LEFT($A37,FIND("（",$A37)-1)&amp;"*|",$D$4)))),FALSE)))),ROW()-19,999)</f>
        <v>18</v>
      </c>
      <c r="AG37" t="str">
        <f ca="1">IFERROR(INDEX($A$20:$A$78,SMALL($AH$20:$AH$78,18)),"")</f>
        <v>重型武器</v>
      </c>
      <c r="AH37">
        <f ca="1">IF(AND($A37&lt;&gt;"",COUNTIF($A$20:A37,A37)=1,AND($A37&lt;&gt;"",$A37&lt;&gt;"非自然知识",COUNTIF($A$20:$A$78,$A37)&gt;0,OR($B$5="any",$B$5="fixed",AND($B$5="group",LEFT($A37,LEN($E$5)+1)=$E$5&amp;"（"),IFERROR(OR(ISNUMBER(FIND("|"&amp;$A37&amp;"|",$D$5)),AND(IFERROR(FIND("（",$A37),0)&gt;0,ISNUMBER(FIND("|"&amp;LEFT($A37,FIND("（",$A37)-1)&amp;"*|",$D$5)))),FALSE)))),ROW()-19,999)</f>
        <v>18</v>
      </c>
      <c r="AI37" t="str">
        <f ca="1">IFERROR(INDEX($A$20:$A$78,SMALL($AJ$20:$AJ$78,18)),"")</f>
        <v>重型武器</v>
      </c>
      <c r="AJ37">
        <f ca="1">IF(AND($A37&lt;&gt;"",COUNTIF($A$20:A37,A37)=1,AND($A37&lt;&gt;"",$A37&lt;&gt;"非自然知识",COUNTIF($A$20:$A$78,$A37)&gt;0,OR($B$6="any",$B$6="fixed",AND($B$6="group",LEFT($A37,LEN($E$6)+1)=$E$6&amp;"（"),IFERROR(OR(ISNUMBER(FIND("|"&amp;$A37&amp;"|",$D$6)),AND(IFERROR(FIND("（",$A37),0)&gt;0,ISNUMBER(FIND("|"&amp;LEFT($A37,FIND("（",$A37)-1)&amp;"*|",$D$6)))),FALSE)))),ROW()-19,999)</f>
        <v>18</v>
      </c>
      <c r="AK37" t="str">
        <f ca="1">IFERROR(INDEX($A$20:$A$78,SMALL($AL$20:$AL$78,18)),"")</f>
        <v>重型武器</v>
      </c>
      <c r="AL37">
        <f ca="1">IF(AND($A37&lt;&gt;"",COUNTIF($A$20:A37,A37)=1,AND($A37&lt;&gt;"",$A37&lt;&gt;"非自然知识",COUNTIF($A$20:$A$78,$A37)&gt;0,OR($B$7="any",$B$7="fixed",AND($B$7="group",LEFT($A37,LEN($E$7)+1)=$E$7&amp;"（"),IFERROR(OR(ISNUMBER(FIND("|"&amp;$A37&amp;"|",$D$7)),AND(IFERROR(FIND("（",$A37),0)&gt;0,ISNUMBER(FIND("|"&amp;LEFT($A37,FIND("（",$A37)-1)&amp;"*|",$D$7)))),FALSE)))),ROW()-19,999)</f>
        <v>18</v>
      </c>
      <c r="AM37" t="str">
        <f ca="1">IFERROR(INDEX($A$20:$A$78,SMALL($AN$20:$AN$78,18)),"")</f>
        <v>重型武器</v>
      </c>
      <c r="AN37">
        <f ca="1">IF(AND($A37&lt;&gt;"",COUNTIF($A$20:A37,A37)=1,AND($A37&lt;&gt;"",$A37&lt;&gt;"非自然知识",COUNTIF($A$20:$A$78,$A37)&gt;0,OR($B$8="any",$B$8="fixed",AND($B$8="group",LEFT($A37,LEN($E$8)+1)=$E$8&amp;"（"),IFERROR(OR(ISNUMBER(FIND("|"&amp;$A37&amp;"|",$D$8)),AND(IFERROR(FIND("（",$A37),0)&gt;0,ISNUMBER(FIND("|"&amp;LEFT($A37,FIND("（",$A37)-1)&amp;"*|",$D$8)))),FALSE)))),ROW()-19,999)</f>
        <v>18</v>
      </c>
      <c r="AO37" t="str">
        <f ca="1">IFERROR(INDEX($A$20:$A$78,SMALL($AP$20:$AP$78,18)),"")</f>
        <v>重型武器</v>
      </c>
      <c r="AP37">
        <f ca="1">IF(AND($A37&lt;&gt;"",COUNTIF($A$20:A37,A37)=1,AND($A37&lt;&gt;"",$A37&lt;&gt;"非自然知识",COUNTIF($A$20:$A$78,$A37)&gt;0,OR($B$9="any",$B$9="fixed",AND($B$9="group",LEFT($A37,LEN($E$9)+1)=$E$9&amp;"（"),IFERROR(OR(ISNUMBER(FIND("|"&amp;$A37&amp;"|",$D$9)),AND(IFERROR(FIND("（",$A37),0)&gt;0,ISNUMBER(FIND("|"&amp;LEFT($A37,FIND("（",$A37)-1)&amp;"*|",$D$9)))),FALSE)))),ROW()-19,999)</f>
        <v>18</v>
      </c>
    </row>
    <row r="38" spans="1:42">
      <c r="A38" t="str">
        <f>人物卡!D32</f>
        <v>闪避</v>
      </c>
      <c r="B38" t="str">
        <f t="shared" si="2"/>
        <v/>
      </c>
      <c r="C38">
        <f ca="1">IF(人物卡!V32="",N(人物卡!S32),N(人物卡!V32))</f>
        <v>30</v>
      </c>
      <c r="D38">
        <f ca="1">IF(AND(A38&lt;&gt;"",COUNTIF($A$20:A38,A38)=1),COUNTIF($H$2:$H$9,A38)*20,0)</f>
        <v>0</v>
      </c>
      <c r="E38">
        <f ca="1" t="shared" si="3"/>
        <v>0</v>
      </c>
      <c r="F38">
        <f ca="1">IF(AND(A38&lt;&gt;"",COUNTIF($A$20:A38,A38)=1),IF(A38="神秘学",IF(人物卡!$DF$46="人类不应知道之事",20,IF(OR(人物卡!$DF$46="极端暴力",人物卡!$DF$46="关押或入狱",人物卡!$DF$46="艰苦经历"),10,0)),0)+IF(人物卡!$DF$46="艰苦经历",COUNTIF($H$12:$H$16,A38)*10,0),0)</f>
        <v>0</v>
      </c>
      <c r="G38">
        <f ca="1">IF(人物卡!$DF$46="艰苦经历",MIN(F38,MAX(0,90-C38-E38)),MIN(F38,MAX(0,99-C38-E38)))</f>
        <v>0</v>
      </c>
      <c r="H38" t="str">
        <f ca="1" t="shared" si="4"/>
        <v/>
      </c>
      <c r="I38" t="str">
        <f ca="1" t="shared" si="5"/>
        <v/>
      </c>
      <c r="J38" t="s">
        <v>2283</v>
      </c>
      <c r="K38" t="s">
        <v>2284</v>
      </c>
      <c r="Y38">
        <f ca="1">IF(AND($A38&lt;&gt;"",COUNTIF($A$20:A38,A38)=1,$A38&lt;&gt;"非自然知识"),ROW()-19,999)</f>
        <v>19</v>
      </c>
      <c r="Z38" t="str">
        <f ca="1">IFERROR(INDEX($A$20:$A$78,SMALL($Y$20:$Y$78,19)),"")</f>
        <v>历史</v>
      </c>
      <c r="AA38" t="str">
        <f ca="1">IFERROR(INDEX($A$20:$A$78,SMALL($AB$20:$AB$78,19)),"")</f>
        <v>历史</v>
      </c>
      <c r="AB38">
        <f ca="1">IF(AND($A38&lt;&gt;"",COUNTIF($A$20:A38,A38)=1,AND($A38&lt;&gt;"",$A38&lt;&gt;"非自然知识",COUNTIF($A$20:$A$78,$A38)&gt;0,OR($B$2="any",$B$2="fixed",AND($B$2="group",LEFT($A38,LEN($E$2)+1)=$E$2&amp;"（"),IFERROR(OR(ISNUMBER(FIND("|"&amp;$A38&amp;"|",$D$2)),AND(IFERROR(FIND("（",$A38),0)&gt;0,ISNUMBER(FIND("|"&amp;LEFT($A38,FIND("（",$A38)-1)&amp;"*|",$D$2)))),FALSE)))),ROW()-19,999)</f>
        <v>19</v>
      </c>
      <c r="AC38" t="str">
        <f ca="1">IFERROR(INDEX($A$20:$A$78,SMALL($AD$20:$AD$78,19)),"")</f>
        <v>历史</v>
      </c>
      <c r="AD38">
        <f ca="1">IF(AND($A38&lt;&gt;"",COUNTIF($A$20:A38,A38)=1,AND($A38&lt;&gt;"",$A38&lt;&gt;"非自然知识",COUNTIF($A$20:$A$78,$A38)&gt;0,OR($B$3="any",$B$3="fixed",AND($B$3="group",LEFT($A38,LEN($E$3)+1)=$E$3&amp;"（"),IFERROR(OR(ISNUMBER(FIND("|"&amp;$A38&amp;"|",$D$3)),AND(IFERROR(FIND("（",$A38),0)&gt;0,ISNUMBER(FIND("|"&amp;LEFT($A38,FIND("（",$A38)-1)&amp;"*|",$D$3)))),FALSE)))),ROW()-19,999)</f>
        <v>19</v>
      </c>
      <c r="AE38" t="str">
        <f ca="1">IFERROR(INDEX($A$20:$A$78,SMALL($AF$20:$AF$78,19)),"")</f>
        <v>历史</v>
      </c>
      <c r="AF38">
        <f ca="1">IF(AND($A38&lt;&gt;"",COUNTIF($A$20:A38,A38)=1,AND($A38&lt;&gt;"",$A38&lt;&gt;"非自然知识",COUNTIF($A$20:$A$78,$A38)&gt;0,OR($B$4="any",$B$4="fixed",AND($B$4="group",LEFT($A38,LEN($E$4)+1)=$E$4&amp;"（"),IFERROR(OR(ISNUMBER(FIND("|"&amp;$A38&amp;"|",$D$4)),AND(IFERROR(FIND("（",$A38),0)&gt;0,ISNUMBER(FIND("|"&amp;LEFT($A38,FIND("（",$A38)-1)&amp;"*|",$D$4)))),FALSE)))),ROW()-19,999)</f>
        <v>19</v>
      </c>
      <c r="AG38" t="str">
        <f ca="1">IFERROR(INDEX($A$20:$A$78,SMALL($AH$20:$AH$78,19)),"")</f>
        <v>历史</v>
      </c>
      <c r="AH38">
        <f ca="1">IF(AND($A38&lt;&gt;"",COUNTIF($A$20:A38,A38)=1,AND($A38&lt;&gt;"",$A38&lt;&gt;"非自然知识",COUNTIF($A$20:$A$78,$A38)&gt;0,OR($B$5="any",$B$5="fixed",AND($B$5="group",LEFT($A38,LEN($E$5)+1)=$E$5&amp;"（"),IFERROR(OR(ISNUMBER(FIND("|"&amp;$A38&amp;"|",$D$5)),AND(IFERROR(FIND("（",$A38),0)&gt;0,ISNUMBER(FIND("|"&amp;LEFT($A38,FIND("（",$A38)-1)&amp;"*|",$D$5)))),FALSE)))),ROW()-19,999)</f>
        <v>19</v>
      </c>
      <c r="AI38" t="str">
        <f ca="1">IFERROR(INDEX($A$20:$A$78,SMALL($AJ$20:$AJ$78,19)),"")</f>
        <v>历史</v>
      </c>
      <c r="AJ38">
        <f ca="1">IF(AND($A38&lt;&gt;"",COUNTIF($A$20:A38,A38)=1,AND($A38&lt;&gt;"",$A38&lt;&gt;"非自然知识",COUNTIF($A$20:$A$78,$A38)&gt;0,OR($B$6="any",$B$6="fixed",AND($B$6="group",LEFT($A38,LEN($E$6)+1)=$E$6&amp;"（"),IFERROR(OR(ISNUMBER(FIND("|"&amp;$A38&amp;"|",$D$6)),AND(IFERROR(FIND("（",$A38),0)&gt;0,ISNUMBER(FIND("|"&amp;LEFT($A38,FIND("（",$A38)-1)&amp;"*|",$D$6)))),FALSE)))),ROW()-19,999)</f>
        <v>19</v>
      </c>
      <c r="AK38" t="str">
        <f ca="1">IFERROR(INDEX($A$20:$A$78,SMALL($AL$20:$AL$78,19)),"")</f>
        <v>历史</v>
      </c>
      <c r="AL38">
        <f ca="1">IF(AND($A38&lt;&gt;"",COUNTIF($A$20:A38,A38)=1,AND($A38&lt;&gt;"",$A38&lt;&gt;"非自然知识",COUNTIF($A$20:$A$78,$A38)&gt;0,OR($B$7="any",$B$7="fixed",AND($B$7="group",LEFT($A38,LEN($E$7)+1)=$E$7&amp;"（"),IFERROR(OR(ISNUMBER(FIND("|"&amp;$A38&amp;"|",$D$7)),AND(IFERROR(FIND("（",$A38),0)&gt;0,ISNUMBER(FIND("|"&amp;LEFT($A38,FIND("（",$A38)-1)&amp;"*|",$D$7)))),FALSE)))),ROW()-19,999)</f>
        <v>19</v>
      </c>
      <c r="AM38" t="str">
        <f ca="1">IFERROR(INDEX($A$20:$A$78,SMALL($AN$20:$AN$78,19)),"")</f>
        <v>历史</v>
      </c>
      <c r="AN38">
        <f ca="1">IF(AND($A38&lt;&gt;"",COUNTIF($A$20:A38,A38)=1,AND($A38&lt;&gt;"",$A38&lt;&gt;"非自然知识",COUNTIF($A$20:$A$78,$A38)&gt;0,OR($B$8="any",$B$8="fixed",AND($B$8="group",LEFT($A38,LEN($E$8)+1)=$E$8&amp;"（"),IFERROR(OR(ISNUMBER(FIND("|"&amp;$A38&amp;"|",$D$8)),AND(IFERROR(FIND("（",$A38),0)&gt;0,ISNUMBER(FIND("|"&amp;LEFT($A38,FIND("（",$A38)-1)&amp;"*|",$D$8)))),FALSE)))),ROW()-19,999)</f>
        <v>19</v>
      </c>
      <c r="AO38" t="str">
        <f ca="1">IFERROR(INDEX($A$20:$A$78,SMALL($AP$20:$AP$78,19)),"")</f>
        <v>历史</v>
      </c>
      <c r="AP38">
        <f ca="1">IF(AND($A38&lt;&gt;"",COUNTIF($A$20:A38,A38)=1,AND($A38&lt;&gt;"",$A38&lt;&gt;"非自然知识",COUNTIF($A$20:$A$78,$A38)&gt;0,OR($B$9="any",$B$9="fixed",AND($B$9="group",LEFT($A38,LEN($E$9)+1)=$E$9&amp;"（"),IFERROR(OR(ISNUMBER(FIND("|"&amp;$A38&amp;"|",$D$9)),AND(IFERROR(FIND("（",$A38),0)&gt;0,ISNUMBER(FIND("|"&amp;LEFT($A38,FIND("（",$A38)-1)&amp;"*|",$D$9)))),FALSE)))),ROW()-19,999)</f>
        <v>19</v>
      </c>
    </row>
    <row r="39" spans="1:42">
      <c r="A39" t="str">
        <f>人物卡!D33</f>
        <v>机动车驾驶</v>
      </c>
      <c r="B39" t="str">
        <f t="shared" si="2"/>
        <v/>
      </c>
      <c r="C39">
        <f ca="1">IF(人物卡!V33="",N(人物卡!S33),N(人物卡!V33))</f>
        <v>20</v>
      </c>
      <c r="D39">
        <f ca="1">IF(AND(A39&lt;&gt;"",COUNTIF($A$20:A39,A39)=1),COUNTIF($H$2:$H$9,A39)*20,0)</f>
        <v>0</v>
      </c>
      <c r="E39">
        <f ca="1" t="shared" si="3"/>
        <v>0</v>
      </c>
      <c r="F39">
        <f ca="1">IF(AND(A39&lt;&gt;"",COUNTIF($A$20:A39,A39)=1),IF(A39="神秘学",IF(人物卡!$DF$46="人类不应知道之事",20,IF(OR(人物卡!$DF$46="极端暴力",人物卡!$DF$46="关押或入狱",人物卡!$DF$46="艰苦经历"),10,0)),0)+IF(人物卡!$DF$46="艰苦经历",COUNTIF($H$12:$H$16,A39)*10,0),0)</f>
        <v>0</v>
      </c>
      <c r="G39">
        <f ca="1">IF(人物卡!$DF$46="艰苦经历",MIN(F39,MAX(0,90-C39-E39)),MIN(F39,MAX(0,99-C39-E39)))</f>
        <v>0</v>
      </c>
      <c r="H39" t="str">
        <f ca="1" t="shared" si="4"/>
        <v/>
      </c>
      <c r="I39" t="str">
        <f ca="1" t="shared" si="5"/>
        <v/>
      </c>
      <c r="J39" t="s">
        <v>2285</v>
      </c>
      <c r="K39" t="s">
        <v>2286</v>
      </c>
      <c r="Y39">
        <f ca="1">IF(AND($A39&lt;&gt;"",COUNTIF($A$20:A39,A39)=1,$A39&lt;&gt;"非自然知识"),ROW()-19,999)</f>
        <v>20</v>
      </c>
      <c r="Z39" t="str">
        <f ca="1">IFERROR(INDEX($A$20:$A$78,SMALL($Y$20:$Y$78,20)),"")</f>
        <v>人源情报</v>
      </c>
      <c r="AA39" t="str">
        <f ca="1">IFERROR(INDEX($A$20:$A$78,SMALL($AB$20:$AB$78,20)),"")</f>
        <v>人源情报</v>
      </c>
      <c r="AB39">
        <f ca="1">IF(AND($A39&lt;&gt;"",COUNTIF($A$20:A39,A39)=1,AND($A39&lt;&gt;"",$A39&lt;&gt;"非自然知识",COUNTIF($A$20:$A$78,$A39)&gt;0,OR($B$2="any",$B$2="fixed",AND($B$2="group",LEFT($A39,LEN($E$2)+1)=$E$2&amp;"（"),IFERROR(OR(ISNUMBER(FIND("|"&amp;$A39&amp;"|",$D$2)),AND(IFERROR(FIND("（",$A39),0)&gt;0,ISNUMBER(FIND("|"&amp;LEFT($A39,FIND("（",$A39)-1)&amp;"*|",$D$2)))),FALSE)))),ROW()-19,999)</f>
        <v>20</v>
      </c>
      <c r="AC39" t="str">
        <f ca="1">IFERROR(INDEX($A$20:$A$78,SMALL($AD$20:$AD$78,20)),"")</f>
        <v>人源情报</v>
      </c>
      <c r="AD39">
        <f ca="1">IF(AND($A39&lt;&gt;"",COUNTIF($A$20:A39,A39)=1,AND($A39&lt;&gt;"",$A39&lt;&gt;"非自然知识",COUNTIF($A$20:$A$78,$A39)&gt;0,OR($B$3="any",$B$3="fixed",AND($B$3="group",LEFT($A39,LEN($E$3)+1)=$E$3&amp;"（"),IFERROR(OR(ISNUMBER(FIND("|"&amp;$A39&amp;"|",$D$3)),AND(IFERROR(FIND("（",$A39),0)&gt;0,ISNUMBER(FIND("|"&amp;LEFT($A39,FIND("（",$A39)-1)&amp;"*|",$D$3)))),FALSE)))),ROW()-19,999)</f>
        <v>20</v>
      </c>
      <c r="AE39" t="str">
        <f ca="1">IFERROR(INDEX($A$20:$A$78,SMALL($AF$20:$AF$78,20)),"")</f>
        <v>人源情报</v>
      </c>
      <c r="AF39">
        <f ca="1">IF(AND($A39&lt;&gt;"",COUNTIF($A$20:A39,A39)=1,AND($A39&lt;&gt;"",$A39&lt;&gt;"非自然知识",COUNTIF($A$20:$A$78,$A39)&gt;0,OR($B$4="any",$B$4="fixed",AND($B$4="group",LEFT($A39,LEN($E$4)+1)=$E$4&amp;"（"),IFERROR(OR(ISNUMBER(FIND("|"&amp;$A39&amp;"|",$D$4)),AND(IFERROR(FIND("（",$A39),0)&gt;0,ISNUMBER(FIND("|"&amp;LEFT($A39,FIND("（",$A39)-1)&amp;"*|",$D$4)))),FALSE)))),ROW()-19,999)</f>
        <v>20</v>
      </c>
      <c r="AG39" t="str">
        <f ca="1">IFERROR(INDEX($A$20:$A$78,SMALL($AH$20:$AH$78,20)),"")</f>
        <v>人源情报</v>
      </c>
      <c r="AH39">
        <f ca="1">IF(AND($A39&lt;&gt;"",COUNTIF($A$20:A39,A39)=1,AND($A39&lt;&gt;"",$A39&lt;&gt;"非自然知识",COUNTIF($A$20:$A$78,$A39)&gt;0,OR($B$5="any",$B$5="fixed",AND($B$5="group",LEFT($A39,LEN($E$5)+1)=$E$5&amp;"（"),IFERROR(OR(ISNUMBER(FIND("|"&amp;$A39&amp;"|",$D$5)),AND(IFERROR(FIND("（",$A39),0)&gt;0,ISNUMBER(FIND("|"&amp;LEFT($A39,FIND("（",$A39)-1)&amp;"*|",$D$5)))),FALSE)))),ROW()-19,999)</f>
        <v>20</v>
      </c>
      <c r="AI39" t="str">
        <f ca="1">IFERROR(INDEX($A$20:$A$78,SMALL($AJ$20:$AJ$78,20)),"")</f>
        <v>人源情报</v>
      </c>
      <c r="AJ39">
        <f ca="1">IF(AND($A39&lt;&gt;"",COUNTIF($A$20:A39,A39)=1,AND($A39&lt;&gt;"",$A39&lt;&gt;"非自然知识",COUNTIF($A$20:$A$78,$A39)&gt;0,OR($B$6="any",$B$6="fixed",AND($B$6="group",LEFT($A39,LEN($E$6)+1)=$E$6&amp;"（"),IFERROR(OR(ISNUMBER(FIND("|"&amp;$A39&amp;"|",$D$6)),AND(IFERROR(FIND("（",$A39),0)&gt;0,ISNUMBER(FIND("|"&amp;LEFT($A39,FIND("（",$A39)-1)&amp;"*|",$D$6)))),FALSE)))),ROW()-19,999)</f>
        <v>20</v>
      </c>
      <c r="AK39" t="str">
        <f ca="1">IFERROR(INDEX($A$20:$A$78,SMALL($AL$20:$AL$78,20)),"")</f>
        <v>人源情报</v>
      </c>
      <c r="AL39">
        <f ca="1">IF(AND($A39&lt;&gt;"",COUNTIF($A$20:A39,A39)=1,AND($A39&lt;&gt;"",$A39&lt;&gt;"非自然知识",COUNTIF($A$20:$A$78,$A39)&gt;0,OR($B$7="any",$B$7="fixed",AND($B$7="group",LEFT($A39,LEN($E$7)+1)=$E$7&amp;"（"),IFERROR(OR(ISNUMBER(FIND("|"&amp;$A39&amp;"|",$D$7)),AND(IFERROR(FIND("（",$A39),0)&gt;0,ISNUMBER(FIND("|"&amp;LEFT($A39,FIND("（",$A39)-1)&amp;"*|",$D$7)))),FALSE)))),ROW()-19,999)</f>
        <v>20</v>
      </c>
      <c r="AM39" t="str">
        <f ca="1">IFERROR(INDEX($A$20:$A$78,SMALL($AN$20:$AN$78,20)),"")</f>
        <v>人源情报</v>
      </c>
      <c r="AN39">
        <f ca="1">IF(AND($A39&lt;&gt;"",COUNTIF($A$20:A39,A39)=1,AND($A39&lt;&gt;"",$A39&lt;&gt;"非自然知识",COUNTIF($A$20:$A$78,$A39)&gt;0,OR($B$8="any",$B$8="fixed",AND($B$8="group",LEFT($A39,LEN($E$8)+1)=$E$8&amp;"（"),IFERROR(OR(ISNUMBER(FIND("|"&amp;$A39&amp;"|",$D$8)),AND(IFERROR(FIND("（",$A39),0)&gt;0,ISNUMBER(FIND("|"&amp;LEFT($A39,FIND("（",$A39)-1)&amp;"*|",$D$8)))),FALSE)))),ROW()-19,999)</f>
        <v>20</v>
      </c>
      <c r="AO39" t="str">
        <f ca="1">IFERROR(INDEX($A$20:$A$78,SMALL($AP$20:$AP$78,20)),"")</f>
        <v>人源情报</v>
      </c>
      <c r="AP39">
        <f ca="1">IF(AND($A39&lt;&gt;"",COUNTIF($A$20:A39,A39)=1,AND($A39&lt;&gt;"",$A39&lt;&gt;"非自然知识",COUNTIF($A$20:$A$78,$A39)&gt;0,OR($B$9="any",$B$9="fixed",AND($B$9="group",LEFT($A39,LEN($E$9)+1)=$E$9&amp;"（"),IFERROR(OR(ISNUMBER(FIND("|"&amp;$A39&amp;"|",$D$9)),AND(IFERROR(FIND("（",$A39),0)&gt;0,ISNUMBER(FIND("|"&amp;LEFT($A39,FIND("（",$A39)-1)&amp;"*|",$D$9)))),FALSE)))),ROW()-19,999)</f>
        <v>20</v>
      </c>
    </row>
    <row r="40" spans="1:42">
      <c r="A40" t="str">
        <f>人物卡!D34</f>
        <v>射击</v>
      </c>
      <c r="B40" t="str">
        <f t="shared" si="2"/>
        <v/>
      </c>
      <c r="C40">
        <f ca="1">IF(人物卡!V34="",N(人物卡!S34),N(人物卡!V34))</f>
        <v>20</v>
      </c>
      <c r="D40">
        <f ca="1">IF(AND(A40&lt;&gt;"",COUNTIF($A$20:A40,A40)=1),COUNTIF($H$2:$H$9,A40)*20,0)</f>
        <v>0</v>
      </c>
      <c r="E40">
        <f ca="1" t="shared" si="3"/>
        <v>0</v>
      </c>
      <c r="F40">
        <f ca="1">IF(AND(A40&lt;&gt;"",COUNTIF($A$20:A40,A40)=1),IF(A40="神秘学",IF(人物卡!$DF$46="人类不应知道之事",20,IF(OR(人物卡!$DF$46="极端暴力",人物卡!$DF$46="关押或入狱",人物卡!$DF$46="艰苦经历"),10,0)),0)+IF(人物卡!$DF$46="艰苦经历",COUNTIF($H$12:$H$16,A40)*10,0),0)</f>
        <v>0</v>
      </c>
      <c r="G40">
        <f ca="1">IF(人物卡!$DF$46="艰苦经历",MIN(F40,MAX(0,90-C40-E40)),MIN(F40,MAX(0,99-C40-E40)))</f>
        <v>0</v>
      </c>
      <c r="H40" t="str">
        <f ca="1" t="shared" si="4"/>
        <v/>
      </c>
      <c r="I40" t="str">
        <f ca="1" t="shared" si="5"/>
        <v/>
      </c>
      <c r="J40" t="s">
        <v>1304</v>
      </c>
      <c r="K40" t="s">
        <v>1311</v>
      </c>
      <c r="Y40">
        <f ca="1">IF(AND($A40&lt;&gt;"",COUNTIF($A$20:A40,A40)=1,$A40&lt;&gt;"非自然知识"),ROW()-19,999)</f>
        <v>21</v>
      </c>
      <c r="Z40" t="str">
        <f ca="1">IFERROR(INDEX($A$20:$A$78,SMALL($Y$20:$Y$78,21)),"")</f>
        <v>法律</v>
      </c>
      <c r="AA40" t="str">
        <f ca="1">IFERROR(INDEX($A$20:$A$78,SMALL($AB$20:$AB$78,21)),"")</f>
        <v>法律</v>
      </c>
      <c r="AB40">
        <f ca="1">IF(AND($A40&lt;&gt;"",COUNTIF($A$20:A40,A40)=1,AND($A40&lt;&gt;"",$A40&lt;&gt;"非自然知识",COUNTIF($A$20:$A$78,$A40)&gt;0,OR($B$2="any",$B$2="fixed",AND($B$2="group",LEFT($A40,LEN($E$2)+1)=$E$2&amp;"（"),IFERROR(OR(ISNUMBER(FIND("|"&amp;$A40&amp;"|",$D$2)),AND(IFERROR(FIND("（",$A40),0)&gt;0,ISNUMBER(FIND("|"&amp;LEFT($A40,FIND("（",$A40)-1)&amp;"*|",$D$2)))),FALSE)))),ROW()-19,999)</f>
        <v>21</v>
      </c>
      <c r="AC40" t="str">
        <f ca="1">IFERROR(INDEX($A$20:$A$78,SMALL($AD$20:$AD$78,21)),"")</f>
        <v>法律</v>
      </c>
      <c r="AD40">
        <f ca="1">IF(AND($A40&lt;&gt;"",COUNTIF($A$20:A40,A40)=1,AND($A40&lt;&gt;"",$A40&lt;&gt;"非自然知识",COUNTIF($A$20:$A$78,$A40)&gt;0,OR($B$3="any",$B$3="fixed",AND($B$3="group",LEFT($A40,LEN($E$3)+1)=$E$3&amp;"（"),IFERROR(OR(ISNUMBER(FIND("|"&amp;$A40&amp;"|",$D$3)),AND(IFERROR(FIND("（",$A40),0)&gt;0,ISNUMBER(FIND("|"&amp;LEFT($A40,FIND("（",$A40)-1)&amp;"*|",$D$3)))),FALSE)))),ROW()-19,999)</f>
        <v>21</v>
      </c>
      <c r="AE40" t="str">
        <f ca="1">IFERROR(INDEX($A$20:$A$78,SMALL($AF$20:$AF$78,21)),"")</f>
        <v>法律</v>
      </c>
      <c r="AF40">
        <f ca="1">IF(AND($A40&lt;&gt;"",COUNTIF($A$20:A40,A40)=1,AND($A40&lt;&gt;"",$A40&lt;&gt;"非自然知识",COUNTIF($A$20:$A$78,$A40)&gt;0,OR($B$4="any",$B$4="fixed",AND($B$4="group",LEFT($A40,LEN($E$4)+1)=$E$4&amp;"（"),IFERROR(OR(ISNUMBER(FIND("|"&amp;$A40&amp;"|",$D$4)),AND(IFERROR(FIND("（",$A40),0)&gt;0,ISNUMBER(FIND("|"&amp;LEFT($A40,FIND("（",$A40)-1)&amp;"*|",$D$4)))),FALSE)))),ROW()-19,999)</f>
        <v>21</v>
      </c>
      <c r="AG40" t="str">
        <f ca="1">IFERROR(INDEX($A$20:$A$78,SMALL($AH$20:$AH$78,21)),"")</f>
        <v>法律</v>
      </c>
      <c r="AH40">
        <f ca="1">IF(AND($A40&lt;&gt;"",COUNTIF($A$20:A40,A40)=1,AND($A40&lt;&gt;"",$A40&lt;&gt;"非自然知识",COUNTIF($A$20:$A$78,$A40)&gt;0,OR($B$5="any",$B$5="fixed",AND($B$5="group",LEFT($A40,LEN($E$5)+1)=$E$5&amp;"（"),IFERROR(OR(ISNUMBER(FIND("|"&amp;$A40&amp;"|",$D$5)),AND(IFERROR(FIND("（",$A40),0)&gt;0,ISNUMBER(FIND("|"&amp;LEFT($A40,FIND("（",$A40)-1)&amp;"*|",$D$5)))),FALSE)))),ROW()-19,999)</f>
        <v>21</v>
      </c>
      <c r="AI40" t="str">
        <f ca="1">IFERROR(INDEX($A$20:$A$78,SMALL($AJ$20:$AJ$78,21)),"")</f>
        <v>法律</v>
      </c>
      <c r="AJ40">
        <f ca="1">IF(AND($A40&lt;&gt;"",COUNTIF($A$20:A40,A40)=1,AND($A40&lt;&gt;"",$A40&lt;&gt;"非自然知识",COUNTIF($A$20:$A$78,$A40)&gt;0,OR($B$6="any",$B$6="fixed",AND($B$6="group",LEFT($A40,LEN($E$6)+1)=$E$6&amp;"（"),IFERROR(OR(ISNUMBER(FIND("|"&amp;$A40&amp;"|",$D$6)),AND(IFERROR(FIND("（",$A40),0)&gt;0,ISNUMBER(FIND("|"&amp;LEFT($A40,FIND("（",$A40)-1)&amp;"*|",$D$6)))),FALSE)))),ROW()-19,999)</f>
        <v>21</v>
      </c>
      <c r="AK40" t="str">
        <f ca="1">IFERROR(INDEX($A$20:$A$78,SMALL($AL$20:$AL$78,21)),"")</f>
        <v>法律</v>
      </c>
      <c r="AL40">
        <f ca="1">IF(AND($A40&lt;&gt;"",COUNTIF($A$20:A40,A40)=1,AND($A40&lt;&gt;"",$A40&lt;&gt;"非自然知识",COUNTIF($A$20:$A$78,$A40)&gt;0,OR($B$7="any",$B$7="fixed",AND($B$7="group",LEFT($A40,LEN($E$7)+1)=$E$7&amp;"（"),IFERROR(OR(ISNUMBER(FIND("|"&amp;$A40&amp;"|",$D$7)),AND(IFERROR(FIND("（",$A40),0)&gt;0,ISNUMBER(FIND("|"&amp;LEFT($A40,FIND("（",$A40)-1)&amp;"*|",$D$7)))),FALSE)))),ROW()-19,999)</f>
        <v>21</v>
      </c>
      <c r="AM40" t="str">
        <f ca="1">IFERROR(INDEX($A$20:$A$78,SMALL($AN$20:$AN$78,21)),"")</f>
        <v>法律</v>
      </c>
      <c r="AN40">
        <f ca="1">IF(AND($A40&lt;&gt;"",COUNTIF($A$20:A40,A40)=1,AND($A40&lt;&gt;"",$A40&lt;&gt;"非自然知识",COUNTIF($A$20:$A$78,$A40)&gt;0,OR($B$8="any",$B$8="fixed",AND($B$8="group",LEFT($A40,LEN($E$8)+1)=$E$8&amp;"（"),IFERROR(OR(ISNUMBER(FIND("|"&amp;$A40&amp;"|",$D$8)),AND(IFERROR(FIND("（",$A40),0)&gt;0,ISNUMBER(FIND("|"&amp;LEFT($A40,FIND("（",$A40)-1)&amp;"*|",$D$8)))),FALSE)))),ROW()-19,999)</f>
        <v>21</v>
      </c>
      <c r="AO40" t="str">
        <f ca="1">IFERROR(INDEX($A$20:$A$78,SMALL($AP$20:$AP$78,21)),"")</f>
        <v>法律</v>
      </c>
      <c r="AP40">
        <f ca="1">IF(AND($A40&lt;&gt;"",COUNTIF($A$20:A40,A40)=1,AND($A40&lt;&gt;"",$A40&lt;&gt;"非自然知识",COUNTIF($A$20:$A$78,$A40)&gt;0,OR($B$9="any",$B$9="fixed",AND($B$9="group",LEFT($A40,LEN($E$9)+1)=$E$9&amp;"（"),IFERROR(OR(ISNUMBER(FIND("|"&amp;$A40&amp;"|",$D$9)),AND(IFERROR(FIND("（",$A40),0)&gt;0,ISNUMBER(FIND("|"&amp;LEFT($A40,FIND("（",$A40)-1)&amp;"*|",$D$9)))),FALSE)))),ROW()-19,999)</f>
        <v>21</v>
      </c>
    </row>
    <row r="41" spans="1:42">
      <c r="A41" t="str">
        <f>人物卡!D35</f>
        <v>急救</v>
      </c>
      <c r="B41" t="str">
        <f t="shared" si="2"/>
        <v/>
      </c>
      <c r="C41">
        <f ca="1">IF(人物卡!V35="",N(人物卡!S35),N(人物卡!V35))</f>
        <v>10</v>
      </c>
      <c r="D41">
        <f ca="1">IF(AND(A41&lt;&gt;"",COUNTIF($A$20:A41,A41)=1),COUNTIF($H$2:$H$9,A41)*20,0)</f>
        <v>0</v>
      </c>
      <c r="E41">
        <f ca="1" t="shared" si="3"/>
        <v>0</v>
      </c>
      <c r="F41">
        <f ca="1">IF(AND(A41&lt;&gt;"",COUNTIF($A$20:A41,A41)=1),IF(A41="神秘学",IF(人物卡!$DF$46="人类不应知道之事",20,IF(OR(人物卡!$DF$46="极端暴力",人物卡!$DF$46="关押或入狱",人物卡!$DF$46="艰苦经历"),10,0)),0)+IF(人物卡!$DF$46="艰苦经历",COUNTIF($H$12:$H$16,A41)*10,0),0)</f>
        <v>0</v>
      </c>
      <c r="G41">
        <f ca="1">IF(人物卡!$DF$46="艰苦经历",MIN(F41,MAX(0,90-C41-E41)),MIN(F41,MAX(0,99-C41-E41)))</f>
        <v>0</v>
      </c>
      <c r="H41" t="str">
        <f ca="1" t="shared" si="4"/>
        <v/>
      </c>
      <c r="I41" t="str">
        <f ca="1" t="shared" si="5"/>
        <v/>
      </c>
      <c r="J41" t="s">
        <v>2287</v>
      </c>
      <c r="K41" t="s">
        <v>2288</v>
      </c>
      <c r="Y41">
        <f ca="1">IF(AND($A41&lt;&gt;"",COUNTIF($A$20:A41,A41)=1,$A41&lt;&gt;"非自然知识"),ROW()-19,999)</f>
        <v>22</v>
      </c>
      <c r="Z41" t="str">
        <f ca="1">IFERROR(INDEX($A$20:$A$78,SMALL($Y$20:$Y$78,22)),"")</f>
        <v>医学</v>
      </c>
      <c r="AA41" t="str">
        <f ca="1">IFERROR(INDEX($A$20:$A$78,SMALL($AB$20:$AB$78,22)),"")</f>
        <v>医学</v>
      </c>
      <c r="AB41">
        <f ca="1">IF(AND($A41&lt;&gt;"",COUNTIF($A$20:A41,A41)=1,AND($A41&lt;&gt;"",$A41&lt;&gt;"非自然知识",COUNTIF($A$20:$A$78,$A41)&gt;0,OR($B$2="any",$B$2="fixed",AND($B$2="group",LEFT($A41,LEN($E$2)+1)=$E$2&amp;"（"),IFERROR(OR(ISNUMBER(FIND("|"&amp;$A41&amp;"|",$D$2)),AND(IFERROR(FIND("（",$A41),0)&gt;0,ISNUMBER(FIND("|"&amp;LEFT($A41,FIND("（",$A41)-1)&amp;"*|",$D$2)))),FALSE)))),ROW()-19,999)</f>
        <v>22</v>
      </c>
      <c r="AC41" t="str">
        <f ca="1">IFERROR(INDEX($A$20:$A$78,SMALL($AD$20:$AD$78,22)),"")</f>
        <v>医学</v>
      </c>
      <c r="AD41">
        <f ca="1">IF(AND($A41&lt;&gt;"",COUNTIF($A$20:A41,A41)=1,AND($A41&lt;&gt;"",$A41&lt;&gt;"非自然知识",COUNTIF($A$20:$A$78,$A41)&gt;0,OR($B$3="any",$B$3="fixed",AND($B$3="group",LEFT($A41,LEN($E$3)+1)=$E$3&amp;"（"),IFERROR(OR(ISNUMBER(FIND("|"&amp;$A41&amp;"|",$D$3)),AND(IFERROR(FIND("（",$A41),0)&gt;0,ISNUMBER(FIND("|"&amp;LEFT($A41,FIND("（",$A41)-1)&amp;"*|",$D$3)))),FALSE)))),ROW()-19,999)</f>
        <v>22</v>
      </c>
      <c r="AE41" t="str">
        <f ca="1">IFERROR(INDEX($A$20:$A$78,SMALL($AF$20:$AF$78,22)),"")</f>
        <v>医学</v>
      </c>
      <c r="AF41">
        <f ca="1">IF(AND($A41&lt;&gt;"",COUNTIF($A$20:A41,A41)=1,AND($A41&lt;&gt;"",$A41&lt;&gt;"非自然知识",COUNTIF($A$20:$A$78,$A41)&gt;0,OR($B$4="any",$B$4="fixed",AND($B$4="group",LEFT($A41,LEN($E$4)+1)=$E$4&amp;"（"),IFERROR(OR(ISNUMBER(FIND("|"&amp;$A41&amp;"|",$D$4)),AND(IFERROR(FIND("（",$A41),0)&gt;0,ISNUMBER(FIND("|"&amp;LEFT($A41,FIND("（",$A41)-1)&amp;"*|",$D$4)))),FALSE)))),ROW()-19,999)</f>
        <v>22</v>
      </c>
      <c r="AG41" t="str">
        <f ca="1">IFERROR(INDEX($A$20:$A$78,SMALL($AH$20:$AH$78,22)),"")</f>
        <v>医学</v>
      </c>
      <c r="AH41">
        <f ca="1">IF(AND($A41&lt;&gt;"",COUNTIF($A$20:A41,A41)=1,AND($A41&lt;&gt;"",$A41&lt;&gt;"非自然知识",COUNTIF($A$20:$A$78,$A41)&gt;0,OR($B$5="any",$B$5="fixed",AND($B$5="group",LEFT($A41,LEN($E$5)+1)=$E$5&amp;"（"),IFERROR(OR(ISNUMBER(FIND("|"&amp;$A41&amp;"|",$D$5)),AND(IFERROR(FIND("（",$A41),0)&gt;0,ISNUMBER(FIND("|"&amp;LEFT($A41,FIND("（",$A41)-1)&amp;"*|",$D$5)))),FALSE)))),ROW()-19,999)</f>
        <v>22</v>
      </c>
      <c r="AI41" t="str">
        <f ca="1">IFERROR(INDEX($A$20:$A$78,SMALL($AJ$20:$AJ$78,22)),"")</f>
        <v>医学</v>
      </c>
      <c r="AJ41">
        <f ca="1">IF(AND($A41&lt;&gt;"",COUNTIF($A$20:A41,A41)=1,AND($A41&lt;&gt;"",$A41&lt;&gt;"非自然知识",COUNTIF($A$20:$A$78,$A41)&gt;0,OR($B$6="any",$B$6="fixed",AND($B$6="group",LEFT($A41,LEN($E$6)+1)=$E$6&amp;"（"),IFERROR(OR(ISNUMBER(FIND("|"&amp;$A41&amp;"|",$D$6)),AND(IFERROR(FIND("（",$A41),0)&gt;0,ISNUMBER(FIND("|"&amp;LEFT($A41,FIND("（",$A41)-1)&amp;"*|",$D$6)))),FALSE)))),ROW()-19,999)</f>
        <v>22</v>
      </c>
      <c r="AK41" t="str">
        <f ca="1">IFERROR(INDEX($A$20:$A$78,SMALL($AL$20:$AL$78,22)),"")</f>
        <v>医学</v>
      </c>
      <c r="AL41">
        <f ca="1">IF(AND($A41&lt;&gt;"",COUNTIF($A$20:A41,A41)=1,AND($A41&lt;&gt;"",$A41&lt;&gt;"非自然知识",COUNTIF($A$20:$A$78,$A41)&gt;0,OR($B$7="any",$B$7="fixed",AND($B$7="group",LEFT($A41,LEN($E$7)+1)=$E$7&amp;"（"),IFERROR(OR(ISNUMBER(FIND("|"&amp;$A41&amp;"|",$D$7)),AND(IFERROR(FIND("（",$A41),0)&gt;0,ISNUMBER(FIND("|"&amp;LEFT($A41,FIND("（",$A41)-1)&amp;"*|",$D$7)))),FALSE)))),ROW()-19,999)</f>
        <v>22</v>
      </c>
      <c r="AM41" t="str">
        <f ca="1">IFERROR(INDEX($A$20:$A$78,SMALL($AN$20:$AN$78,22)),"")</f>
        <v>医学</v>
      </c>
      <c r="AN41">
        <f ca="1">IF(AND($A41&lt;&gt;"",COUNTIF($A$20:A41,A41)=1,AND($A41&lt;&gt;"",$A41&lt;&gt;"非自然知识",COUNTIF($A$20:$A$78,$A41)&gt;0,OR($B$8="any",$B$8="fixed",AND($B$8="group",LEFT($A41,LEN($E$8)+1)=$E$8&amp;"（"),IFERROR(OR(ISNUMBER(FIND("|"&amp;$A41&amp;"|",$D$8)),AND(IFERROR(FIND("（",$A41),0)&gt;0,ISNUMBER(FIND("|"&amp;LEFT($A41,FIND("（",$A41)-1)&amp;"*|",$D$8)))),FALSE)))),ROW()-19,999)</f>
        <v>22</v>
      </c>
      <c r="AO41" t="str">
        <f ca="1">IFERROR(INDEX($A$20:$A$78,SMALL($AP$20:$AP$78,22)),"")</f>
        <v>医学</v>
      </c>
      <c r="AP41">
        <f ca="1">IF(AND($A41&lt;&gt;"",COUNTIF($A$20:A41,A41)=1,AND($A41&lt;&gt;"",$A41&lt;&gt;"非自然知识",COUNTIF($A$20:$A$78,$A41)&gt;0,OR($B$9="any",$B$9="fixed",AND($B$9="group",LEFT($A41,LEN($E$9)+1)=$E$9&amp;"（"),IFERROR(OR(ISNUMBER(FIND("|"&amp;$A41&amp;"|",$D$9)),AND(IFERROR(FIND("（",$A41),0)&gt;0,ISNUMBER(FIND("|"&amp;LEFT($A41,FIND("（",$A41)-1)&amp;"*|",$D$9)))),FALSE)))),ROW()-19,999)</f>
        <v>22</v>
      </c>
    </row>
    <row r="42" spans="1:42">
      <c r="A42" t="str">
        <f>IF(TRIM(人物卡!J36)="","","外语（"&amp;TRIM(人物卡!J36)&amp;"）")</f>
        <v/>
      </c>
      <c r="B42" t="str">
        <f t="shared" si="2"/>
        <v/>
      </c>
      <c r="C42">
        <f ca="1">IF(人物卡!V36="",N(人物卡!S36),N(人物卡!V36))</f>
        <v>0</v>
      </c>
      <c r="D42">
        <f ca="1">IF(AND(A42&lt;&gt;"",COUNTIF($A$20:A42,A42)=1),COUNTIF($H$2:$H$9,A42)*20,0)</f>
        <v>0</v>
      </c>
      <c r="E42">
        <f ca="1" t="shared" si="3"/>
        <v>0</v>
      </c>
      <c r="F42">
        <f ca="1">IF(AND(A42&lt;&gt;"",COUNTIF($A$20:A42,A42)=1),IF(A42="神秘学",IF(人物卡!$DF$46="人类不应知道之事",20,IF(OR(人物卡!$DF$46="极端暴力",人物卡!$DF$46="关押或入狱",人物卡!$DF$46="艰苦经历"),10,0)),0)+IF(人物卡!$DF$46="艰苦经历",COUNTIF($H$12:$H$16,A42)*10,0),0)</f>
        <v>0</v>
      </c>
      <c r="G42">
        <f ca="1">IF(人物卡!$DF$46="艰苦经历",MIN(F42,MAX(0,90-C42-E42)),MIN(F42,MAX(0,99-C42-E42)))</f>
        <v>0</v>
      </c>
      <c r="H42" t="str">
        <f ca="1" t="shared" si="4"/>
        <v/>
      </c>
      <c r="I42" t="str">
        <f ca="1" t="shared" si="5"/>
        <v/>
      </c>
      <c r="J42" t="s">
        <v>2289</v>
      </c>
      <c r="K42" t="s">
        <v>2290</v>
      </c>
      <c r="Y42">
        <f ca="1">IF(AND($A42&lt;&gt;"",COUNTIF($A$20:A42,A42)=1,$A42&lt;&gt;"非自然知识"),ROW()-19,999)</f>
        <v>999</v>
      </c>
      <c r="Z42" t="str">
        <f ca="1">IFERROR(INDEX($A$20:$A$78,SMALL($Y$20:$Y$78,23)),"")</f>
        <v>近战武器</v>
      </c>
      <c r="AA42" t="str">
        <f ca="1">IFERROR(INDEX($A$20:$A$78,SMALL($AB$20:$AB$78,23)),"")</f>
        <v>近战武器</v>
      </c>
      <c r="AB42">
        <f ca="1">IF(AND($A42&lt;&gt;"",COUNTIF($A$20:A42,A42)=1,AND($A42&lt;&gt;"",$A42&lt;&gt;"非自然知识",COUNTIF($A$20:$A$78,$A42)&gt;0,OR($B$2="any",$B$2="fixed",AND($B$2="group",LEFT($A42,LEN($E$2)+1)=$E$2&amp;"（"),IFERROR(OR(ISNUMBER(FIND("|"&amp;$A42&amp;"|",$D$2)),AND(IFERROR(FIND("（",$A42),0)&gt;0,ISNUMBER(FIND("|"&amp;LEFT($A42,FIND("（",$A42)-1)&amp;"*|",$D$2)))),FALSE)))),ROW()-19,999)</f>
        <v>999</v>
      </c>
      <c r="AC42" t="str">
        <f ca="1">IFERROR(INDEX($A$20:$A$78,SMALL($AD$20:$AD$78,23)),"")</f>
        <v>近战武器</v>
      </c>
      <c r="AD42">
        <f ca="1">IF(AND($A42&lt;&gt;"",COUNTIF($A$20:A42,A42)=1,AND($A42&lt;&gt;"",$A42&lt;&gt;"非自然知识",COUNTIF($A$20:$A$78,$A42)&gt;0,OR($B$3="any",$B$3="fixed",AND($B$3="group",LEFT($A42,LEN($E$3)+1)=$E$3&amp;"（"),IFERROR(OR(ISNUMBER(FIND("|"&amp;$A42&amp;"|",$D$3)),AND(IFERROR(FIND("（",$A42),0)&gt;0,ISNUMBER(FIND("|"&amp;LEFT($A42,FIND("（",$A42)-1)&amp;"*|",$D$3)))),FALSE)))),ROW()-19,999)</f>
        <v>999</v>
      </c>
      <c r="AE42" t="str">
        <f ca="1">IFERROR(INDEX($A$20:$A$78,SMALL($AF$20:$AF$78,23)),"")</f>
        <v>近战武器</v>
      </c>
      <c r="AF42">
        <f ca="1">IF(AND($A42&lt;&gt;"",COUNTIF($A$20:A42,A42)=1,AND($A42&lt;&gt;"",$A42&lt;&gt;"非自然知识",COUNTIF($A$20:$A$78,$A42)&gt;0,OR($B$4="any",$B$4="fixed",AND($B$4="group",LEFT($A42,LEN($E$4)+1)=$E$4&amp;"（"),IFERROR(OR(ISNUMBER(FIND("|"&amp;$A42&amp;"|",$D$4)),AND(IFERROR(FIND("（",$A42),0)&gt;0,ISNUMBER(FIND("|"&amp;LEFT($A42,FIND("（",$A42)-1)&amp;"*|",$D$4)))),FALSE)))),ROW()-19,999)</f>
        <v>999</v>
      </c>
      <c r="AG42" t="str">
        <f ca="1">IFERROR(INDEX($A$20:$A$78,SMALL($AH$20:$AH$78,23)),"")</f>
        <v>近战武器</v>
      </c>
      <c r="AH42">
        <f ca="1">IF(AND($A42&lt;&gt;"",COUNTIF($A$20:A42,A42)=1,AND($A42&lt;&gt;"",$A42&lt;&gt;"非自然知识",COUNTIF($A$20:$A$78,$A42)&gt;0,OR($B$5="any",$B$5="fixed",AND($B$5="group",LEFT($A42,LEN($E$5)+1)=$E$5&amp;"（"),IFERROR(OR(ISNUMBER(FIND("|"&amp;$A42&amp;"|",$D$5)),AND(IFERROR(FIND("（",$A42),0)&gt;0,ISNUMBER(FIND("|"&amp;LEFT($A42,FIND("（",$A42)-1)&amp;"*|",$D$5)))),FALSE)))),ROW()-19,999)</f>
        <v>999</v>
      </c>
      <c r="AI42" t="str">
        <f ca="1">IFERROR(INDEX($A$20:$A$78,SMALL($AJ$20:$AJ$78,23)),"")</f>
        <v>近战武器</v>
      </c>
      <c r="AJ42">
        <f ca="1">IF(AND($A42&lt;&gt;"",COUNTIF($A$20:A42,A42)=1,AND($A42&lt;&gt;"",$A42&lt;&gt;"非自然知识",COUNTIF($A$20:$A$78,$A42)&gt;0,OR($B$6="any",$B$6="fixed",AND($B$6="group",LEFT($A42,LEN($E$6)+1)=$E$6&amp;"（"),IFERROR(OR(ISNUMBER(FIND("|"&amp;$A42&amp;"|",$D$6)),AND(IFERROR(FIND("（",$A42),0)&gt;0,ISNUMBER(FIND("|"&amp;LEFT($A42,FIND("（",$A42)-1)&amp;"*|",$D$6)))),FALSE)))),ROW()-19,999)</f>
        <v>999</v>
      </c>
      <c r="AK42" t="str">
        <f ca="1">IFERROR(INDEX($A$20:$A$78,SMALL($AL$20:$AL$78,23)),"")</f>
        <v>近战武器</v>
      </c>
      <c r="AL42">
        <f ca="1">IF(AND($A42&lt;&gt;"",COUNTIF($A$20:A42,A42)=1,AND($A42&lt;&gt;"",$A42&lt;&gt;"非自然知识",COUNTIF($A$20:$A$78,$A42)&gt;0,OR($B$7="any",$B$7="fixed",AND($B$7="group",LEFT($A42,LEN($E$7)+1)=$E$7&amp;"（"),IFERROR(OR(ISNUMBER(FIND("|"&amp;$A42&amp;"|",$D$7)),AND(IFERROR(FIND("（",$A42),0)&gt;0,ISNUMBER(FIND("|"&amp;LEFT($A42,FIND("（",$A42)-1)&amp;"*|",$D$7)))),FALSE)))),ROW()-19,999)</f>
        <v>999</v>
      </c>
      <c r="AM42" t="str">
        <f ca="1">IFERROR(INDEX($A$20:$A$78,SMALL($AN$20:$AN$78,23)),"")</f>
        <v>近战武器</v>
      </c>
      <c r="AN42">
        <f ca="1">IF(AND($A42&lt;&gt;"",COUNTIF($A$20:A42,A42)=1,AND($A42&lt;&gt;"",$A42&lt;&gt;"非自然知识",COUNTIF($A$20:$A$78,$A42)&gt;0,OR($B$8="any",$B$8="fixed",AND($B$8="group",LEFT($A42,LEN($E$8)+1)=$E$8&amp;"（"),IFERROR(OR(ISNUMBER(FIND("|"&amp;$A42&amp;"|",$D$8)),AND(IFERROR(FIND("（",$A42),0)&gt;0,ISNUMBER(FIND("|"&amp;LEFT($A42,FIND("（",$A42)-1)&amp;"*|",$D$8)))),FALSE)))),ROW()-19,999)</f>
        <v>999</v>
      </c>
      <c r="AO42" t="str">
        <f ca="1">IFERROR(INDEX($A$20:$A$78,SMALL($AP$20:$AP$78,23)),"")</f>
        <v>近战武器</v>
      </c>
      <c r="AP42">
        <f ca="1">IF(AND($A42&lt;&gt;"",COUNTIF($A$20:A42,A42)=1,AND($A42&lt;&gt;"",$A42&lt;&gt;"非自然知识",COUNTIF($A$20:$A$78,$A42)&gt;0,OR($B$9="any",$B$9="fixed",AND($B$9="group",LEFT($A42,LEN($E$9)+1)=$E$9&amp;"（"),IFERROR(OR(ISNUMBER(FIND("|"&amp;$A42&amp;"|",$D$9)),AND(IFERROR(FIND("（",$A42),0)&gt;0,ISNUMBER(FIND("|"&amp;LEFT($A42,FIND("（",$A42)-1)&amp;"*|",$D$9)))),FALSE)))),ROW()-19,999)</f>
        <v>999</v>
      </c>
    </row>
    <row r="43" spans="1:42">
      <c r="A43" t="str">
        <f>IF(TRIM(人物卡!J37)="","","外语（"&amp;TRIM(人物卡!J37)&amp;"）")</f>
        <v/>
      </c>
      <c r="B43" t="str">
        <f t="shared" si="2"/>
        <v/>
      </c>
      <c r="C43">
        <f ca="1">IF(人物卡!V37="",N(人物卡!S37),N(人物卡!V37))</f>
        <v>0</v>
      </c>
      <c r="D43">
        <f ca="1">IF(AND(A43&lt;&gt;"",COUNTIF($A$20:A43,A43)=1),COUNTIF($H$2:$H$9,A43)*20,0)</f>
        <v>0</v>
      </c>
      <c r="E43">
        <f ca="1" t="shared" si="3"/>
        <v>0</v>
      </c>
      <c r="F43">
        <f ca="1">IF(AND(A43&lt;&gt;"",COUNTIF($A$20:A43,A43)=1),IF(A43="神秘学",IF(人物卡!$DF$46="人类不应知道之事",20,IF(OR(人物卡!$DF$46="极端暴力",人物卡!$DF$46="关押或入狱",人物卡!$DF$46="艰苦经历"),10,0)),0)+IF(人物卡!$DF$46="艰苦经历",COUNTIF($H$12:$H$16,A43)*10,0),0)</f>
        <v>0</v>
      </c>
      <c r="G43">
        <f ca="1">IF(人物卡!$DF$46="艰苦经历",MIN(F43,MAX(0,90-C43-E43)),MIN(F43,MAX(0,99-C43-E43)))</f>
        <v>0</v>
      </c>
      <c r="H43" t="str">
        <f ca="1" t="shared" si="4"/>
        <v/>
      </c>
      <c r="I43" t="str">
        <f ca="1" t="shared" si="5"/>
        <v/>
      </c>
      <c r="J43" t="s">
        <v>1329</v>
      </c>
      <c r="K43" t="s">
        <v>1336</v>
      </c>
      <c r="Y43">
        <f ca="1">IF(AND($A43&lt;&gt;"",COUNTIF($A$20:A43,A43)=1,$A43&lt;&gt;"非自然知识"),ROW()-19,999)</f>
        <v>999</v>
      </c>
      <c r="Z43" t="str">
        <f ca="1">IFERROR(INDEX($A$20:$A$78,SMALL($Y$20:$Y$78,24)),"")</f>
        <v>导航</v>
      </c>
      <c r="AA43" t="str">
        <f ca="1">IFERROR(INDEX($A$20:$A$78,SMALL($AB$20:$AB$78,24)),"")</f>
        <v>导航</v>
      </c>
      <c r="AB43">
        <f ca="1">IF(AND($A43&lt;&gt;"",COUNTIF($A$20:A43,A43)=1,AND($A43&lt;&gt;"",$A43&lt;&gt;"非自然知识",COUNTIF($A$20:$A$78,$A43)&gt;0,OR($B$2="any",$B$2="fixed",AND($B$2="group",LEFT($A43,LEN($E$2)+1)=$E$2&amp;"（"),IFERROR(OR(ISNUMBER(FIND("|"&amp;$A43&amp;"|",$D$2)),AND(IFERROR(FIND("（",$A43),0)&gt;0,ISNUMBER(FIND("|"&amp;LEFT($A43,FIND("（",$A43)-1)&amp;"*|",$D$2)))),FALSE)))),ROW()-19,999)</f>
        <v>999</v>
      </c>
      <c r="AC43" t="str">
        <f ca="1">IFERROR(INDEX($A$20:$A$78,SMALL($AD$20:$AD$78,24)),"")</f>
        <v>导航</v>
      </c>
      <c r="AD43">
        <f ca="1">IF(AND($A43&lt;&gt;"",COUNTIF($A$20:A43,A43)=1,AND($A43&lt;&gt;"",$A43&lt;&gt;"非自然知识",COUNTIF($A$20:$A$78,$A43)&gt;0,OR($B$3="any",$B$3="fixed",AND($B$3="group",LEFT($A43,LEN($E$3)+1)=$E$3&amp;"（"),IFERROR(OR(ISNUMBER(FIND("|"&amp;$A43&amp;"|",$D$3)),AND(IFERROR(FIND("（",$A43),0)&gt;0,ISNUMBER(FIND("|"&amp;LEFT($A43,FIND("（",$A43)-1)&amp;"*|",$D$3)))),FALSE)))),ROW()-19,999)</f>
        <v>999</v>
      </c>
      <c r="AE43" t="str">
        <f ca="1">IFERROR(INDEX($A$20:$A$78,SMALL($AF$20:$AF$78,24)),"")</f>
        <v>导航</v>
      </c>
      <c r="AF43">
        <f ca="1">IF(AND($A43&lt;&gt;"",COUNTIF($A$20:A43,A43)=1,AND($A43&lt;&gt;"",$A43&lt;&gt;"非自然知识",COUNTIF($A$20:$A$78,$A43)&gt;0,OR($B$4="any",$B$4="fixed",AND($B$4="group",LEFT($A43,LEN($E$4)+1)=$E$4&amp;"（"),IFERROR(OR(ISNUMBER(FIND("|"&amp;$A43&amp;"|",$D$4)),AND(IFERROR(FIND("（",$A43),0)&gt;0,ISNUMBER(FIND("|"&amp;LEFT($A43,FIND("（",$A43)-1)&amp;"*|",$D$4)))),FALSE)))),ROW()-19,999)</f>
        <v>999</v>
      </c>
      <c r="AG43" t="str">
        <f ca="1">IFERROR(INDEX($A$20:$A$78,SMALL($AH$20:$AH$78,24)),"")</f>
        <v>导航</v>
      </c>
      <c r="AH43">
        <f ca="1">IF(AND($A43&lt;&gt;"",COUNTIF($A$20:A43,A43)=1,AND($A43&lt;&gt;"",$A43&lt;&gt;"非自然知识",COUNTIF($A$20:$A$78,$A43)&gt;0,OR($B$5="any",$B$5="fixed",AND($B$5="group",LEFT($A43,LEN($E$5)+1)=$E$5&amp;"（"),IFERROR(OR(ISNUMBER(FIND("|"&amp;$A43&amp;"|",$D$5)),AND(IFERROR(FIND("（",$A43),0)&gt;0,ISNUMBER(FIND("|"&amp;LEFT($A43,FIND("（",$A43)-1)&amp;"*|",$D$5)))),FALSE)))),ROW()-19,999)</f>
        <v>999</v>
      </c>
      <c r="AI43" t="str">
        <f ca="1">IFERROR(INDEX($A$20:$A$78,SMALL($AJ$20:$AJ$78,24)),"")</f>
        <v>导航</v>
      </c>
      <c r="AJ43">
        <f ca="1">IF(AND($A43&lt;&gt;"",COUNTIF($A$20:A43,A43)=1,AND($A43&lt;&gt;"",$A43&lt;&gt;"非自然知识",COUNTIF($A$20:$A$78,$A43)&gt;0,OR($B$6="any",$B$6="fixed",AND($B$6="group",LEFT($A43,LEN($E$6)+1)=$E$6&amp;"（"),IFERROR(OR(ISNUMBER(FIND("|"&amp;$A43&amp;"|",$D$6)),AND(IFERROR(FIND("（",$A43),0)&gt;0,ISNUMBER(FIND("|"&amp;LEFT($A43,FIND("（",$A43)-1)&amp;"*|",$D$6)))),FALSE)))),ROW()-19,999)</f>
        <v>999</v>
      </c>
      <c r="AK43" t="str">
        <f ca="1">IFERROR(INDEX($A$20:$A$78,SMALL($AL$20:$AL$78,24)),"")</f>
        <v>导航</v>
      </c>
      <c r="AL43">
        <f ca="1">IF(AND($A43&lt;&gt;"",COUNTIF($A$20:A43,A43)=1,AND($A43&lt;&gt;"",$A43&lt;&gt;"非自然知识",COUNTIF($A$20:$A$78,$A43)&gt;0,OR($B$7="any",$B$7="fixed",AND($B$7="group",LEFT($A43,LEN($E$7)+1)=$E$7&amp;"（"),IFERROR(OR(ISNUMBER(FIND("|"&amp;$A43&amp;"|",$D$7)),AND(IFERROR(FIND("（",$A43),0)&gt;0,ISNUMBER(FIND("|"&amp;LEFT($A43,FIND("（",$A43)-1)&amp;"*|",$D$7)))),FALSE)))),ROW()-19,999)</f>
        <v>999</v>
      </c>
      <c r="AM43" t="str">
        <f ca="1">IFERROR(INDEX($A$20:$A$78,SMALL($AN$20:$AN$78,24)),"")</f>
        <v>导航</v>
      </c>
      <c r="AN43">
        <f ca="1">IF(AND($A43&lt;&gt;"",COUNTIF($A$20:A43,A43)=1,AND($A43&lt;&gt;"",$A43&lt;&gt;"非自然知识",COUNTIF($A$20:$A$78,$A43)&gt;0,OR($B$8="any",$B$8="fixed",AND($B$8="group",LEFT($A43,LEN($E$8)+1)=$E$8&amp;"（"),IFERROR(OR(ISNUMBER(FIND("|"&amp;$A43&amp;"|",$D$8)),AND(IFERROR(FIND("（",$A43),0)&gt;0,ISNUMBER(FIND("|"&amp;LEFT($A43,FIND("（",$A43)-1)&amp;"*|",$D$8)))),FALSE)))),ROW()-19,999)</f>
        <v>999</v>
      </c>
      <c r="AO43" t="str">
        <f ca="1">IFERROR(INDEX($A$20:$A$78,SMALL($AP$20:$AP$78,24)),"")</f>
        <v>导航</v>
      </c>
      <c r="AP43">
        <f ca="1">IF(AND($A43&lt;&gt;"",COUNTIF($A$20:A43,A43)=1,AND($A43&lt;&gt;"",$A43&lt;&gt;"非自然知识",COUNTIF($A$20:$A$78,$A43)&gt;0,OR($B$9="any",$B$9="fixed",AND($B$9="group",LEFT($A43,LEN($E$9)+1)=$E$9&amp;"（"),IFERROR(OR(ISNUMBER(FIND("|"&amp;$A43&amp;"|",$D$9)),AND(IFERROR(FIND("（",$A43),0)&gt;0,ISNUMBER(FIND("|"&amp;LEFT($A43,FIND("（",$A43)-1)&amp;"*|",$D$9)))),FALSE)))),ROW()-19,999)</f>
        <v>999</v>
      </c>
    </row>
    <row r="44" spans="1:42">
      <c r="A44" t="str">
        <f ca="1">IF(TRIM(人物卡!J38)="","","外语（"&amp;TRIM(人物卡!J38)&amp;"）")</f>
        <v/>
      </c>
      <c r="B44" t="str">
        <f ca="1" t="shared" si="2"/>
        <v/>
      </c>
      <c r="C44">
        <f ca="1">IF(人物卡!V38="",N(人物卡!S38),N(人物卡!V38))</f>
        <v>0</v>
      </c>
      <c r="D44">
        <f ca="1">IF(AND(A44&lt;&gt;"",COUNTIF($A$20:A44,A44)=1),COUNTIF($H$2:$H$9,A44)*20,0)</f>
        <v>0</v>
      </c>
      <c r="E44">
        <f ca="1" t="shared" si="3"/>
        <v>0</v>
      </c>
      <c r="F44">
        <f ca="1">IF(AND(A44&lt;&gt;"",COUNTIF($A$20:A44,A44)=1),IF(A44="神秘学",IF(人物卡!$DF$46="人类不应知道之事",20,IF(OR(人物卡!$DF$46="极端暴力",人物卡!$DF$46="关押或入狱",人物卡!$DF$46="艰苦经历"),10,0)),0)+IF(人物卡!$DF$46="艰苦经历",COUNTIF($H$12:$H$16,A44)*10,0),0)</f>
        <v>0</v>
      </c>
      <c r="G44">
        <f ca="1">IF(人物卡!$DF$46="艰苦经历",MIN(F44,MAX(0,90-C44-E44)),MIN(F44,MAX(0,99-C44-E44)))</f>
        <v>0</v>
      </c>
      <c r="H44" t="str">
        <f ca="1" t="shared" si="4"/>
        <v/>
      </c>
      <c r="I44" t="str">
        <f ca="1" t="shared" si="5"/>
        <v/>
      </c>
      <c r="J44" t="s">
        <v>2291</v>
      </c>
      <c r="K44" t="s">
        <v>2292</v>
      </c>
      <c r="Y44">
        <f ca="1">IF(AND($A44&lt;&gt;"",COUNTIF($A$20:A44,A44)=1,$A44&lt;&gt;"非自然知识"),ROW()-19,999)</f>
        <v>999</v>
      </c>
      <c r="Z44" t="str">
        <f ca="1">IFERROR(INDEX($A$20:$A$78,SMALL($Y$20:$Y$78,25)),"")</f>
        <v>神秘学</v>
      </c>
      <c r="AA44" t="str">
        <f ca="1">IFERROR(INDEX($A$20:$A$78,SMALL($AB$20:$AB$78,25)),"")</f>
        <v>神秘学</v>
      </c>
      <c r="AB44">
        <f ca="1">IF(AND($A44&lt;&gt;"",COUNTIF($A$20:A44,A44)=1,AND($A44&lt;&gt;"",$A44&lt;&gt;"非自然知识",COUNTIF($A$20:$A$78,$A44)&gt;0,OR($B$2="any",$B$2="fixed",AND($B$2="group",LEFT($A44,LEN($E$2)+1)=$E$2&amp;"（"),IFERROR(OR(ISNUMBER(FIND("|"&amp;$A44&amp;"|",$D$2)),AND(IFERROR(FIND("（",$A44),0)&gt;0,ISNUMBER(FIND("|"&amp;LEFT($A44,FIND("（",$A44)-1)&amp;"*|",$D$2)))),FALSE)))),ROW()-19,999)</f>
        <v>999</v>
      </c>
      <c r="AC44" t="str">
        <f ca="1">IFERROR(INDEX($A$20:$A$78,SMALL($AD$20:$AD$78,25)),"")</f>
        <v>神秘学</v>
      </c>
      <c r="AD44">
        <f ca="1">IF(AND($A44&lt;&gt;"",COUNTIF($A$20:A44,A44)=1,AND($A44&lt;&gt;"",$A44&lt;&gt;"非自然知识",COUNTIF($A$20:$A$78,$A44)&gt;0,OR($B$3="any",$B$3="fixed",AND($B$3="group",LEFT($A44,LEN($E$3)+1)=$E$3&amp;"（"),IFERROR(OR(ISNUMBER(FIND("|"&amp;$A44&amp;"|",$D$3)),AND(IFERROR(FIND("（",$A44),0)&gt;0,ISNUMBER(FIND("|"&amp;LEFT($A44,FIND("（",$A44)-1)&amp;"*|",$D$3)))),FALSE)))),ROW()-19,999)</f>
        <v>999</v>
      </c>
      <c r="AE44" t="str">
        <f ca="1">IFERROR(INDEX($A$20:$A$78,SMALL($AF$20:$AF$78,25)),"")</f>
        <v>神秘学</v>
      </c>
      <c r="AF44">
        <f ca="1">IF(AND($A44&lt;&gt;"",COUNTIF($A$20:A44,A44)=1,AND($A44&lt;&gt;"",$A44&lt;&gt;"非自然知识",COUNTIF($A$20:$A$78,$A44)&gt;0,OR($B$4="any",$B$4="fixed",AND($B$4="group",LEFT($A44,LEN($E$4)+1)=$E$4&amp;"（"),IFERROR(OR(ISNUMBER(FIND("|"&amp;$A44&amp;"|",$D$4)),AND(IFERROR(FIND("（",$A44),0)&gt;0,ISNUMBER(FIND("|"&amp;LEFT($A44,FIND("（",$A44)-1)&amp;"*|",$D$4)))),FALSE)))),ROW()-19,999)</f>
        <v>999</v>
      </c>
      <c r="AG44" t="str">
        <f ca="1">IFERROR(INDEX($A$20:$A$78,SMALL($AH$20:$AH$78,25)),"")</f>
        <v>神秘学</v>
      </c>
      <c r="AH44">
        <f ca="1">IF(AND($A44&lt;&gt;"",COUNTIF($A$20:A44,A44)=1,AND($A44&lt;&gt;"",$A44&lt;&gt;"非自然知识",COUNTIF($A$20:$A$78,$A44)&gt;0,OR($B$5="any",$B$5="fixed",AND($B$5="group",LEFT($A44,LEN($E$5)+1)=$E$5&amp;"（"),IFERROR(OR(ISNUMBER(FIND("|"&amp;$A44&amp;"|",$D$5)),AND(IFERROR(FIND("（",$A44),0)&gt;0,ISNUMBER(FIND("|"&amp;LEFT($A44,FIND("（",$A44)-1)&amp;"*|",$D$5)))),FALSE)))),ROW()-19,999)</f>
        <v>999</v>
      </c>
      <c r="AI44" t="str">
        <f ca="1">IFERROR(INDEX($A$20:$A$78,SMALL($AJ$20:$AJ$78,25)),"")</f>
        <v>神秘学</v>
      </c>
      <c r="AJ44">
        <f ca="1">IF(AND($A44&lt;&gt;"",COUNTIF($A$20:A44,A44)=1,AND($A44&lt;&gt;"",$A44&lt;&gt;"非自然知识",COUNTIF($A$20:$A$78,$A44)&gt;0,OR($B$6="any",$B$6="fixed",AND($B$6="group",LEFT($A44,LEN($E$6)+1)=$E$6&amp;"（"),IFERROR(OR(ISNUMBER(FIND("|"&amp;$A44&amp;"|",$D$6)),AND(IFERROR(FIND("（",$A44),0)&gt;0,ISNUMBER(FIND("|"&amp;LEFT($A44,FIND("（",$A44)-1)&amp;"*|",$D$6)))),FALSE)))),ROW()-19,999)</f>
        <v>999</v>
      </c>
      <c r="AK44" t="str">
        <f ca="1">IFERROR(INDEX($A$20:$A$78,SMALL($AL$20:$AL$78,25)),"")</f>
        <v>神秘学</v>
      </c>
      <c r="AL44">
        <f ca="1">IF(AND($A44&lt;&gt;"",COUNTIF($A$20:A44,A44)=1,AND($A44&lt;&gt;"",$A44&lt;&gt;"非自然知识",COUNTIF($A$20:$A$78,$A44)&gt;0,OR($B$7="any",$B$7="fixed",AND($B$7="group",LEFT($A44,LEN($E$7)+1)=$E$7&amp;"（"),IFERROR(OR(ISNUMBER(FIND("|"&amp;$A44&amp;"|",$D$7)),AND(IFERROR(FIND("（",$A44),0)&gt;0,ISNUMBER(FIND("|"&amp;LEFT($A44,FIND("（",$A44)-1)&amp;"*|",$D$7)))),FALSE)))),ROW()-19,999)</f>
        <v>999</v>
      </c>
      <c r="AM44" t="str">
        <f ca="1">IFERROR(INDEX($A$20:$A$78,SMALL($AN$20:$AN$78,25)),"")</f>
        <v>神秘学</v>
      </c>
      <c r="AN44">
        <f ca="1">IF(AND($A44&lt;&gt;"",COUNTIF($A$20:A44,A44)=1,AND($A44&lt;&gt;"",$A44&lt;&gt;"非自然知识",COUNTIF($A$20:$A$78,$A44)&gt;0,OR($B$8="any",$B$8="fixed",AND($B$8="group",LEFT($A44,LEN($E$8)+1)=$E$8&amp;"（"),IFERROR(OR(ISNUMBER(FIND("|"&amp;$A44&amp;"|",$D$8)),AND(IFERROR(FIND("（",$A44),0)&gt;0,ISNUMBER(FIND("|"&amp;LEFT($A44,FIND("（",$A44)-1)&amp;"*|",$D$8)))),FALSE)))),ROW()-19,999)</f>
        <v>999</v>
      </c>
      <c r="AO44" t="str">
        <f ca="1">IFERROR(INDEX($A$20:$A$78,SMALL($AP$20:$AP$78,25)),"")</f>
        <v>神秘学</v>
      </c>
      <c r="AP44">
        <f ca="1">IF(AND($A44&lt;&gt;"",COUNTIF($A$20:A44,A44)=1,AND($A44&lt;&gt;"",$A44&lt;&gt;"非自然知识",COUNTIF($A$20:$A$78,$A44)&gt;0,OR($B$9="any",$B$9="fixed",AND($B$9="group",LEFT($A44,LEN($E$9)+1)=$E$9&amp;"（"),IFERROR(OR(ISNUMBER(FIND("|"&amp;$A44&amp;"|",$D$9)),AND(IFERROR(FIND("（",$A44),0)&gt;0,ISNUMBER(FIND("|"&amp;LEFT($A44,FIND("（",$A44)-1)&amp;"*|",$D$9)))),FALSE)))),ROW()-19,999)</f>
        <v>999</v>
      </c>
    </row>
    <row r="45" spans="1:42">
      <c r="A45" t="str">
        <f>人物卡!D39</f>
        <v>法证学</v>
      </c>
      <c r="B45" t="str">
        <f t="shared" si="2"/>
        <v/>
      </c>
      <c r="C45">
        <f ca="1">IF(人物卡!V39="",N(人物卡!S39),N(人物卡!V39))</f>
        <v>0</v>
      </c>
      <c r="D45">
        <f ca="1">IF(AND(A45&lt;&gt;"",COUNTIF($A$20:A45,A45)=1),COUNTIF($H$2:$H$9,A45)*20,0)</f>
        <v>0</v>
      </c>
      <c r="E45">
        <f ca="1" t="shared" si="3"/>
        <v>0</v>
      </c>
      <c r="F45">
        <f ca="1">IF(AND(A45&lt;&gt;"",COUNTIF($A$20:A45,A45)=1),IF(A45="神秘学",IF(人物卡!$DF$46="人类不应知道之事",20,IF(OR(人物卡!$DF$46="极端暴力",人物卡!$DF$46="关押或入狱",人物卡!$DF$46="艰苦经历"),10,0)),0)+IF(人物卡!$DF$46="艰苦经历",COUNTIF($H$12:$H$16,A45)*10,0),0)</f>
        <v>0</v>
      </c>
      <c r="G45">
        <f ca="1">IF(人物卡!$DF$46="艰苦经历",MIN(F45,MAX(0,90-C45-E45)),MIN(F45,MAX(0,99-C45-E45)))</f>
        <v>0</v>
      </c>
      <c r="H45" t="str">
        <f ca="1" t="shared" si="4"/>
        <v/>
      </c>
      <c r="I45" t="str">
        <f ca="1" t="shared" si="5"/>
        <v/>
      </c>
      <c r="J45" t="s">
        <v>2293</v>
      </c>
      <c r="K45" t="s">
        <v>2294</v>
      </c>
      <c r="Y45">
        <f ca="1">IF(AND($A45&lt;&gt;"",COUNTIF($A$20:A45,A45)=1,$A45&lt;&gt;"非自然知识"),ROW()-19,999)</f>
        <v>26</v>
      </c>
      <c r="Z45" t="str">
        <f ca="1">IFERROR(INDEX($A$20:$A$78,SMALL($Y$20:$Y$78,26)),"")</f>
        <v>说服</v>
      </c>
      <c r="AA45" t="str">
        <f ca="1">IFERROR(INDEX($A$20:$A$78,SMALL($AB$20:$AB$78,26)),"")</f>
        <v>说服</v>
      </c>
      <c r="AB45">
        <f ca="1">IF(AND($A45&lt;&gt;"",COUNTIF($A$20:A45,A45)=1,AND($A45&lt;&gt;"",$A45&lt;&gt;"非自然知识",COUNTIF($A$20:$A$78,$A45)&gt;0,OR($B$2="any",$B$2="fixed",AND($B$2="group",LEFT($A45,LEN($E$2)+1)=$E$2&amp;"（"),IFERROR(OR(ISNUMBER(FIND("|"&amp;$A45&amp;"|",$D$2)),AND(IFERROR(FIND("（",$A45),0)&gt;0,ISNUMBER(FIND("|"&amp;LEFT($A45,FIND("（",$A45)-1)&amp;"*|",$D$2)))),FALSE)))),ROW()-19,999)</f>
        <v>26</v>
      </c>
      <c r="AC45" t="str">
        <f ca="1">IFERROR(INDEX($A$20:$A$78,SMALL($AD$20:$AD$78,26)),"")</f>
        <v>说服</v>
      </c>
      <c r="AD45">
        <f ca="1">IF(AND($A45&lt;&gt;"",COUNTIF($A$20:A45,A45)=1,AND($A45&lt;&gt;"",$A45&lt;&gt;"非自然知识",COUNTIF($A$20:$A$78,$A45)&gt;0,OR($B$3="any",$B$3="fixed",AND($B$3="group",LEFT($A45,LEN($E$3)+1)=$E$3&amp;"（"),IFERROR(OR(ISNUMBER(FIND("|"&amp;$A45&amp;"|",$D$3)),AND(IFERROR(FIND("（",$A45),0)&gt;0,ISNUMBER(FIND("|"&amp;LEFT($A45,FIND("（",$A45)-1)&amp;"*|",$D$3)))),FALSE)))),ROW()-19,999)</f>
        <v>26</v>
      </c>
      <c r="AE45" t="str">
        <f ca="1">IFERROR(INDEX($A$20:$A$78,SMALL($AF$20:$AF$78,26)),"")</f>
        <v>说服</v>
      </c>
      <c r="AF45">
        <f ca="1">IF(AND($A45&lt;&gt;"",COUNTIF($A$20:A45,A45)=1,AND($A45&lt;&gt;"",$A45&lt;&gt;"非自然知识",COUNTIF($A$20:$A$78,$A45)&gt;0,OR($B$4="any",$B$4="fixed",AND($B$4="group",LEFT($A45,LEN($E$4)+1)=$E$4&amp;"（"),IFERROR(OR(ISNUMBER(FIND("|"&amp;$A45&amp;"|",$D$4)),AND(IFERROR(FIND("（",$A45),0)&gt;0,ISNUMBER(FIND("|"&amp;LEFT($A45,FIND("（",$A45)-1)&amp;"*|",$D$4)))),FALSE)))),ROW()-19,999)</f>
        <v>26</v>
      </c>
      <c r="AG45" t="str">
        <f ca="1">IFERROR(INDEX($A$20:$A$78,SMALL($AH$20:$AH$78,26)),"")</f>
        <v>说服</v>
      </c>
      <c r="AH45">
        <f ca="1">IF(AND($A45&lt;&gt;"",COUNTIF($A$20:A45,A45)=1,AND($A45&lt;&gt;"",$A45&lt;&gt;"非自然知识",COUNTIF($A$20:$A$78,$A45)&gt;0,OR($B$5="any",$B$5="fixed",AND($B$5="group",LEFT($A45,LEN($E$5)+1)=$E$5&amp;"（"),IFERROR(OR(ISNUMBER(FIND("|"&amp;$A45&amp;"|",$D$5)),AND(IFERROR(FIND("（",$A45),0)&gt;0,ISNUMBER(FIND("|"&amp;LEFT($A45,FIND("（",$A45)-1)&amp;"*|",$D$5)))),FALSE)))),ROW()-19,999)</f>
        <v>26</v>
      </c>
      <c r="AI45" t="str">
        <f ca="1">IFERROR(INDEX($A$20:$A$78,SMALL($AJ$20:$AJ$78,26)),"")</f>
        <v>说服</v>
      </c>
      <c r="AJ45">
        <f ca="1">IF(AND($A45&lt;&gt;"",COUNTIF($A$20:A45,A45)=1,AND($A45&lt;&gt;"",$A45&lt;&gt;"非自然知识",COUNTIF($A$20:$A$78,$A45)&gt;0,OR($B$6="any",$B$6="fixed",AND($B$6="group",LEFT($A45,LEN($E$6)+1)=$E$6&amp;"（"),IFERROR(OR(ISNUMBER(FIND("|"&amp;$A45&amp;"|",$D$6)),AND(IFERROR(FIND("（",$A45),0)&gt;0,ISNUMBER(FIND("|"&amp;LEFT($A45,FIND("（",$A45)-1)&amp;"*|",$D$6)))),FALSE)))),ROW()-19,999)</f>
        <v>26</v>
      </c>
      <c r="AK45" t="str">
        <f ca="1">IFERROR(INDEX($A$20:$A$78,SMALL($AL$20:$AL$78,26)),"")</f>
        <v>说服</v>
      </c>
      <c r="AL45">
        <f ca="1">IF(AND($A45&lt;&gt;"",COUNTIF($A$20:A45,A45)=1,AND($A45&lt;&gt;"",$A45&lt;&gt;"非自然知识",COUNTIF($A$20:$A$78,$A45)&gt;0,OR($B$7="any",$B$7="fixed",AND($B$7="group",LEFT($A45,LEN($E$7)+1)=$E$7&amp;"（"),IFERROR(OR(ISNUMBER(FIND("|"&amp;$A45&amp;"|",$D$7)),AND(IFERROR(FIND("（",$A45),0)&gt;0,ISNUMBER(FIND("|"&amp;LEFT($A45,FIND("（",$A45)-1)&amp;"*|",$D$7)))),FALSE)))),ROW()-19,999)</f>
        <v>26</v>
      </c>
      <c r="AM45" t="str">
        <f ca="1">IFERROR(INDEX($A$20:$A$78,SMALL($AN$20:$AN$78,26)),"")</f>
        <v>说服</v>
      </c>
      <c r="AN45">
        <f ca="1">IF(AND($A45&lt;&gt;"",COUNTIF($A$20:A45,A45)=1,AND($A45&lt;&gt;"",$A45&lt;&gt;"非自然知识",COUNTIF($A$20:$A$78,$A45)&gt;0,OR($B$8="any",$B$8="fixed",AND($B$8="group",LEFT($A45,LEN($E$8)+1)=$E$8&amp;"（"),IFERROR(OR(ISNUMBER(FIND("|"&amp;$A45&amp;"|",$D$8)),AND(IFERROR(FIND("（",$A45),0)&gt;0,ISNUMBER(FIND("|"&amp;LEFT($A45,FIND("（",$A45)-1)&amp;"*|",$D$8)))),FALSE)))),ROW()-19,999)</f>
        <v>26</v>
      </c>
      <c r="AO45" t="str">
        <f ca="1">IFERROR(INDEX($A$20:$A$78,SMALL($AP$20:$AP$78,26)),"")</f>
        <v>说服</v>
      </c>
      <c r="AP45">
        <f ca="1">IF(AND($A45&lt;&gt;"",COUNTIF($A$20:A45,A45)=1,AND($A45&lt;&gt;"",$A45&lt;&gt;"非自然知识",COUNTIF($A$20:$A$78,$A45)&gt;0,OR($B$9="any",$B$9="fixed",AND($B$9="group",LEFT($A45,LEN($E$9)+1)=$E$9&amp;"（"),IFERROR(OR(ISNUMBER(FIND("|"&amp;$A45&amp;"|",$D$9)),AND(IFERROR(FIND("（",$A45),0)&gt;0,ISNUMBER(FIND("|"&amp;LEFT($A45,FIND("（",$A45)-1)&amp;"*|",$D$9)))),FALSE)))),ROW()-19,999)</f>
        <v>26</v>
      </c>
    </row>
    <row r="46" spans="1:42">
      <c r="A46" t="str">
        <f>人物卡!D40</f>
        <v>重型机械</v>
      </c>
      <c r="B46" t="str">
        <f t="shared" si="2"/>
        <v/>
      </c>
      <c r="C46">
        <f ca="1">IF(人物卡!V40="",N(人物卡!S40),N(人物卡!V40))</f>
        <v>10</v>
      </c>
      <c r="D46">
        <f ca="1">IF(AND(A46&lt;&gt;"",COUNTIF($A$20:A46,A46)=1),COUNTIF($H$2:$H$9,A46)*20,0)</f>
        <v>0</v>
      </c>
      <c r="E46">
        <f ca="1" t="shared" si="3"/>
        <v>0</v>
      </c>
      <c r="F46">
        <f ca="1">IF(AND(A46&lt;&gt;"",COUNTIF($A$20:A46,A46)=1),IF(A46="神秘学",IF(人物卡!$DF$46="人类不应知道之事",20,IF(OR(人物卡!$DF$46="极端暴力",人物卡!$DF$46="关押或入狱",人物卡!$DF$46="艰苦经历"),10,0)),0)+IF(人物卡!$DF$46="艰苦经历",COUNTIF($H$12:$H$16,A46)*10,0),0)</f>
        <v>0</v>
      </c>
      <c r="G46">
        <f ca="1">IF(人物卡!$DF$46="艰苦经历",MIN(F46,MAX(0,90-C46-E46)),MIN(F46,MAX(0,99-C46-E46)))</f>
        <v>0</v>
      </c>
      <c r="H46" t="str">
        <f ca="1" t="shared" si="4"/>
        <v/>
      </c>
      <c r="I46" t="str">
        <f ca="1" t="shared" si="5"/>
        <v/>
      </c>
      <c r="J46" t="s">
        <v>1355</v>
      </c>
      <c r="K46" t="s">
        <v>1362</v>
      </c>
      <c r="Y46">
        <f ca="1">IF(AND($A46&lt;&gt;"",COUNTIF($A$20:A46,A46)=1,$A46&lt;&gt;"非自然知识"),ROW()-19,999)</f>
        <v>27</v>
      </c>
      <c r="Z46" t="str">
        <f ca="1">IFERROR(INDEX($A$20:$A$78,SMALL($Y$20:$Y$78,27)),"")</f>
        <v>药学</v>
      </c>
      <c r="AA46" t="str">
        <f ca="1">IFERROR(INDEX($A$20:$A$78,SMALL($AB$20:$AB$78,27)),"")</f>
        <v>药学</v>
      </c>
      <c r="AB46">
        <f ca="1">IF(AND($A46&lt;&gt;"",COUNTIF($A$20:A46,A46)=1,AND($A46&lt;&gt;"",$A46&lt;&gt;"非自然知识",COUNTIF($A$20:$A$78,$A46)&gt;0,OR($B$2="any",$B$2="fixed",AND($B$2="group",LEFT($A46,LEN($E$2)+1)=$E$2&amp;"（"),IFERROR(OR(ISNUMBER(FIND("|"&amp;$A46&amp;"|",$D$2)),AND(IFERROR(FIND("（",$A46),0)&gt;0,ISNUMBER(FIND("|"&amp;LEFT($A46,FIND("（",$A46)-1)&amp;"*|",$D$2)))),FALSE)))),ROW()-19,999)</f>
        <v>27</v>
      </c>
      <c r="AC46" t="str">
        <f ca="1">IFERROR(INDEX($A$20:$A$78,SMALL($AD$20:$AD$78,27)),"")</f>
        <v>药学</v>
      </c>
      <c r="AD46">
        <f ca="1">IF(AND($A46&lt;&gt;"",COUNTIF($A$20:A46,A46)=1,AND($A46&lt;&gt;"",$A46&lt;&gt;"非自然知识",COUNTIF($A$20:$A$78,$A46)&gt;0,OR($B$3="any",$B$3="fixed",AND($B$3="group",LEFT($A46,LEN($E$3)+1)=$E$3&amp;"（"),IFERROR(OR(ISNUMBER(FIND("|"&amp;$A46&amp;"|",$D$3)),AND(IFERROR(FIND("（",$A46),0)&gt;0,ISNUMBER(FIND("|"&amp;LEFT($A46,FIND("（",$A46)-1)&amp;"*|",$D$3)))),FALSE)))),ROW()-19,999)</f>
        <v>27</v>
      </c>
      <c r="AE46" t="str">
        <f ca="1">IFERROR(INDEX($A$20:$A$78,SMALL($AF$20:$AF$78,27)),"")</f>
        <v>药学</v>
      </c>
      <c r="AF46">
        <f ca="1">IF(AND($A46&lt;&gt;"",COUNTIF($A$20:A46,A46)=1,AND($A46&lt;&gt;"",$A46&lt;&gt;"非自然知识",COUNTIF($A$20:$A$78,$A46)&gt;0,OR($B$4="any",$B$4="fixed",AND($B$4="group",LEFT($A46,LEN($E$4)+1)=$E$4&amp;"（"),IFERROR(OR(ISNUMBER(FIND("|"&amp;$A46&amp;"|",$D$4)),AND(IFERROR(FIND("（",$A46),0)&gt;0,ISNUMBER(FIND("|"&amp;LEFT($A46,FIND("（",$A46)-1)&amp;"*|",$D$4)))),FALSE)))),ROW()-19,999)</f>
        <v>27</v>
      </c>
      <c r="AG46" t="str">
        <f ca="1">IFERROR(INDEX($A$20:$A$78,SMALL($AH$20:$AH$78,27)),"")</f>
        <v>药学</v>
      </c>
      <c r="AH46">
        <f ca="1">IF(AND($A46&lt;&gt;"",COUNTIF($A$20:A46,A46)=1,AND($A46&lt;&gt;"",$A46&lt;&gt;"非自然知识",COUNTIF($A$20:$A$78,$A46)&gt;0,OR($B$5="any",$B$5="fixed",AND($B$5="group",LEFT($A46,LEN($E$5)+1)=$E$5&amp;"（"),IFERROR(OR(ISNUMBER(FIND("|"&amp;$A46&amp;"|",$D$5)),AND(IFERROR(FIND("（",$A46),0)&gt;0,ISNUMBER(FIND("|"&amp;LEFT($A46,FIND("（",$A46)-1)&amp;"*|",$D$5)))),FALSE)))),ROW()-19,999)</f>
        <v>27</v>
      </c>
      <c r="AI46" t="str">
        <f ca="1">IFERROR(INDEX($A$20:$A$78,SMALL($AJ$20:$AJ$78,27)),"")</f>
        <v>药学</v>
      </c>
      <c r="AJ46">
        <f ca="1">IF(AND($A46&lt;&gt;"",COUNTIF($A$20:A46,A46)=1,AND($A46&lt;&gt;"",$A46&lt;&gt;"非自然知识",COUNTIF($A$20:$A$78,$A46)&gt;0,OR($B$6="any",$B$6="fixed",AND($B$6="group",LEFT($A46,LEN($E$6)+1)=$E$6&amp;"（"),IFERROR(OR(ISNUMBER(FIND("|"&amp;$A46&amp;"|",$D$6)),AND(IFERROR(FIND("（",$A46),0)&gt;0,ISNUMBER(FIND("|"&amp;LEFT($A46,FIND("（",$A46)-1)&amp;"*|",$D$6)))),FALSE)))),ROW()-19,999)</f>
        <v>27</v>
      </c>
      <c r="AK46" t="str">
        <f ca="1">IFERROR(INDEX($A$20:$A$78,SMALL($AL$20:$AL$78,27)),"")</f>
        <v>药学</v>
      </c>
      <c r="AL46">
        <f ca="1">IF(AND($A46&lt;&gt;"",COUNTIF($A$20:A46,A46)=1,AND($A46&lt;&gt;"",$A46&lt;&gt;"非自然知识",COUNTIF($A$20:$A$78,$A46)&gt;0,OR($B$7="any",$B$7="fixed",AND($B$7="group",LEFT($A46,LEN($E$7)+1)=$E$7&amp;"（"),IFERROR(OR(ISNUMBER(FIND("|"&amp;$A46&amp;"|",$D$7)),AND(IFERROR(FIND("（",$A46),0)&gt;0,ISNUMBER(FIND("|"&amp;LEFT($A46,FIND("（",$A46)-1)&amp;"*|",$D$7)))),FALSE)))),ROW()-19,999)</f>
        <v>27</v>
      </c>
      <c r="AM46" t="str">
        <f ca="1">IFERROR(INDEX($A$20:$A$78,SMALL($AN$20:$AN$78,27)),"")</f>
        <v>药学</v>
      </c>
      <c r="AN46">
        <f ca="1">IF(AND($A46&lt;&gt;"",COUNTIF($A$20:A46,A46)=1,AND($A46&lt;&gt;"",$A46&lt;&gt;"非自然知识",COUNTIF($A$20:$A$78,$A46)&gt;0,OR($B$8="any",$B$8="fixed",AND($B$8="group",LEFT($A46,LEN($E$8)+1)=$E$8&amp;"（"),IFERROR(OR(ISNUMBER(FIND("|"&amp;$A46&amp;"|",$D$8)),AND(IFERROR(FIND("（",$A46),0)&gt;0,ISNUMBER(FIND("|"&amp;LEFT($A46,FIND("（",$A46)-1)&amp;"*|",$D$8)))),FALSE)))),ROW()-19,999)</f>
        <v>27</v>
      </c>
      <c r="AO46" t="str">
        <f ca="1">IFERROR(INDEX($A$20:$A$78,SMALL($AP$20:$AP$78,27)),"")</f>
        <v>药学</v>
      </c>
      <c r="AP46">
        <f ca="1">IF(AND($A46&lt;&gt;"",COUNTIF($A$20:A46,A46)=1,AND($A46&lt;&gt;"",$A46&lt;&gt;"非自然知识",COUNTIF($A$20:$A$78,$A46)&gt;0,OR($B$9="any",$B$9="fixed",AND($B$9="group",LEFT($A46,LEN($E$9)+1)=$E$9&amp;"（"),IFERROR(OR(ISNUMBER(FIND("|"&amp;$A46&amp;"|",$D$9)),AND(IFERROR(FIND("（",$A46),0)&gt;0,ISNUMBER(FIND("|"&amp;LEFT($A46,FIND("（",$A46)-1)&amp;"*|",$D$9)))),FALSE)))),ROW()-19,999)</f>
        <v>27</v>
      </c>
    </row>
    <row r="47" spans="1:42">
      <c r="A47" t="str">
        <f>人物卡!D41</f>
        <v>重型武器</v>
      </c>
      <c r="B47" t="str">
        <f t="shared" si="2"/>
        <v/>
      </c>
      <c r="C47">
        <f ca="1">IF(人物卡!V41="",N(人物卡!S41),N(人物卡!V41))</f>
        <v>0</v>
      </c>
      <c r="D47">
        <f ca="1">IF(AND(A47&lt;&gt;"",COUNTIF($A$20:A47,A47)=1),COUNTIF($H$2:$H$9,A47)*20,0)</f>
        <v>0</v>
      </c>
      <c r="E47">
        <f ca="1" t="shared" si="3"/>
        <v>0</v>
      </c>
      <c r="F47">
        <f ca="1">IF(AND(A47&lt;&gt;"",COUNTIF($A$20:A47,A47)=1),IF(A47="神秘学",IF(人物卡!$DF$46="人类不应知道之事",20,IF(OR(人物卡!$DF$46="极端暴力",人物卡!$DF$46="关押或入狱",人物卡!$DF$46="艰苦经历"),10,0)),0)+IF(人物卡!$DF$46="艰苦经历",COUNTIF($H$12:$H$16,A47)*10,0),0)</f>
        <v>0</v>
      </c>
      <c r="G47">
        <f ca="1">IF(人物卡!$DF$46="艰苦经历",MIN(F47,MAX(0,90-C47-E47)),MIN(F47,MAX(0,99-C47-E47)))</f>
        <v>0</v>
      </c>
      <c r="H47" t="str">
        <f ca="1" t="shared" si="4"/>
        <v/>
      </c>
      <c r="I47" t="str">
        <f ca="1" t="shared" si="5"/>
        <v/>
      </c>
      <c r="J47" t="s">
        <v>2295</v>
      </c>
      <c r="K47" t="s">
        <v>2296</v>
      </c>
      <c r="Y47">
        <f ca="1">IF(AND($A47&lt;&gt;"",COUNTIF($A$20:A47,A47)=1,$A47&lt;&gt;"非自然知识"),ROW()-19,999)</f>
        <v>28</v>
      </c>
      <c r="Z47" t="str">
        <f ca="1">IFERROR(INDEX($A$20:$A$78,SMALL($Y$20:$Y$78,28)),"")</f>
        <v>精神治疗</v>
      </c>
      <c r="AA47" t="str">
        <f ca="1">IFERROR(INDEX($A$20:$A$78,SMALL($AB$20:$AB$78,28)),"")</f>
        <v>精神治疗</v>
      </c>
      <c r="AB47">
        <f ca="1">IF(AND($A47&lt;&gt;"",COUNTIF($A$20:A47,A47)=1,AND($A47&lt;&gt;"",$A47&lt;&gt;"非自然知识",COUNTIF($A$20:$A$78,$A47)&gt;0,OR($B$2="any",$B$2="fixed",AND($B$2="group",LEFT($A47,LEN($E$2)+1)=$E$2&amp;"（"),IFERROR(OR(ISNUMBER(FIND("|"&amp;$A47&amp;"|",$D$2)),AND(IFERROR(FIND("（",$A47),0)&gt;0,ISNUMBER(FIND("|"&amp;LEFT($A47,FIND("（",$A47)-1)&amp;"*|",$D$2)))),FALSE)))),ROW()-19,999)</f>
        <v>28</v>
      </c>
      <c r="AC47" t="str">
        <f ca="1">IFERROR(INDEX($A$20:$A$78,SMALL($AD$20:$AD$78,28)),"")</f>
        <v>精神治疗</v>
      </c>
      <c r="AD47">
        <f ca="1">IF(AND($A47&lt;&gt;"",COUNTIF($A$20:A47,A47)=1,AND($A47&lt;&gt;"",$A47&lt;&gt;"非自然知识",COUNTIF($A$20:$A$78,$A47)&gt;0,OR($B$3="any",$B$3="fixed",AND($B$3="group",LEFT($A47,LEN($E$3)+1)=$E$3&amp;"（"),IFERROR(OR(ISNUMBER(FIND("|"&amp;$A47&amp;"|",$D$3)),AND(IFERROR(FIND("（",$A47),0)&gt;0,ISNUMBER(FIND("|"&amp;LEFT($A47,FIND("（",$A47)-1)&amp;"*|",$D$3)))),FALSE)))),ROW()-19,999)</f>
        <v>28</v>
      </c>
      <c r="AE47" t="str">
        <f ca="1">IFERROR(INDEX($A$20:$A$78,SMALL($AF$20:$AF$78,28)),"")</f>
        <v>精神治疗</v>
      </c>
      <c r="AF47">
        <f ca="1">IF(AND($A47&lt;&gt;"",COUNTIF($A$20:A47,A47)=1,AND($A47&lt;&gt;"",$A47&lt;&gt;"非自然知识",COUNTIF($A$20:$A$78,$A47)&gt;0,OR($B$4="any",$B$4="fixed",AND($B$4="group",LEFT($A47,LEN($E$4)+1)=$E$4&amp;"（"),IFERROR(OR(ISNUMBER(FIND("|"&amp;$A47&amp;"|",$D$4)),AND(IFERROR(FIND("（",$A47),0)&gt;0,ISNUMBER(FIND("|"&amp;LEFT($A47,FIND("（",$A47)-1)&amp;"*|",$D$4)))),FALSE)))),ROW()-19,999)</f>
        <v>28</v>
      </c>
      <c r="AG47" t="str">
        <f ca="1">IFERROR(INDEX($A$20:$A$78,SMALL($AH$20:$AH$78,28)),"")</f>
        <v>精神治疗</v>
      </c>
      <c r="AH47">
        <f ca="1">IF(AND($A47&lt;&gt;"",COUNTIF($A$20:A47,A47)=1,AND($A47&lt;&gt;"",$A47&lt;&gt;"非自然知识",COUNTIF($A$20:$A$78,$A47)&gt;0,OR($B$5="any",$B$5="fixed",AND($B$5="group",LEFT($A47,LEN($E$5)+1)=$E$5&amp;"（"),IFERROR(OR(ISNUMBER(FIND("|"&amp;$A47&amp;"|",$D$5)),AND(IFERROR(FIND("（",$A47),0)&gt;0,ISNUMBER(FIND("|"&amp;LEFT($A47,FIND("（",$A47)-1)&amp;"*|",$D$5)))),FALSE)))),ROW()-19,999)</f>
        <v>28</v>
      </c>
      <c r="AI47" t="str">
        <f ca="1">IFERROR(INDEX($A$20:$A$78,SMALL($AJ$20:$AJ$78,28)),"")</f>
        <v>精神治疗</v>
      </c>
      <c r="AJ47">
        <f ca="1">IF(AND($A47&lt;&gt;"",COUNTIF($A$20:A47,A47)=1,AND($A47&lt;&gt;"",$A47&lt;&gt;"非自然知识",COUNTIF($A$20:$A$78,$A47)&gt;0,OR($B$6="any",$B$6="fixed",AND($B$6="group",LEFT($A47,LEN($E$6)+1)=$E$6&amp;"（"),IFERROR(OR(ISNUMBER(FIND("|"&amp;$A47&amp;"|",$D$6)),AND(IFERROR(FIND("（",$A47),0)&gt;0,ISNUMBER(FIND("|"&amp;LEFT($A47,FIND("（",$A47)-1)&amp;"*|",$D$6)))),FALSE)))),ROW()-19,999)</f>
        <v>28</v>
      </c>
      <c r="AK47" t="str">
        <f ca="1">IFERROR(INDEX($A$20:$A$78,SMALL($AL$20:$AL$78,28)),"")</f>
        <v>精神治疗</v>
      </c>
      <c r="AL47">
        <f ca="1">IF(AND($A47&lt;&gt;"",COUNTIF($A$20:A47,A47)=1,AND($A47&lt;&gt;"",$A47&lt;&gt;"非自然知识",COUNTIF($A$20:$A$78,$A47)&gt;0,OR($B$7="any",$B$7="fixed",AND($B$7="group",LEFT($A47,LEN($E$7)+1)=$E$7&amp;"（"),IFERROR(OR(ISNUMBER(FIND("|"&amp;$A47&amp;"|",$D$7)),AND(IFERROR(FIND("（",$A47),0)&gt;0,ISNUMBER(FIND("|"&amp;LEFT($A47,FIND("（",$A47)-1)&amp;"*|",$D$7)))),FALSE)))),ROW()-19,999)</f>
        <v>28</v>
      </c>
      <c r="AM47" t="str">
        <f ca="1">IFERROR(INDEX($A$20:$A$78,SMALL($AN$20:$AN$78,28)),"")</f>
        <v>精神治疗</v>
      </c>
      <c r="AN47">
        <f ca="1">IF(AND($A47&lt;&gt;"",COUNTIF($A$20:A47,A47)=1,AND($A47&lt;&gt;"",$A47&lt;&gt;"非自然知识",COUNTIF($A$20:$A$78,$A47)&gt;0,OR($B$8="any",$B$8="fixed",AND($B$8="group",LEFT($A47,LEN($E$8)+1)=$E$8&amp;"（"),IFERROR(OR(ISNUMBER(FIND("|"&amp;$A47&amp;"|",$D$8)),AND(IFERROR(FIND("（",$A47),0)&gt;0,ISNUMBER(FIND("|"&amp;LEFT($A47,FIND("（",$A47)-1)&amp;"*|",$D$8)))),FALSE)))),ROW()-19,999)</f>
        <v>28</v>
      </c>
      <c r="AO47" t="str">
        <f ca="1">IFERROR(INDEX($A$20:$A$78,SMALL($AP$20:$AP$78,28)),"")</f>
        <v>精神治疗</v>
      </c>
      <c r="AP47">
        <f ca="1">IF(AND($A47&lt;&gt;"",COUNTIF($A$20:A47,A47)=1,AND($A47&lt;&gt;"",$A47&lt;&gt;"非自然知识",COUNTIF($A$20:$A$78,$A47)&gt;0,OR($B$9="any",$B$9="fixed",AND($B$9="group",LEFT($A47,LEN($E$9)+1)=$E$9&amp;"（"),IFERROR(OR(ISNUMBER(FIND("|"&amp;$A47&amp;"|",$D$9)),AND(IFERROR(FIND("（",$A47),0)&gt;0,ISNUMBER(FIND("|"&amp;LEFT($A47,FIND("（",$A47)-1)&amp;"*|",$D$9)))),FALSE)))),ROW()-19,999)</f>
        <v>28</v>
      </c>
    </row>
    <row r="48" spans="1:42">
      <c r="A48" t="str">
        <f>人物卡!D42</f>
        <v>历史</v>
      </c>
      <c r="B48" t="str">
        <f t="shared" si="2"/>
        <v/>
      </c>
      <c r="C48">
        <f ca="1">IF(人物卡!V42="",N(人物卡!S42),N(人物卡!V42))</f>
        <v>10</v>
      </c>
      <c r="D48">
        <f ca="1">IF(AND(A48&lt;&gt;"",COUNTIF($A$20:A48,A48)=1),COUNTIF($H$2:$H$9,A48)*20,0)</f>
        <v>0</v>
      </c>
      <c r="E48">
        <f ca="1" t="shared" si="3"/>
        <v>0</v>
      </c>
      <c r="F48">
        <f ca="1">IF(AND(A48&lt;&gt;"",COUNTIF($A$20:A48,A48)=1),IF(A48="神秘学",IF(人物卡!$DF$46="人类不应知道之事",20,IF(OR(人物卡!$DF$46="极端暴力",人物卡!$DF$46="关押或入狱",人物卡!$DF$46="艰苦经历"),10,0)),0)+IF(人物卡!$DF$46="艰苦经历",COUNTIF($H$12:$H$16,A48)*10,0),0)</f>
        <v>0</v>
      </c>
      <c r="G48">
        <f ca="1">IF(人物卡!$DF$46="艰苦经历",MIN(F48,MAX(0,90-C48-E48)),MIN(F48,MAX(0,99-C48-E48)))</f>
        <v>0</v>
      </c>
      <c r="H48" t="str">
        <f ca="1" t="shared" si="4"/>
        <v/>
      </c>
      <c r="I48" t="str">
        <f ca="1" t="shared" si="5"/>
        <v/>
      </c>
      <c r="J48" t="s">
        <v>2297</v>
      </c>
      <c r="K48" t="s">
        <v>2298</v>
      </c>
      <c r="Y48">
        <f ca="1">IF(AND($A48&lt;&gt;"",COUNTIF($A$20:A48,A48)=1,$A48&lt;&gt;"非自然知识"),ROW()-19,999)</f>
        <v>29</v>
      </c>
      <c r="Z48" t="str">
        <f ca="1">IFERROR(INDEX($A$20:$A$78,SMALL($Y$20:$Y$78,29)),"")</f>
        <v>骑术</v>
      </c>
      <c r="AA48" t="str">
        <f ca="1">IFERROR(INDEX($A$20:$A$78,SMALL($AB$20:$AB$78,29)),"")</f>
        <v>骑术</v>
      </c>
      <c r="AB48">
        <f ca="1">IF(AND($A48&lt;&gt;"",COUNTIF($A$20:A48,A48)=1,AND($A48&lt;&gt;"",$A48&lt;&gt;"非自然知识",COUNTIF($A$20:$A$78,$A48)&gt;0,OR($B$2="any",$B$2="fixed",AND($B$2="group",LEFT($A48,LEN($E$2)+1)=$E$2&amp;"（"),IFERROR(OR(ISNUMBER(FIND("|"&amp;$A48&amp;"|",$D$2)),AND(IFERROR(FIND("（",$A48),0)&gt;0,ISNUMBER(FIND("|"&amp;LEFT($A48,FIND("（",$A48)-1)&amp;"*|",$D$2)))),FALSE)))),ROW()-19,999)</f>
        <v>29</v>
      </c>
      <c r="AC48" t="str">
        <f ca="1">IFERROR(INDEX($A$20:$A$78,SMALL($AD$20:$AD$78,29)),"")</f>
        <v>骑术</v>
      </c>
      <c r="AD48">
        <f ca="1">IF(AND($A48&lt;&gt;"",COUNTIF($A$20:A48,A48)=1,AND($A48&lt;&gt;"",$A48&lt;&gt;"非自然知识",COUNTIF($A$20:$A$78,$A48)&gt;0,OR($B$3="any",$B$3="fixed",AND($B$3="group",LEFT($A48,LEN($E$3)+1)=$E$3&amp;"（"),IFERROR(OR(ISNUMBER(FIND("|"&amp;$A48&amp;"|",$D$3)),AND(IFERROR(FIND("（",$A48),0)&gt;0,ISNUMBER(FIND("|"&amp;LEFT($A48,FIND("（",$A48)-1)&amp;"*|",$D$3)))),FALSE)))),ROW()-19,999)</f>
        <v>29</v>
      </c>
      <c r="AE48" t="str">
        <f ca="1">IFERROR(INDEX($A$20:$A$78,SMALL($AF$20:$AF$78,29)),"")</f>
        <v>骑术</v>
      </c>
      <c r="AF48">
        <f ca="1">IF(AND($A48&lt;&gt;"",COUNTIF($A$20:A48,A48)=1,AND($A48&lt;&gt;"",$A48&lt;&gt;"非自然知识",COUNTIF($A$20:$A$78,$A48)&gt;0,OR($B$4="any",$B$4="fixed",AND($B$4="group",LEFT($A48,LEN($E$4)+1)=$E$4&amp;"（"),IFERROR(OR(ISNUMBER(FIND("|"&amp;$A48&amp;"|",$D$4)),AND(IFERROR(FIND("（",$A48),0)&gt;0,ISNUMBER(FIND("|"&amp;LEFT($A48,FIND("（",$A48)-1)&amp;"*|",$D$4)))),FALSE)))),ROW()-19,999)</f>
        <v>29</v>
      </c>
      <c r="AG48" t="str">
        <f ca="1">IFERROR(INDEX($A$20:$A$78,SMALL($AH$20:$AH$78,29)),"")</f>
        <v>骑术</v>
      </c>
      <c r="AH48">
        <f ca="1">IF(AND($A48&lt;&gt;"",COUNTIF($A$20:A48,A48)=1,AND($A48&lt;&gt;"",$A48&lt;&gt;"非自然知识",COUNTIF($A$20:$A$78,$A48)&gt;0,OR($B$5="any",$B$5="fixed",AND($B$5="group",LEFT($A48,LEN($E$5)+1)=$E$5&amp;"（"),IFERROR(OR(ISNUMBER(FIND("|"&amp;$A48&amp;"|",$D$5)),AND(IFERROR(FIND("（",$A48),0)&gt;0,ISNUMBER(FIND("|"&amp;LEFT($A48,FIND("（",$A48)-1)&amp;"*|",$D$5)))),FALSE)))),ROW()-19,999)</f>
        <v>29</v>
      </c>
      <c r="AI48" t="str">
        <f ca="1">IFERROR(INDEX($A$20:$A$78,SMALL($AJ$20:$AJ$78,29)),"")</f>
        <v>骑术</v>
      </c>
      <c r="AJ48">
        <f ca="1">IF(AND($A48&lt;&gt;"",COUNTIF($A$20:A48,A48)=1,AND($A48&lt;&gt;"",$A48&lt;&gt;"非自然知识",COUNTIF($A$20:$A$78,$A48)&gt;0,OR($B$6="any",$B$6="fixed",AND($B$6="group",LEFT($A48,LEN($E$6)+1)=$E$6&amp;"（"),IFERROR(OR(ISNUMBER(FIND("|"&amp;$A48&amp;"|",$D$6)),AND(IFERROR(FIND("（",$A48),0)&gt;0,ISNUMBER(FIND("|"&amp;LEFT($A48,FIND("（",$A48)-1)&amp;"*|",$D$6)))),FALSE)))),ROW()-19,999)</f>
        <v>29</v>
      </c>
      <c r="AK48" t="str">
        <f ca="1">IFERROR(INDEX($A$20:$A$78,SMALL($AL$20:$AL$78,29)),"")</f>
        <v>骑术</v>
      </c>
      <c r="AL48">
        <f ca="1">IF(AND($A48&lt;&gt;"",COUNTIF($A$20:A48,A48)=1,AND($A48&lt;&gt;"",$A48&lt;&gt;"非自然知识",COUNTIF($A$20:$A$78,$A48)&gt;0,OR($B$7="any",$B$7="fixed",AND($B$7="group",LEFT($A48,LEN($E$7)+1)=$E$7&amp;"（"),IFERROR(OR(ISNUMBER(FIND("|"&amp;$A48&amp;"|",$D$7)),AND(IFERROR(FIND("（",$A48),0)&gt;0,ISNUMBER(FIND("|"&amp;LEFT($A48,FIND("（",$A48)-1)&amp;"*|",$D$7)))),FALSE)))),ROW()-19,999)</f>
        <v>29</v>
      </c>
      <c r="AM48" t="str">
        <f ca="1">IFERROR(INDEX($A$20:$A$78,SMALL($AN$20:$AN$78,29)),"")</f>
        <v>骑术</v>
      </c>
      <c r="AN48">
        <f ca="1">IF(AND($A48&lt;&gt;"",COUNTIF($A$20:A48,A48)=1,AND($A48&lt;&gt;"",$A48&lt;&gt;"非自然知识",COUNTIF($A$20:$A$78,$A48)&gt;0,OR($B$8="any",$B$8="fixed",AND($B$8="group",LEFT($A48,LEN($E$8)+1)=$E$8&amp;"（"),IFERROR(OR(ISNUMBER(FIND("|"&amp;$A48&amp;"|",$D$8)),AND(IFERROR(FIND("（",$A48),0)&gt;0,ISNUMBER(FIND("|"&amp;LEFT($A48,FIND("（",$A48)-1)&amp;"*|",$D$8)))),FALSE)))),ROW()-19,999)</f>
        <v>29</v>
      </c>
      <c r="AO48" t="str">
        <f ca="1">IFERROR(INDEX($A$20:$A$78,SMALL($AP$20:$AP$78,29)),"")</f>
        <v>骑术</v>
      </c>
      <c r="AP48">
        <f ca="1">IF(AND($A48&lt;&gt;"",COUNTIF($A$20:A48,A48)=1,AND($A48&lt;&gt;"",$A48&lt;&gt;"非自然知识",COUNTIF($A$20:$A$78,$A48)&gt;0,OR($B$9="any",$B$9="fixed",AND($B$9="group",LEFT($A48,LEN($E$9)+1)=$E$9&amp;"（"),IFERROR(OR(ISNUMBER(FIND("|"&amp;$A48&amp;"|",$D$9)),AND(IFERROR(FIND("（",$A48),0)&gt;0,ISNUMBER(FIND("|"&amp;LEFT($A48,FIND("（",$A48)-1)&amp;"*|",$D$9)))),FALSE)))),ROW()-19,999)</f>
        <v>29</v>
      </c>
    </row>
    <row r="49" spans="1:42">
      <c r="A49" t="str">
        <f>人物卡!D43</f>
        <v>人源情报</v>
      </c>
      <c r="B49" t="str">
        <f t="shared" si="2"/>
        <v/>
      </c>
      <c r="C49">
        <f ca="1">IF(人物卡!V43="",N(人物卡!S43),N(人物卡!V43))</f>
        <v>10</v>
      </c>
      <c r="D49">
        <f ca="1">IF(AND(A49&lt;&gt;"",COUNTIF($A$20:A49,A49)=1),COUNTIF($H$2:$H$9,A49)*20,0)</f>
        <v>0</v>
      </c>
      <c r="E49">
        <f ca="1" t="shared" si="3"/>
        <v>0</v>
      </c>
      <c r="F49">
        <f ca="1">IF(AND(A49&lt;&gt;"",COUNTIF($A$20:A49,A49)=1),IF(A49="神秘学",IF(人物卡!$DF$46="人类不应知道之事",20,IF(OR(人物卡!$DF$46="极端暴力",人物卡!$DF$46="关押或入狱",人物卡!$DF$46="艰苦经历"),10,0)),0)+IF(人物卡!$DF$46="艰苦经历",COUNTIF($H$12:$H$16,A49)*10,0),0)</f>
        <v>0</v>
      </c>
      <c r="G49">
        <f ca="1">IF(人物卡!$DF$46="艰苦经历",MIN(F49,MAX(0,90-C49-E49)),MIN(F49,MAX(0,99-C49-E49)))</f>
        <v>0</v>
      </c>
      <c r="H49" t="str">
        <f ca="1" t="shared" si="4"/>
        <v/>
      </c>
      <c r="I49" t="str">
        <f ca="1" t="shared" si="5"/>
        <v/>
      </c>
      <c r="J49" t="s">
        <v>1381</v>
      </c>
      <c r="K49" t="s">
        <v>1388</v>
      </c>
      <c r="Y49">
        <f ca="1">IF(AND($A49&lt;&gt;"",COUNTIF($A$20:A49,A49)=1,$A49&lt;&gt;"非自然知识"),ROW()-19,999)</f>
        <v>30</v>
      </c>
      <c r="Z49" t="str">
        <f ca="1">IFERROR(INDEX($A$20:$A$78,SMALL($Y$20:$Y$78,30)),"")</f>
        <v>搜寻</v>
      </c>
      <c r="AA49" t="str">
        <f ca="1">IFERROR(INDEX($A$20:$A$78,SMALL($AB$20:$AB$78,30)),"")</f>
        <v>搜寻</v>
      </c>
      <c r="AB49">
        <f ca="1">IF(AND($A49&lt;&gt;"",COUNTIF($A$20:A49,A49)=1,AND($A49&lt;&gt;"",$A49&lt;&gt;"非自然知识",COUNTIF($A$20:$A$78,$A49)&gt;0,OR($B$2="any",$B$2="fixed",AND($B$2="group",LEFT($A49,LEN($E$2)+1)=$E$2&amp;"（"),IFERROR(OR(ISNUMBER(FIND("|"&amp;$A49&amp;"|",$D$2)),AND(IFERROR(FIND("（",$A49),0)&gt;0,ISNUMBER(FIND("|"&amp;LEFT($A49,FIND("（",$A49)-1)&amp;"*|",$D$2)))),FALSE)))),ROW()-19,999)</f>
        <v>30</v>
      </c>
      <c r="AC49" t="str">
        <f ca="1">IFERROR(INDEX($A$20:$A$78,SMALL($AD$20:$AD$78,30)),"")</f>
        <v>搜寻</v>
      </c>
      <c r="AD49">
        <f ca="1">IF(AND($A49&lt;&gt;"",COUNTIF($A$20:A49,A49)=1,AND($A49&lt;&gt;"",$A49&lt;&gt;"非自然知识",COUNTIF($A$20:$A$78,$A49)&gt;0,OR($B$3="any",$B$3="fixed",AND($B$3="group",LEFT($A49,LEN($E$3)+1)=$E$3&amp;"（"),IFERROR(OR(ISNUMBER(FIND("|"&amp;$A49&amp;"|",$D$3)),AND(IFERROR(FIND("（",$A49),0)&gt;0,ISNUMBER(FIND("|"&amp;LEFT($A49,FIND("（",$A49)-1)&amp;"*|",$D$3)))),FALSE)))),ROW()-19,999)</f>
        <v>30</v>
      </c>
      <c r="AE49" t="str">
        <f ca="1">IFERROR(INDEX($A$20:$A$78,SMALL($AF$20:$AF$78,30)),"")</f>
        <v>搜寻</v>
      </c>
      <c r="AF49">
        <f ca="1">IF(AND($A49&lt;&gt;"",COUNTIF($A$20:A49,A49)=1,AND($A49&lt;&gt;"",$A49&lt;&gt;"非自然知识",COUNTIF($A$20:$A$78,$A49)&gt;0,OR($B$4="any",$B$4="fixed",AND($B$4="group",LEFT($A49,LEN($E$4)+1)=$E$4&amp;"（"),IFERROR(OR(ISNUMBER(FIND("|"&amp;$A49&amp;"|",$D$4)),AND(IFERROR(FIND("（",$A49),0)&gt;0,ISNUMBER(FIND("|"&amp;LEFT($A49,FIND("（",$A49)-1)&amp;"*|",$D$4)))),FALSE)))),ROW()-19,999)</f>
        <v>30</v>
      </c>
      <c r="AG49" t="str">
        <f ca="1">IFERROR(INDEX($A$20:$A$78,SMALL($AH$20:$AH$78,30)),"")</f>
        <v>搜寻</v>
      </c>
      <c r="AH49">
        <f ca="1">IF(AND($A49&lt;&gt;"",COUNTIF($A$20:A49,A49)=1,AND($A49&lt;&gt;"",$A49&lt;&gt;"非自然知识",COUNTIF($A$20:$A$78,$A49)&gt;0,OR($B$5="any",$B$5="fixed",AND($B$5="group",LEFT($A49,LEN($E$5)+1)=$E$5&amp;"（"),IFERROR(OR(ISNUMBER(FIND("|"&amp;$A49&amp;"|",$D$5)),AND(IFERROR(FIND("（",$A49),0)&gt;0,ISNUMBER(FIND("|"&amp;LEFT($A49,FIND("（",$A49)-1)&amp;"*|",$D$5)))),FALSE)))),ROW()-19,999)</f>
        <v>30</v>
      </c>
      <c r="AI49" t="str">
        <f ca="1">IFERROR(INDEX($A$20:$A$78,SMALL($AJ$20:$AJ$78,30)),"")</f>
        <v>搜寻</v>
      </c>
      <c r="AJ49">
        <f ca="1">IF(AND($A49&lt;&gt;"",COUNTIF($A$20:A49,A49)=1,AND($A49&lt;&gt;"",$A49&lt;&gt;"非自然知识",COUNTIF($A$20:$A$78,$A49)&gt;0,OR($B$6="any",$B$6="fixed",AND($B$6="group",LEFT($A49,LEN($E$6)+1)=$E$6&amp;"（"),IFERROR(OR(ISNUMBER(FIND("|"&amp;$A49&amp;"|",$D$6)),AND(IFERROR(FIND("（",$A49),0)&gt;0,ISNUMBER(FIND("|"&amp;LEFT($A49,FIND("（",$A49)-1)&amp;"*|",$D$6)))),FALSE)))),ROW()-19,999)</f>
        <v>30</v>
      </c>
      <c r="AK49" t="str">
        <f ca="1">IFERROR(INDEX($A$20:$A$78,SMALL($AL$20:$AL$78,30)),"")</f>
        <v>搜寻</v>
      </c>
      <c r="AL49">
        <f ca="1">IF(AND($A49&lt;&gt;"",COUNTIF($A$20:A49,A49)=1,AND($A49&lt;&gt;"",$A49&lt;&gt;"非自然知识",COUNTIF($A$20:$A$78,$A49)&gt;0,OR($B$7="any",$B$7="fixed",AND($B$7="group",LEFT($A49,LEN($E$7)+1)=$E$7&amp;"（"),IFERROR(OR(ISNUMBER(FIND("|"&amp;$A49&amp;"|",$D$7)),AND(IFERROR(FIND("（",$A49),0)&gt;0,ISNUMBER(FIND("|"&amp;LEFT($A49,FIND("（",$A49)-1)&amp;"*|",$D$7)))),FALSE)))),ROW()-19,999)</f>
        <v>30</v>
      </c>
      <c r="AM49" t="str">
        <f ca="1">IFERROR(INDEX($A$20:$A$78,SMALL($AN$20:$AN$78,30)),"")</f>
        <v>搜寻</v>
      </c>
      <c r="AN49">
        <f ca="1">IF(AND($A49&lt;&gt;"",COUNTIF($A$20:A49,A49)=1,AND($A49&lt;&gt;"",$A49&lt;&gt;"非自然知识",COUNTIF($A$20:$A$78,$A49)&gt;0,OR($B$8="any",$B$8="fixed",AND($B$8="group",LEFT($A49,LEN($E$8)+1)=$E$8&amp;"（"),IFERROR(OR(ISNUMBER(FIND("|"&amp;$A49&amp;"|",$D$8)),AND(IFERROR(FIND("（",$A49),0)&gt;0,ISNUMBER(FIND("|"&amp;LEFT($A49,FIND("（",$A49)-1)&amp;"*|",$D$8)))),FALSE)))),ROW()-19,999)</f>
        <v>30</v>
      </c>
      <c r="AO49" t="str">
        <f ca="1">IFERROR(INDEX($A$20:$A$78,SMALL($AP$20:$AP$78,30)),"")</f>
        <v>搜寻</v>
      </c>
      <c r="AP49">
        <f ca="1">IF(AND($A49&lt;&gt;"",COUNTIF($A$20:A49,A49)=1,AND($A49&lt;&gt;"",$A49&lt;&gt;"非自然知识",COUNTIF($A$20:$A$78,$A49)&gt;0,OR($B$9="any",$B$9="fixed",AND($B$9="group",LEFT($A49,LEN($E$9)+1)=$E$9&amp;"（"),IFERROR(OR(ISNUMBER(FIND("|"&amp;$A49&amp;"|",$D$9)),AND(IFERROR(FIND("（",$A49),0)&gt;0,ISNUMBER(FIND("|"&amp;LEFT($A49,FIND("（",$A49)-1)&amp;"*|",$D$9)))),FALSE)))),ROW()-19,999)</f>
        <v>30</v>
      </c>
    </row>
    <row r="50" spans="1:42">
      <c r="A50" t="str">
        <f>人物卡!AG14</f>
        <v>法律</v>
      </c>
      <c r="B50" t="str">
        <f t="shared" si="2"/>
        <v/>
      </c>
      <c r="C50">
        <f ca="1">IF(人物卡!AY14="",N(人物卡!AV14),N(人物卡!AY14))</f>
        <v>0</v>
      </c>
      <c r="D50">
        <f ca="1">IF(AND(A50&lt;&gt;"",COUNTIF($A$20:A50,A50)=1),COUNTIF($H$2:$H$9,A50)*20,0)</f>
        <v>0</v>
      </c>
      <c r="E50">
        <f ca="1" t="shared" si="3"/>
        <v>0</v>
      </c>
      <c r="F50">
        <f ca="1">IF(AND(A50&lt;&gt;"",COUNTIF($A$20:A50,A50)=1),IF(A50="神秘学",IF(人物卡!$DF$46="人类不应知道之事",20,IF(OR(人物卡!$DF$46="极端暴力",人物卡!$DF$46="关押或入狱",人物卡!$DF$46="艰苦经历"),10,0)),0)+IF(人物卡!$DF$46="艰苦经历",COUNTIF($H$12:$H$16,A50)*10,0),0)</f>
        <v>0</v>
      </c>
      <c r="G50">
        <f ca="1">IF(人物卡!$DF$46="艰苦经历",MIN(F50,MAX(0,90-C50-E50)),MIN(F50,MAX(0,99-C50-E50)))</f>
        <v>0</v>
      </c>
      <c r="H50" t="str">
        <f ca="1" t="shared" si="4"/>
        <v/>
      </c>
      <c r="I50" t="str">
        <f ca="1" t="shared" si="5"/>
        <v/>
      </c>
      <c r="J50" t="s">
        <v>2299</v>
      </c>
      <c r="K50" t="s">
        <v>2300</v>
      </c>
      <c r="Y50">
        <f ca="1">IF(AND($A50&lt;&gt;"",COUNTIF($A$20:A50,A50)=1,$A50&lt;&gt;"非自然知识"),ROW()-19,999)</f>
        <v>31</v>
      </c>
      <c r="Z50" t="str">
        <f ca="1">IFERROR(INDEX($A$20:$A$78,SMALL($Y$20:$Y$78,31)),"")</f>
        <v>信号情报</v>
      </c>
      <c r="AA50" t="str">
        <f ca="1">IFERROR(INDEX($A$20:$A$78,SMALL($AB$20:$AB$78,31)),"")</f>
        <v>信号情报</v>
      </c>
      <c r="AB50">
        <f ca="1">IF(AND($A50&lt;&gt;"",COUNTIF($A$20:A50,A50)=1,AND($A50&lt;&gt;"",$A50&lt;&gt;"非自然知识",COUNTIF($A$20:$A$78,$A50)&gt;0,OR($B$2="any",$B$2="fixed",AND($B$2="group",LEFT($A50,LEN($E$2)+1)=$E$2&amp;"（"),IFERROR(OR(ISNUMBER(FIND("|"&amp;$A50&amp;"|",$D$2)),AND(IFERROR(FIND("（",$A50),0)&gt;0,ISNUMBER(FIND("|"&amp;LEFT($A50,FIND("（",$A50)-1)&amp;"*|",$D$2)))),FALSE)))),ROW()-19,999)</f>
        <v>31</v>
      </c>
      <c r="AC50" t="str">
        <f ca="1">IFERROR(INDEX($A$20:$A$78,SMALL($AD$20:$AD$78,31)),"")</f>
        <v>信号情报</v>
      </c>
      <c r="AD50">
        <f ca="1">IF(AND($A50&lt;&gt;"",COUNTIF($A$20:A50,A50)=1,AND($A50&lt;&gt;"",$A50&lt;&gt;"非自然知识",COUNTIF($A$20:$A$78,$A50)&gt;0,OR($B$3="any",$B$3="fixed",AND($B$3="group",LEFT($A50,LEN($E$3)+1)=$E$3&amp;"（"),IFERROR(OR(ISNUMBER(FIND("|"&amp;$A50&amp;"|",$D$3)),AND(IFERROR(FIND("（",$A50),0)&gt;0,ISNUMBER(FIND("|"&amp;LEFT($A50,FIND("（",$A50)-1)&amp;"*|",$D$3)))),FALSE)))),ROW()-19,999)</f>
        <v>31</v>
      </c>
      <c r="AE50" t="str">
        <f ca="1">IFERROR(INDEX($A$20:$A$78,SMALL($AF$20:$AF$78,31)),"")</f>
        <v>信号情报</v>
      </c>
      <c r="AF50">
        <f ca="1">IF(AND($A50&lt;&gt;"",COUNTIF($A$20:A50,A50)=1,AND($A50&lt;&gt;"",$A50&lt;&gt;"非自然知识",COUNTIF($A$20:$A$78,$A50)&gt;0,OR($B$4="any",$B$4="fixed",AND($B$4="group",LEFT($A50,LEN($E$4)+1)=$E$4&amp;"（"),IFERROR(OR(ISNUMBER(FIND("|"&amp;$A50&amp;"|",$D$4)),AND(IFERROR(FIND("（",$A50),0)&gt;0,ISNUMBER(FIND("|"&amp;LEFT($A50,FIND("（",$A50)-1)&amp;"*|",$D$4)))),FALSE)))),ROW()-19,999)</f>
        <v>31</v>
      </c>
      <c r="AG50" t="str">
        <f ca="1">IFERROR(INDEX($A$20:$A$78,SMALL($AH$20:$AH$78,31)),"")</f>
        <v>信号情报</v>
      </c>
      <c r="AH50">
        <f ca="1">IF(AND($A50&lt;&gt;"",COUNTIF($A$20:A50,A50)=1,AND($A50&lt;&gt;"",$A50&lt;&gt;"非自然知识",COUNTIF($A$20:$A$78,$A50)&gt;0,OR($B$5="any",$B$5="fixed",AND($B$5="group",LEFT($A50,LEN($E$5)+1)=$E$5&amp;"（"),IFERROR(OR(ISNUMBER(FIND("|"&amp;$A50&amp;"|",$D$5)),AND(IFERROR(FIND("（",$A50),0)&gt;0,ISNUMBER(FIND("|"&amp;LEFT($A50,FIND("（",$A50)-1)&amp;"*|",$D$5)))),FALSE)))),ROW()-19,999)</f>
        <v>31</v>
      </c>
      <c r="AI50" t="str">
        <f ca="1">IFERROR(INDEX($A$20:$A$78,SMALL($AJ$20:$AJ$78,31)),"")</f>
        <v>信号情报</v>
      </c>
      <c r="AJ50">
        <f ca="1">IF(AND($A50&lt;&gt;"",COUNTIF($A$20:A50,A50)=1,AND($A50&lt;&gt;"",$A50&lt;&gt;"非自然知识",COUNTIF($A$20:$A$78,$A50)&gt;0,OR($B$6="any",$B$6="fixed",AND($B$6="group",LEFT($A50,LEN($E$6)+1)=$E$6&amp;"（"),IFERROR(OR(ISNUMBER(FIND("|"&amp;$A50&amp;"|",$D$6)),AND(IFERROR(FIND("（",$A50),0)&gt;0,ISNUMBER(FIND("|"&amp;LEFT($A50,FIND("（",$A50)-1)&amp;"*|",$D$6)))),FALSE)))),ROW()-19,999)</f>
        <v>31</v>
      </c>
      <c r="AK50" t="str">
        <f ca="1">IFERROR(INDEX($A$20:$A$78,SMALL($AL$20:$AL$78,31)),"")</f>
        <v>信号情报</v>
      </c>
      <c r="AL50">
        <f ca="1">IF(AND($A50&lt;&gt;"",COUNTIF($A$20:A50,A50)=1,AND($A50&lt;&gt;"",$A50&lt;&gt;"非自然知识",COUNTIF($A$20:$A$78,$A50)&gt;0,OR($B$7="any",$B$7="fixed",AND($B$7="group",LEFT($A50,LEN($E$7)+1)=$E$7&amp;"（"),IFERROR(OR(ISNUMBER(FIND("|"&amp;$A50&amp;"|",$D$7)),AND(IFERROR(FIND("（",$A50),0)&gt;0,ISNUMBER(FIND("|"&amp;LEFT($A50,FIND("（",$A50)-1)&amp;"*|",$D$7)))),FALSE)))),ROW()-19,999)</f>
        <v>31</v>
      </c>
      <c r="AM50" t="str">
        <f ca="1">IFERROR(INDEX($A$20:$A$78,SMALL($AN$20:$AN$78,31)),"")</f>
        <v>信号情报</v>
      </c>
      <c r="AN50">
        <f ca="1">IF(AND($A50&lt;&gt;"",COUNTIF($A$20:A50,A50)=1,AND($A50&lt;&gt;"",$A50&lt;&gt;"非自然知识",COUNTIF($A$20:$A$78,$A50)&gt;0,OR($B$8="any",$B$8="fixed",AND($B$8="group",LEFT($A50,LEN($E$8)+1)=$E$8&amp;"（"),IFERROR(OR(ISNUMBER(FIND("|"&amp;$A50&amp;"|",$D$8)),AND(IFERROR(FIND("（",$A50),0)&gt;0,ISNUMBER(FIND("|"&amp;LEFT($A50,FIND("（",$A50)-1)&amp;"*|",$D$8)))),FALSE)))),ROW()-19,999)</f>
        <v>31</v>
      </c>
      <c r="AO50" t="str">
        <f ca="1">IFERROR(INDEX($A$20:$A$78,SMALL($AP$20:$AP$78,31)),"")</f>
        <v>信号情报</v>
      </c>
      <c r="AP50">
        <f ca="1">IF(AND($A50&lt;&gt;"",COUNTIF($A$20:A50,A50)=1,AND($A50&lt;&gt;"",$A50&lt;&gt;"非自然知识",COUNTIF($A$20:$A$78,$A50)&gt;0,OR($B$9="any",$B$9="fixed",AND($B$9="group",LEFT($A50,LEN($E$9)+1)=$E$9&amp;"（"),IFERROR(OR(ISNUMBER(FIND("|"&amp;$A50&amp;"|",$D$9)),AND(IFERROR(FIND("（",$A50),0)&gt;0,ISNUMBER(FIND("|"&amp;LEFT($A50,FIND("（",$A50)-1)&amp;"*|",$D$9)))),FALSE)))),ROW()-19,999)</f>
        <v>31</v>
      </c>
    </row>
    <row r="51" spans="1:42">
      <c r="A51" t="str">
        <f>人物卡!AG15</f>
        <v>医学</v>
      </c>
      <c r="B51" t="str">
        <f t="shared" si="2"/>
        <v/>
      </c>
      <c r="C51">
        <f ca="1">IF(人物卡!AY15="",N(人物卡!AV15),N(人物卡!AY15))</f>
        <v>0</v>
      </c>
      <c r="D51">
        <f ca="1">IF(AND(A51&lt;&gt;"",COUNTIF($A$20:A51,A51)=1),COUNTIF($H$2:$H$9,A51)*20,0)</f>
        <v>0</v>
      </c>
      <c r="E51">
        <f ca="1" t="shared" si="3"/>
        <v>0</v>
      </c>
      <c r="F51">
        <f ca="1">IF(AND(A51&lt;&gt;"",COUNTIF($A$20:A51,A51)=1),IF(A51="神秘学",IF(人物卡!$DF$46="人类不应知道之事",20,IF(OR(人物卡!$DF$46="极端暴力",人物卡!$DF$46="关押或入狱",人物卡!$DF$46="艰苦经历"),10,0)),0)+IF(人物卡!$DF$46="艰苦经历",COUNTIF($H$12:$H$16,A51)*10,0),0)</f>
        <v>0</v>
      </c>
      <c r="G51">
        <f ca="1">IF(人物卡!$DF$46="艰苦经历",MIN(F51,MAX(0,90-C51-E51)),MIN(F51,MAX(0,99-C51-E51)))</f>
        <v>0</v>
      </c>
      <c r="H51" t="str">
        <f ca="1" t="shared" si="4"/>
        <v/>
      </c>
      <c r="I51" t="str">
        <f ca="1" t="shared" si="5"/>
        <v/>
      </c>
      <c r="J51" t="s">
        <v>2301</v>
      </c>
      <c r="K51" t="s">
        <v>2302</v>
      </c>
      <c r="Y51">
        <f ca="1">IF(AND($A51&lt;&gt;"",COUNTIF($A$20:A51,A51)=1,$A51&lt;&gt;"非自然知识"),ROW()-19,999)</f>
        <v>32</v>
      </c>
      <c r="Z51" t="str">
        <f ca="1">IFERROR(INDEX($A$20:$A$78,SMALL($Y$20:$Y$78,32)),"")</f>
        <v>潜藏</v>
      </c>
      <c r="AA51" t="str">
        <f ca="1">IFERROR(INDEX($A$20:$A$78,SMALL($AB$20:$AB$78,32)),"")</f>
        <v>潜藏</v>
      </c>
      <c r="AB51">
        <f ca="1">IF(AND($A51&lt;&gt;"",COUNTIF($A$20:A51,A51)=1,AND($A51&lt;&gt;"",$A51&lt;&gt;"非自然知识",COUNTIF($A$20:$A$78,$A51)&gt;0,OR($B$2="any",$B$2="fixed",AND($B$2="group",LEFT($A51,LEN($E$2)+1)=$E$2&amp;"（"),IFERROR(OR(ISNUMBER(FIND("|"&amp;$A51&amp;"|",$D$2)),AND(IFERROR(FIND("（",$A51),0)&gt;0,ISNUMBER(FIND("|"&amp;LEFT($A51,FIND("（",$A51)-1)&amp;"*|",$D$2)))),FALSE)))),ROW()-19,999)</f>
        <v>32</v>
      </c>
      <c r="AC51" t="str">
        <f ca="1">IFERROR(INDEX($A$20:$A$78,SMALL($AD$20:$AD$78,32)),"")</f>
        <v>潜藏</v>
      </c>
      <c r="AD51">
        <f ca="1">IF(AND($A51&lt;&gt;"",COUNTIF($A$20:A51,A51)=1,AND($A51&lt;&gt;"",$A51&lt;&gt;"非自然知识",COUNTIF($A$20:$A$78,$A51)&gt;0,OR($B$3="any",$B$3="fixed",AND($B$3="group",LEFT($A51,LEN($E$3)+1)=$E$3&amp;"（"),IFERROR(OR(ISNUMBER(FIND("|"&amp;$A51&amp;"|",$D$3)),AND(IFERROR(FIND("（",$A51),0)&gt;0,ISNUMBER(FIND("|"&amp;LEFT($A51,FIND("（",$A51)-1)&amp;"*|",$D$3)))),FALSE)))),ROW()-19,999)</f>
        <v>32</v>
      </c>
      <c r="AE51" t="str">
        <f ca="1">IFERROR(INDEX($A$20:$A$78,SMALL($AF$20:$AF$78,32)),"")</f>
        <v>潜藏</v>
      </c>
      <c r="AF51">
        <f ca="1">IF(AND($A51&lt;&gt;"",COUNTIF($A$20:A51,A51)=1,AND($A51&lt;&gt;"",$A51&lt;&gt;"非自然知识",COUNTIF($A$20:$A$78,$A51)&gt;0,OR($B$4="any",$B$4="fixed",AND($B$4="group",LEFT($A51,LEN($E$4)+1)=$E$4&amp;"（"),IFERROR(OR(ISNUMBER(FIND("|"&amp;$A51&amp;"|",$D$4)),AND(IFERROR(FIND("（",$A51),0)&gt;0,ISNUMBER(FIND("|"&amp;LEFT($A51,FIND("（",$A51)-1)&amp;"*|",$D$4)))),FALSE)))),ROW()-19,999)</f>
        <v>32</v>
      </c>
      <c r="AG51" t="str">
        <f ca="1">IFERROR(INDEX($A$20:$A$78,SMALL($AH$20:$AH$78,32)),"")</f>
        <v>潜藏</v>
      </c>
      <c r="AH51">
        <f ca="1">IF(AND($A51&lt;&gt;"",COUNTIF($A$20:A51,A51)=1,AND($A51&lt;&gt;"",$A51&lt;&gt;"非自然知识",COUNTIF($A$20:$A$78,$A51)&gt;0,OR($B$5="any",$B$5="fixed",AND($B$5="group",LEFT($A51,LEN($E$5)+1)=$E$5&amp;"（"),IFERROR(OR(ISNUMBER(FIND("|"&amp;$A51&amp;"|",$D$5)),AND(IFERROR(FIND("（",$A51),0)&gt;0,ISNUMBER(FIND("|"&amp;LEFT($A51,FIND("（",$A51)-1)&amp;"*|",$D$5)))),FALSE)))),ROW()-19,999)</f>
        <v>32</v>
      </c>
      <c r="AI51" t="str">
        <f ca="1">IFERROR(INDEX($A$20:$A$78,SMALL($AJ$20:$AJ$78,32)),"")</f>
        <v>潜藏</v>
      </c>
      <c r="AJ51">
        <f ca="1">IF(AND($A51&lt;&gt;"",COUNTIF($A$20:A51,A51)=1,AND($A51&lt;&gt;"",$A51&lt;&gt;"非自然知识",COUNTIF($A$20:$A$78,$A51)&gt;0,OR($B$6="any",$B$6="fixed",AND($B$6="group",LEFT($A51,LEN($E$6)+1)=$E$6&amp;"（"),IFERROR(OR(ISNUMBER(FIND("|"&amp;$A51&amp;"|",$D$6)),AND(IFERROR(FIND("（",$A51),0)&gt;0,ISNUMBER(FIND("|"&amp;LEFT($A51,FIND("（",$A51)-1)&amp;"*|",$D$6)))),FALSE)))),ROW()-19,999)</f>
        <v>32</v>
      </c>
      <c r="AK51" t="str">
        <f ca="1">IFERROR(INDEX($A$20:$A$78,SMALL($AL$20:$AL$78,32)),"")</f>
        <v>潜藏</v>
      </c>
      <c r="AL51">
        <f ca="1">IF(AND($A51&lt;&gt;"",COUNTIF($A$20:A51,A51)=1,AND($A51&lt;&gt;"",$A51&lt;&gt;"非自然知识",COUNTIF($A$20:$A$78,$A51)&gt;0,OR($B$7="any",$B$7="fixed",AND($B$7="group",LEFT($A51,LEN($E$7)+1)=$E$7&amp;"（"),IFERROR(OR(ISNUMBER(FIND("|"&amp;$A51&amp;"|",$D$7)),AND(IFERROR(FIND("（",$A51),0)&gt;0,ISNUMBER(FIND("|"&amp;LEFT($A51,FIND("（",$A51)-1)&amp;"*|",$D$7)))),FALSE)))),ROW()-19,999)</f>
        <v>32</v>
      </c>
      <c r="AM51" t="str">
        <f ca="1">IFERROR(INDEX($A$20:$A$78,SMALL($AN$20:$AN$78,32)),"")</f>
        <v>潜藏</v>
      </c>
      <c r="AN51">
        <f ca="1">IF(AND($A51&lt;&gt;"",COUNTIF($A$20:A51,A51)=1,AND($A51&lt;&gt;"",$A51&lt;&gt;"非自然知识",COUNTIF($A$20:$A$78,$A51)&gt;0,OR($B$8="any",$B$8="fixed",AND($B$8="group",LEFT($A51,LEN($E$8)+1)=$E$8&amp;"（"),IFERROR(OR(ISNUMBER(FIND("|"&amp;$A51&amp;"|",$D$8)),AND(IFERROR(FIND("（",$A51),0)&gt;0,ISNUMBER(FIND("|"&amp;LEFT($A51,FIND("（",$A51)-1)&amp;"*|",$D$8)))),FALSE)))),ROW()-19,999)</f>
        <v>32</v>
      </c>
      <c r="AO51" t="str">
        <f ca="1">IFERROR(INDEX($A$20:$A$78,SMALL($AP$20:$AP$78,32)),"")</f>
        <v>潜藏</v>
      </c>
      <c r="AP51">
        <f ca="1">IF(AND($A51&lt;&gt;"",COUNTIF($A$20:A51,A51)=1,AND($A51&lt;&gt;"",$A51&lt;&gt;"非自然知识",COUNTIF($A$20:$A$78,$A51)&gt;0,OR($B$9="any",$B$9="fixed",AND($B$9="group",LEFT($A51,LEN($E$9)+1)=$E$9&amp;"（"),IFERROR(OR(ISNUMBER(FIND("|"&amp;$A51&amp;"|",$D$9)),AND(IFERROR(FIND("（",$A51),0)&gt;0,ISNUMBER(FIND("|"&amp;LEFT($A51,FIND("（",$A51)-1)&amp;"*|",$D$9)))),FALSE)))),ROW()-19,999)</f>
        <v>32</v>
      </c>
    </row>
    <row r="52" spans="1:42">
      <c r="A52" t="str">
        <f>人物卡!AG16</f>
        <v>近战武器</v>
      </c>
      <c r="B52" t="str">
        <f t="shared" si="2"/>
        <v/>
      </c>
      <c r="C52">
        <f ca="1">IF(人物卡!AY16="",N(人物卡!AV16),N(人物卡!AY16))</f>
        <v>30</v>
      </c>
      <c r="D52">
        <f ca="1">IF(AND(A52&lt;&gt;"",COUNTIF($A$20:A52,A52)=1),COUNTIF($H$2:$H$9,A52)*20,0)</f>
        <v>0</v>
      </c>
      <c r="E52">
        <f ca="1" t="shared" si="3"/>
        <v>0</v>
      </c>
      <c r="F52">
        <f ca="1">IF(AND(A52&lt;&gt;"",COUNTIF($A$20:A52,A52)=1),IF(A52="神秘学",IF(人物卡!$DF$46="人类不应知道之事",20,IF(OR(人物卡!$DF$46="极端暴力",人物卡!$DF$46="关押或入狱",人物卡!$DF$46="艰苦经历"),10,0)),0)+IF(人物卡!$DF$46="艰苦经历",COUNTIF($H$12:$H$16,A52)*10,0),0)</f>
        <v>0</v>
      </c>
      <c r="G52">
        <f ca="1">IF(人物卡!$DF$46="艰苦经历",MIN(F52,MAX(0,90-C52-E52)),MIN(F52,MAX(0,99-C52-E52)))</f>
        <v>0</v>
      </c>
      <c r="H52" t="str">
        <f ca="1" t="shared" si="4"/>
        <v/>
      </c>
      <c r="I52" t="str">
        <f ca="1" t="shared" si="5"/>
        <v/>
      </c>
      <c r="J52" t="s">
        <v>2303</v>
      </c>
      <c r="K52" t="s">
        <v>2304</v>
      </c>
      <c r="Y52">
        <f ca="1">IF(AND($A52&lt;&gt;"",COUNTIF($A$20:A52,A52)=1,$A52&lt;&gt;"非自然知识"),ROW()-19,999)</f>
        <v>33</v>
      </c>
      <c r="Z52" t="str">
        <f ca="1">IFERROR(INDEX($A$20:$A$78,SMALL($Y$20:$Y$78,33)),"")</f>
        <v>手术</v>
      </c>
      <c r="AA52" t="str">
        <f ca="1">IFERROR(INDEX($A$20:$A$78,SMALL($AB$20:$AB$78,33)),"")</f>
        <v>手术</v>
      </c>
      <c r="AB52">
        <f ca="1">IF(AND($A52&lt;&gt;"",COUNTIF($A$20:A52,A52)=1,AND($A52&lt;&gt;"",$A52&lt;&gt;"非自然知识",COUNTIF($A$20:$A$78,$A52)&gt;0,OR($B$2="any",$B$2="fixed",AND($B$2="group",LEFT($A52,LEN($E$2)+1)=$E$2&amp;"（"),IFERROR(OR(ISNUMBER(FIND("|"&amp;$A52&amp;"|",$D$2)),AND(IFERROR(FIND("（",$A52),0)&gt;0,ISNUMBER(FIND("|"&amp;LEFT($A52,FIND("（",$A52)-1)&amp;"*|",$D$2)))),FALSE)))),ROW()-19,999)</f>
        <v>33</v>
      </c>
      <c r="AC52" t="str">
        <f ca="1">IFERROR(INDEX($A$20:$A$78,SMALL($AD$20:$AD$78,33)),"")</f>
        <v>手术</v>
      </c>
      <c r="AD52">
        <f ca="1">IF(AND($A52&lt;&gt;"",COUNTIF($A$20:A52,A52)=1,AND($A52&lt;&gt;"",$A52&lt;&gt;"非自然知识",COUNTIF($A$20:$A$78,$A52)&gt;0,OR($B$3="any",$B$3="fixed",AND($B$3="group",LEFT($A52,LEN($E$3)+1)=$E$3&amp;"（"),IFERROR(OR(ISNUMBER(FIND("|"&amp;$A52&amp;"|",$D$3)),AND(IFERROR(FIND("（",$A52),0)&gt;0,ISNUMBER(FIND("|"&amp;LEFT($A52,FIND("（",$A52)-1)&amp;"*|",$D$3)))),FALSE)))),ROW()-19,999)</f>
        <v>33</v>
      </c>
      <c r="AE52" t="str">
        <f ca="1">IFERROR(INDEX($A$20:$A$78,SMALL($AF$20:$AF$78,33)),"")</f>
        <v>手术</v>
      </c>
      <c r="AF52">
        <f ca="1">IF(AND($A52&lt;&gt;"",COUNTIF($A$20:A52,A52)=1,AND($A52&lt;&gt;"",$A52&lt;&gt;"非自然知识",COUNTIF($A$20:$A$78,$A52)&gt;0,OR($B$4="any",$B$4="fixed",AND($B$4="group",LEFT($A52,LEN($E$4)+1)=$E$4&amp;"（"),IFERROR(OR(ISNUMBER(FIND("|"&amp;$A52&amp;"|",$D$4)),AND(IFERROR(FIND("（",$A52),0)&gt;0,ISNUMBER(FIND("|"&amp;LEFT($A52,FIND("（",$A52)-1)&amp;"*|",$D$4)))),FALSE)))),ROW()-19,999)</f>
        <v>33</v>
      </c>
      <c r="AG52" t="str">
        <f ca="1">IFERROR(INDEX($A$20:$A$78,SMALL($AH$20:$AH$78,33)),"")</f>
        <v>手术</v>
      </c>
      <c r="AH52">
        <f ca="1">IF(AND($A52&lt;&gt;"",COUNTIF($A$20:A52,A52)=1,AND($A52&lt;&gt;"",$A52&lt;&gt;"非自然知识",COUNTIF($A$20:$A$78,$A52)&gt;0,OR($B$5="any",$B$5="fixed",AND($B$5="group",LEFT($A52,LEN($E$5)+1)=$E$5&amp;"（"),IFERROR(OR(ISNUMBER(FIND("|"&amp;$A52&amp;"|",$D$5)),AND(IFERROR(FIND("（",$A52),0)&gt;0,ISNUMBER(FIND("|"&amp;LEFT($A52,FIND("（",$A52)-1)&amp;"*|",$D$5)))),FALSE)))),ROW()-19,999)</f>
        <v>33</v>
      </c>
      <c r="AI52" t="str">
        <f ca="1">IFERROR(INDEX($A$20:$A$78,SMALL($AJ$20:$AJ$78,33)),"")</f>
        <v>手术</v>
      </c>
      <c r="AJ52">
        <f ca="1">IF(AND($A52&lt;&gt;"",COUNTIF($A$20:A52,A52)=1,AND($A52&lt;&gt;"",$A52&lt;&gt;"非自然知识",COUNTIF($A$20:$A$78,$A52)&gt;0,OR($B$6="any",$B$6="fixed",AND($B$6="group",LEFT($A52,LEN($E$6)+1)=$E$6&amp;"（"),IFERROR(OR(ISNUMBER(FIND("|"&amp;$A52&amp;"|",$D$6)),AND(IFERROR(FIND("（",$A52),0)&gt;0,ISNUMBER(FIND("|"&amp;LEFT($A52,FIND("（",$A52)-1)&amp;"*|",$D$6)))),FALSE)))),ROW()-19,999)</f>
        <v>33</v>
      </c>
      <c r="AK52" t="str">
        <f ca="1">IFERROR(INDEX($A$20:$A$78,SMALL($AL$20:$AL$78,33)),"")</f>
        <v>手术</v>
      </c>
      <c r="AL52">
        <f ca="1">IF(AND($A52&lt;&gt;"",COUNTIF($A$20:A52,A52)=1,AND($A52&lt;&gt;"",$A52&lt;&gt;"非自然知识",COUNTIF($A$20:$A$78,$A52)&gt;0,OR($B$7="any",$B$7="fixed",AND($B$7="group",LEFT($A52,LEN($E$7)+1)=$E$7&amp;"（"),IFERROR(OR(ISNUMBER(FIND("|"&amp;$A52&amp;"|",$D$7)),AND(IFERROR(FIND("（",$A52),0)&gt;0,ISNUMBER(FIND("|"&amp;LEFT($A52,FIND("（",$A52)-1)&amp;"*|",$D$7)))),FALSE)))),ROW()-19,999)</f>
        <v>33</v>
      </c>
      <c r="AM52" t="str">
        <f ca="1">IFERROR(INDEX($A$20:$A$78,SMALL($AN$20:$AN$78,33)),"")</f>
        <v>手术</v>
      </c>
      <c r="AN52">
        <f ca="1">IF(AND($A52&lt;&gt;"",COUNTIF($A$20:A52,A52)=1,AND($A52&lt;&gt;"",$A52&lt;&gt;"非自然知识",COUNTIF($A$20:$A$78,$A52)&gt;0,OR($B$8="any",$B$8="fixed",AND($B$8="group",LEFT($A52,LEN($E$8)+1)=$E$8&amp;"（"),IFERROR(OR(ISNUMBER(FIND("|"&amp;$A52&amp;"|",$D$8)),AND(IFERROR(FIND("（",$A52),0)&gt;0,ISNUMBER(FIND("|"&amp;LEFT($A52,FIND("（",$A52)-1)&amp;"*|",$D$8)))),FALSE)))),ROW()-19,999)</f>
        <v>33</v>
      </c>
      <c r="AO52" t="str">
        <f ca="1">IFERROR(INDEX($A$20:$A$78,SMALL($AP$20:$AP$78,33)),"")</f>
        <v>手术</v>
      </c>
      <c r="AP52">
        <f ca="1">IF(AND($A52&lt;&gt;"",COUNTIF($A$20:A52,A52)=1,AND($A52&lt;&gt;"",$A52&lt;&gt;"非自然知识",COUNTIF($A$20:$A$78,$A52)&gt;0,OR($B$9="any",$B$9="fixed",AND($B$9="group",LEFT($A52,LEN($E$9)+1)=$E$9&amp;"（"),IFERROR(OR(ISNUMBER(FIND("|"&amp;$A52&amp;"|",$D$9)),AND(IFERROR(FIND("（",$A52),0)&gt;0,ISNUMBER(FIND("|"&amp;LEFT($A52,FIND("（",$A52)-1)&amp;"*|",$D$9)))),FALSE)))),ROW()-19,999)</f>
        <v>33</v>
      </c>
    </row>
    <row r="53" spans="1:42">
      <c r="A53" t="str">
        <f ca="1">IF(TRIM(人物卡!AM17)="","","军事科学（"&amp;TRIM(人物卡!AM17)&amp;"）")</f>
        <v/>
      </c>
      <c r="B53" t="str">
        <f ca="1" t="shared" si="2"/>
        <v/>
      </c>
      <c r="C53">
        <f ca="1">IF(人物卡!AY17="",N(人物卡!AV17),N(人物卡!AY17))</f>
        <v>0</v>
      </c>
      <c r="D53">
        <f ca="1">IF(AND(A53&lt;&gt;"",COUNTIF($A$20:A53,A53)=1),COUNTIF($H$2:$H$9,A53)*20,0)</f>
        <v>0</v>
      </c>
      <c r="E53">
        <f ca="1" t="shared" si="3"/>
        <v>0</v>
      </c>
      <c r="F53">
        <f ca="1">IF(AND(A53&lt;&gt;"",COUNTIF($A$20:A53,A53)=1),IF(A53="神秘学",IF(人物卡!$DF$46="人类不应知道之事",20,IF(OR(人物卡!$DF$46="极端暴力",人物卡!$DF$46="关押或入狱",人物卡!$DF$46="艰苦经历"),10,0)),0)+IF(人物卡!$DF$46="艰苦经历",COUNTIF($H$12:$H$16,A53)*10,0),0)</f>
        <v>0</v>
      </c>
      <c r="G53">
        <f ca="1">IF(人物卡!$DF$46="艰苦经历",MIN(F53,MAX(0,90-C53-E53)),MIN(F53,MAX(0,99-C53-E53)))</f>
        <v>0</v>
      </c>
      <c r="H53" t="str">
        <f ca="1" t="shared" si="4"/>
        <v/>
      </c>
      <c r="I53" t="str">
        <f ca="1" t="shared" si="5"/>
        <v/>
      </c>
      <c r="J53" t="s">
        <v>2305</v>
      </c>
      <c r="K53" t="s">
        <v>2306</v>
      </c>
      <c r="Y53">
        <f ca="1">IF(AND($A53&lt;&gt;"",COUNTIF($A$20:A53,A53)=1,$A53&lt;&gt;"非自然知识"),ROW()-19,999)</f>
        <v>999</v>
      </c>
      <c r="Z53" t="str">
        <f ca="1">IFERROR(INDEX($A$20:$A$78,SMALL($Y$20:$Y$78,34)),"")</f>
        <v>生存</v>
      </c>
      <c r="AA53" t="str">
        <f ca="1">IFERROR(INDEX($A$20:$A$78,SMALL($AB$20:$AB$78,34)),"")</f>
        <v>生存</v>
      </c>
      <c r="AB53">
        <f ca="1">IF(AND($A53&lt;&gt;"",COUNTIF($A$20:A53,A53)=1,AND($A53&lt;&gt;"",$A53&lt;&gt;"非自然知识",COUNTIF($A$20:$A$78,$A53)&gt;0,OR($B$2="any",$B$2="fixed",AND($B$2="group",LEFT($A53,LEN($E$2)+1)=$E$2&amp;"（"),IFERROR(OR(ISNUMBER(FIND("|"&amp;$A53&amp;"|",$D$2)),AND(IFERROR(FIND("（",$A53),0)&gt;0,ISNUMBER(FIND("|"&amp;LEFT($A53,FIND("（",$A53)-1)&amp;"*|",$D$2)))),FALSE)))),ROW()-19,999)</f>
        <v>999</v>
      </c>
      <c r="AC53" t="str">
        <f ca="1">IFERROR(INDEX($A$20:$A$78,SMALL($AD$20:$AD$78,34)),"")</f>
        <v>生存</v>
      </c>
      <c r="AD53">
        <f ca="1">IF(AND($A53&lt;&gt;"",COUNTIF($A$20:A53,A53)=1,AND($A53&lt;&gt;"",$A53&lt;&gt;"非自然知识",COUNTIF($A$20:$A$78,$A53)&gt;0,OR($B$3="any",$B$3="fixed",AND($B$3="group",LEFT($A53,LEN($E$3)+1)=$E$3&amp;"（"),IFERROR(OR(ISNUMBER(FIND("|"&amp;$A53&amp;"|",$D$3)),AND(IFERROR(FIND("（",$A53),0)&gt;0,ISNUMBER(FIND("|"&amp;LEFT($A53,FIND("（",$A53)-1)&amp;"*|",$D$3)))),FALSE)))),ROW()-19,999)</f>
        <v>999</v>
      </c>
      <c r="AE53" t="str">
        <f ca="1">IFERROR(INDEX($A$20:$A$78,SMALL($AF$20:$AF$78,34)),"")</f>
        <v>生存</v>
      </c>
      <c r="AF53">
        <f ca="1">IF(AND($A53&lt;&gt;"",COUNTIF($A$20:A53,A53)=1,AND($A53&lt;&gt;"",$A53&lt;&gt;"非自然知识",COUNTIF($A$20:$A$78,$A53)&gt;0,OR($B$4="any",$B$4="fixed",AND($B$4="group",LEFT($A53,LEN($E$4)+1)=$E$4&amp;"（"),IFERROR(OR(ISNUMBER(FIND("|"&amp;$A53&amp;"|",$D$4)),AND(IFERROR(FIND("（",$A53),0)&gt;0,ISNUMBER(FIND("|"&amp;LEFT($A53,FIND("（",$A53)-1)&amp;"*|",$D$4)))),FALSE)))),ROW()-19,999)</f>
        <v>999</v>
      </c>
      <c r="AG53" t="str">
        <f ca="1">IFERROR(INDEX($A$20:$A$78,SMALL($AH$20:$AH$78,34)),"")</f>
        <v>生存</v>
      </c>
      <c r="AH53">
        <f ca="1">IF(AND($A53&lt;&gt;"",COUNTIF($A$20:A53,A53)=1,AND($A53&lt;&gt;"",$A53&lt;&gt;"非自然知识",COUNTIF($A$20:$A$78,$A53)&gt;0,OR($B$5="any",$B$5="fixed",AND($B$5="group",LEFT($A53,LEN($E$5)+1)=$E$5&amp;"（"),IFERROR(OR(ISNUMBER(FIND("|"&amp;$A53&amp;"|",$D$5)),AND(IFERROR(FIND("（",$A53),0)&gt;0,ISNUMBER(FIND("|"&amp;LEFT($A53,FIND("（",$A53)-1)&amp;"*|",$D$5)))),FALSE)))),ROW()-19,999)</f>
        <v>999</v>
      </c>
      <c r="AI53" t="str">
        <f ca="1">IFERROR(INDEX($A$20:$A$78,SMALL($AJ$20:$AJ$78,34)),"")</f>
        <v>生存</v>
      </c>
      <c r="AJ53">
        <f ca="1">IF(AND($A53&lt;&gt;"",COUNTIF($A$20:A53,A53)=1,AND($A53&lt;&gt;"",$A53&lt;&gt;"非自然知识",COUNTIF($A$20:$A$78,$A53)&gt;0,OR($B$6="any",$B$6="fixed",AND($B$6="group",LEFT($A53,LEN($E$6)+1)=$E$6&amp;"（"),IFERROR(OR(ISNUMBER(FIND("|"&amp;$A53&amp;"|",$D$6)),AND(IFERROR(FIND("（",$A53),0)&gt;0,ISNUMBER(FIND("|"&amp;LEFT($A53,FIND("（",$A53)-1)&amp;"*|",$D$6)))),FALSE)))),ROW()-19,999)</f>
        <v>999</v>
      </c>
      <c r="AK53" t="str">
        <f ca="1">IFERROR(INDEX($A$20:$A$78,SMALL($AL$20:$AL$78,34)),"")</f>
        <v>生存</v>
      </c>
      <c r="AL53">
        <f ca="1">IF(AND($A53&lt;&gt;"",COUNTIF($A$20:A53,A53)=1,AND($A53&lt;&gt;"",$A53&lt;&gt;"非自然知识",COUNTIF($A$20:$A$78,$A53)&gt;0,OR($B$7="any",$B$7="fixed",AND($B$7="group",LEFT($A53,LEN($E$7)+1)=$E$7&amp;"（"),IFERROR(OR(ISNUMBER(FIND("|"&amp;$A53&amp;"|",$D$7)),AND(IFERROR(FIND("（",$A53),0)&gt;0,ISNUMBER(FIND("|"&amp;LEFT($A53,FIND("（",$A53)-1)&amp;"*|",$D$7)))),FALSE)))),ROW()-19,999)</f>
        <v>999</v>
      </c>
      <c r="AM53" t="str">
        <f ca="1">IFERROR(INDEX($A$20:$A$78,SMALL($AN$20:$AN$78,34)),"")</f>
        <v>生存</v>
      </c>
      <c r="AN53">
        <f ca="1">IF(AND($A53&lt;&gt;"",COUNTIF($A$20:A53,A53)=1,AND($A53&lt;&gt;"",$A53&lt;&gt;"非自然知识",COUNTIF($A$20:$A$78,$A53)&gt;0,OR($B$8="any",$B$8="fixed",AND($B$8="group",LEFT($A53,LEN($E$8)+1)=$E$8&amp;"（"),IFERROR(OR(ISNUMBER(FIND("|"&amp;$A53&amp;"|",$D$8)),AND(IFERROR(FIND("（",$A53),0)&gt;0,ISNUMBER(FIND("|"&amp;LEFT($A53,FIND("（",$A53)-1)&amp;"*|",$D$8)))),FALSE)))),ROW()-19,999)</f>
        <v>999</v>
      </c>
      <c r="AO53" t="str">
        <f ca="1">IFERROR(INDEX($A$20:$A$78,SMALL($AP$20:$AP$78,34)),"")</f>
        <v>生存</v>
      </c>
      <c r="AP53">
        <f ca="1">IF(AND($A53&lt;&gt;"",COUNTIF($A$20:A53,A53)=1,AND($A53&lt;&gt;"",$A53&lt;&gt;"非自然知识",COUNTIF($A$20:$A$78,$A53)&gt;0,OR($B$9="any",$B$9="fixed",AND($B$9="group",LEFT($A53,LEN($E$9)+1)=$E$9&amp;"（"),IFERROR(OR(ISNUMBER(FIND("|"&amp;$A53&amp;"|",$D$9)),AND(IFERROR(FIND("（",$A53),0)&gt;0,ISNUMBER(FIND("|"&amp;LEFT($A53,FIND("（",$A53)-1)&amp;"*|",$D$9)))),FALSE)))),ROW()-19,999)</f>
        <v>999</v>
      </c>
    </row>
    <row r="54" spans="1:42">
      <c r="A54" t="str">
        <f ca="1">IF(TRIM(人物卡!AM18)="","","军事科学（"&amp;TRIM(人物卡!AM18)&amp;"）")</f>
        <v/>
      </c>
      <c r="B54" t="str">
        <f ca="1" t="shared" si="2"/>
        <v/>
      </c>
      <c r="C54">
        <f ca="1">IF(人物卡!AY18="",N(人物卡!AV18),N(人物卡!AY18))</f>
        <v>0</v>
      </c>
      <c r="D54">
        <f ca="1">IF(AND(A54&lt;&gt;"",COUNTIF($A$20:A54,A54)=1),COUNTIF($H$2:$H$9,A54)*20,0)</f>
        <v>0</v>
      </c>
      <c r="E54">
        <f ca="1" t="shared" si="3"/>
        <v>0</v>
      </c>
      <c r="F54">
        <f ca="1">IF(AND(A54&lt;&gt;"",COUNTIF($A$20:A54,A54)=1),IF(A54="神秘学",IF(人物卡!$DF$46="人类不应知道之事",20,IF(OR(人物卡!$DF$46="极端暴力",人物卡!$DF$46="关押或入狱",人物卡!$DF$46="艰苦经历"),10,0)),0)+IF(人物卡!$DF$46="艰苦经历",COUNTIF($H$12:$H$16,A54)*10,0),0)</f>
        <v>0</v>
      </c>
      <c r="G54">
        <f ca="1">IF(人物卡!$DF$46="艰苦经历",MIN(F54,MAX(0,90-C54-E54)),MIN(F54,MAX(0,99-C54-E54)))</f>
        <v>0</v>
      </c>
      <c r="H54" t="str">
        <f ca="1" t="shared" si="4"/>
        <v/>
      </c>
      <c r="I54" t="str">
        <f ca="1" t="shared" si="5"/>
        <v/>
      </c>
      <c r="J54" t="s">
        <v>2307</v>
      </c>
      <c r="K54" t="s">
        <v>2308</v>
      </c>
      <c r="Y54">
        <f ca="1">IF(AND($A54&lt;&gt;"",COUNTIF($A$20:A54,A54)=1,$A54&lt;&gt;"非自然知识"),ROW()-19,999)</f>
        <v>999</v>
      </c>
      <c r="Z54" t="str">
        <f ca="1">IFERROR(INDEX($A$20:$A$78,SMALL($Y$20:$Y$78,35)),"")</f>
        <v>游泳</v>
      </c>
      <c r="AA54" t="str">
        <f ca="1">IFERROR(INDEX($A$20:$A$78,SMALL($AB$20:$AB$78,35)),"")</f>
        <v>游泳</v>
      </c>
      <c r="AB54">
        <f ca="1">IF(AND($A54&lt;&gt;"",COUNTIF($A$20:A54,A54)=1,AND($A54&lt;&gt;"",$A54&lt;&gt;"非自然知识",COUNTIF($A$20:$A$78,$A54)&gt;0,OR($B$2="any",$B$2="fixed",AND($B$2="group",LEFT($A54,LEN($E$2)+1)=$E$2&amp;"（"),IFERROR(OR(ISNUMBER(FIND("|"&amp;$A54&amp;"|",$D$2)),AND(IFERROR(FIND("（",$A54),0)&gt;0,ISNUMBER(FIND("|"&amp;LEFT($A54,FIND("（",$A54)-1)&amp;"*|",$D$2)))),FALSE)))),ROW()-19,999)</f>
        <v>999</v>
      </c>
      <c r="AC54" t="str">
        <f ca="1">IFERROR(INDEX($A$20:$A$78,SMALL($AD$20:$AD$78,35)),"")</f>
        <v>游泳</v>
      </c>
      <c r="AD54">
        <f ca="1">IF(AND($A54&lt;&gt;"",COUNTIF($A$20:A54,A54)=1,AND($A54&lt;&gt;"",$A54&lt;&gt;"非自然知识",COUNTIF($A$20:$A$78,$A54)&gt;0,OR($B$3="any",$B$3="fixed",AND($B$3="group",LEFT($A54,LEN($E$3)+1)=$E$3&amp;"（"),IFERROR(OR(ISNUMBER(FIND("|"&amp;$A54&amp;"|",$D$3)),AND(IFERROR(FIND("（",$A54),0)&gt;0,ISNUMBER(FIND("|"&amp;LEFT($A54,FIND("（",$A54)-1)&amp;"*|",$D$3)))),FALSE)))),ROW()-19,999)</f>
        <v>999</v>
      </c>
      <c r="AE54" t="str">
        <f ca="1">IFERROR(INDEX($A$20:$A$78,SMALL($AF$20:$AF$78,35)),"")</f>
        <v>游泳</v>
      </c>
      <c r="AF54">
        <f ca="1">IF(AND($A54&lt;&gt;"",COUNTIF($A$20:A54,A54)=1,AND($A54&lt;&gt;"",$A54&lt;&gt;"非自然知识",COUNTIF($A$20:$A$78,$A54)&gt;0,OR($B$4="any",$B$4="fixed",AND($B$4="group",LEFT($A54,LEN($E$4)+1)=$E$4&amp;"（"),IFERROR(OR(ISNUMBER(FIND("|"&amp;$A54&amp;"|",$D$4)),AND(IFERROR(FIND("（",$A54),0)&gt;0,ISNUMBER(FIND("|"&amp;LEFT($A54,FIND("（",$A54)-1)&amp;"*|",$D$4)))),FALSE)))),ROW()-19,999)</f>
        <v>999</v>
      </c>
      <c r="AG54" t="str">
        <f ca="1">IFERROR(INDEX($A$20:$A$78,SMALL($AH$20:$AH$78,35)),"")</f>
        <v>游泳</v>
      </c>
      <c r="AH54">
        <f ca="1">IF(AND($A54&lt;&gt;"",COUNTIF($A$20:A54,A54)=1,AND($A54&lt;&gt;"",$A54&lt;&gt;"非自然知识",COUNTIF($A$20:$A$78,$A54)&gt;0,OR($B$5="any",$B$5="fixed",AND($B$5="group",LEFT($A54,LEN($E$5)+1)=$E$5&amp;"（"),IFERROR(OR(ISNUMBER(FIND("|"&amp;$A54&amp;"|",$D$5)),AND(IFERROR(FIND("（",$A54),0)&gt;0,ISNUMBER(FIND("|"&amp;LEFT($A54,FIND("（",$A54)-1)&amp;"*|",$D$5)))),FALSE)))),ROW()-19,999)</f>
        <v>999</v>
      </c>
      <c r="AI54" t="str">
        <f ca="1">IFERROR(INDEX($A$20:$A$78,SMALL($AJ$20:$AJ$78,35)),"")</f>
        <v>游泳</v>
      </c>
      <c r="AJ54">
        <f ca="1">IF(AND($A54&lt;&gt;"",COUNTIF($A$20:A54,A54)=1,AND($A54&lt;&gt;"",$A54&lt;&gt;"非自然知识",COUNTIF($A$20:$A$78,$A54)&gt;0,OR($B$6="any",$B$6="fixed",AND($B$6="group",LEFT($A54,LEN($E$6)+1)=$E$6&amp;"（"),IFERROR(OR(ISNUMBER(FIND("|"&amp;$A54&amp;"|",$D$6)),AND(IFERROR(FIND("（",$A54),0)&gt;0,ISNUMBER(FIND("|"&amp;LEFT($A54,FIND("（",$A54)-1)&amp;"*|",$D$6)))),FALSE)))),ROW()-19,999)</f>
        <v>999</v>
      </c>
      <c r="AK54" t="str">
        <f ca="1">IFERROR(INDEX($A$20:$A$78,SMALL($AL$20:$AL$78,35)),"")</f>
        <v>游泳</v>
      </c>
      <c r="AL54">
        <f ca="1">IF(AND($A54&lt;&gt;"",COUNTIF($A$20:A54,A54)=1,AND($A54&lt;&gt;"",$A54&lt;&gt;"非自然知识",COUNTIF($A$20:$A$78,$A54)&gt;0,OR($B$7="any",$B$7="fixed",AND($B$7="group",LEFT($A54,LEN($E$7)+1)=$E$7&amp;"（"),IFERROR(OR(ISNUMBER(FIND("|"&amp;$A54&amp;"|",$D$7)),AND(IFERROR(FIND("（",$A54),0)&gt;0,ISNUMBER(FIND("|"&amp;LEFT($A54,FIND("（",$A54)-1)&amp;"*|",$D$7)))),FALSE)))),ROW()-19,999)</f>
        <v>999</v>
      </c>
      <c r="AM54" t="str">
        <f ca="1">IFERROR(INDEX($A$20:$A$78,SMALL($AN$20:$AN$78,35)),"")</f>
        <v>游泳</v>
      </c>
      <c r="AN54">
        <f ca="1">IF(AND($A54&lt;&gt;"",COUNTIF($A$20:A54,A54)=1,AND($A54&lt;&gt;"",$A54&lt;&gt;"非自然知识",COUNTIF($A$20:$A$78,$A54)&gt;0,OR($B$8="any",$B$8="fixed",AND($B$8="group",LEFT($A54,LEN($E$8)+1)=$E$8&amp;"（"),IFERROR(OR(ISNUMBER(FIND("|"&amp;$A54&amp;"|",$D$8)),AND(IFERROR(FIND("（",$A54),0)&gt;0,ISNUMBER(FIND("|"&amp;LEFT($A54,FIND("（",$A54)-1)&amp;"*|",$D$8)))),FALSE)))),ROW()-19,999)</f>
        <v>999</v>
      </c>
      <c r="AO54" t="str">
        <f ca="1">IFERROR(INDEX($A$20:$A$78,SMALL($AP$20:$AP$78,35)),"")</f>
        <v>游泳</v>
      </c>
      <c r="AP54">
        <f ca="1">IF(AND($A54&lt;&gt;"",COUNTIF($A$20:A54,A54)=1,AND($A54&lt;&gt;"",$A54&lt;&gt;"非自然知识",COUNTIF($A$20:$A$78,$A54)&gt;0,OR($B$9="any",$B$9="fixed",AND($B$9="group",LEFT($A54,LEN($E$9)+1)=$E$9&amp;"（"),IFERROR(OR(ISNUMBER(FIND("|"&amp;$A54&amp;"|",$D$9)),AND(IFERROR(FIND("（",$A54),0)&gt;0,ISNUMBER(FIND("|"&amp;LEFT($A54,FIND("（",$A54)-1)&amp;"*|",$D$9)))),FALSE)))),ROW()-19,999)</f>
        <v>999</v>
      </c>
    </row>
    <row r="55" spans="1:42">
      <c r="A55" t="str">
        <f ca="1">IF(TRIM(人物卡!AM19)="","","军事科学（"&amp;TRIM(人物卡!AM19)&amp;"）")</f>
        <v/>
      </c>
      <c r="B55" t="str">
        <f ca="1" t="shared" si="2"/>
        <v/>
      </c>
      <c r="C55">
        <f ca="1">IF(人物卡!AY19="",N(人物卡!AV19),N(人物卡!AY19))</f>
        <v>0</v>
      </c>
      <c r="D55">
        <f ca="1">IF(AND(A55&lt;&gt;"",COUNTIF($A$20:A55,A55)=1),COUNTIF($H$2:$H$9,A55)*20,0)</f>
        <v>0</v>
      </c>
      <c r="E55">
        <f ca="1" t="shared" si="3"/>
        <v>0</v>
      </c>
      <c r="F55">
        <f ca="1">IF(AND(A55&lt;&gt;"",COUNTIF($A$20:A55,A55)=1),IF(A55="神秘学",IF(人物卡!$DF$46="人类不应知道之事",20,IF(OR(人物卡!$DF$46="极端暴力",人物卡!$DF$46="关押或入狱",人物卡!$DF$46="艰苦经历"),10,0)),0)+IF(人物卡!$DF$46="艰苦经历",COUNTIF($H$12:$H$16,A55)*10,0),0)</f>
        <v>0</v>
      </c>
      <c r="G55">
        <f ca="1">IF(人物卡!$DF$46="艰苦经历",MIN(F55,MAX(0,90-C55-E55)),MIN(F55,MAX(0,99-C55-E55)))</f>
        <v>0</v>
      </c>
      <c r="H55" t="str">
        <f ca="1" t="shared" si="4"/>
        <v/>
      </c>
      <c r="I55" t="str">
        <f ca="1" t="shared" si="5"/>
        <v/>
      </c>
      <c r="J55" t="s">
        <v>2309</v>
      </c>
      <c r="K55" t="s">
        <v>2310</v>
      </c>
      <c r="Y55">
        <f ca="1">IF(AND($A55&lt;&gt;"",COUNTIF($A$20:A55,A55)=1,$A55&lt;&gt;"非自然知识"),ROW()-19,999)</f>
        <v>999</v>
      </c>
      <c r="Z55" t="str">
        <f ca="1">IFERROR(INDEX($A$20:$A$78,SMALL($Y$20:$Y$78,36)),"")</f>
        <v>徒手搏斗</v>
      </c>
      <c r="AA55" t="str">
        <f ca="1">IFERROR(INDEX($A$20:$A$78,SMALL($AB$20:$AB$78,36)),"")</f>
        <v>徒手搏斗</v>
      </c>
      <c r="AB55">
        <f ca="1">IF(AND($A55&lt;&gt;"",COUNTIF($A$20:A55,A55)=1,AND($A55&lt;&gt;"",$A55&lt;&gt;"非自然知识",COUNTIF($A$20:$A$78,$A55)&gt;0,OR($B$2="any",$B$2="fixed",AND($B$2="group",LEFT($A55,LEN($E$2)+1)=$E$2&amp;"（"),IFERROR(OR(ISNUMBER(FIND("|"&amp;$A55&amp;"|",$D$2)),AND(IFERROR(FIND("（",$A55),0)&gt;0,ISNUMBER(FIND("|"&amp;LEFT($A55,FIND("（",$A55)-1)&amp;"*|",$D$2)))),FALSE)))),ROW()-19,999)</f>
        <v>999</v>
      </c>
      <c r="AC55" t="str">
        <f ca="1">IFERROR(INDEX($A$20:$A$78,SMALL($AD$20:$AD$78,36)),"")</f>
        <v>徒手搏斗</v>
      </c>
      <c r="AD55">
        <f ca="1">IF(AND($A55&lt;&gt;"",COUNTIF($A$20:A55,A55)=1,AND($A55&lt;&gt;"",$A55&lt;&gt;"非自然知识",COUNTIF($A$20:$A$78,$A55)&gt;0,OR($B$3="any",$B$3="fixed",AND($B$3="group",LEFT($A55,LEN($E$3)+1)=$E$3&amp;"（"),IFERROR(OR(ISNUMBER(FIND("|"&amp;$A55&amp;"|",$D$3)),AND(IFERROR(FIND("（",$A55),0)&gt;0,ISNUMBER(FIND("|"&amp;LEFT($A55,FIND("（",$A55)-1)&amp;"*|",$D$3)))),FALSE)))),ROW()-19,999)</f>
        <v>999</v>
      </c>
      <c r="AE55" t="str">
        <f ca="1">IFERROR(INDEX($A$20:$A$78,SMALL($AF$20:$AF$78,36)),"")</f>
        <v>徒手搏斗</v>
      </c>
      <c r="AF55">
        <f ca="1">IF(AND($A55&lt;&gt;"",COUNTIF($A$20:A55,A55)=1,AND($A55&lt;&gt;"",$A55&lt;&gt;"非自然知识",COUNTIF($A$20:$A$78,$A55)&gt;0,OR($B$4="any",$B$4="fixed",AND($B$4="group",LEFT($A55,LEN($E$4)+1)=$E$4&amp;"（"),IFERROR(OR(ISNUMBER(FIND("|"&amp;$A55&amp;"|",$D$4)),AND(IFERROR(FIND("（",$A55),0)&gt;0,ISNUMBER(FIND("|"&amp;LEFT($A55,FIND("（",$A55)-1)&amp;"*|",$D$4)))),FALSE)))),ROW()-19,999)</f>
        <v>999</v>
      </c>
      <c r="AG55" t="str">
        <f ca="1">IFERROR(INDEX($A$20:$A$78,SMALL($AH$20:$AH$78,36)),"")</f>
        <v>徒手搏斗</v>
      </c>
      <c r="AH55">
        <f ca="1">IF(AND($A55&lt;&gt;"",COUNTIF($A$20:A55,A55)=1,AND($A55&lt;&gt;"",$A55&lt;&gt;"非自然知识",COUNTIF($A$20:$A$78,$A55)&gt;0,OR($B$5="any",$B$5="fixed",AND($B$5="group",LEFT($A55,LEN($E$5)+1)=$E$5&amp;"（"),IFERROR(OR(ISNUMBER(FIND("|"&amp;$A55&amp;"|",$D$5)),AND(IFERROR(FIND("（",$A55),0)&gt;0,ISNUMBER(FIND("|"&amp;LEFT($A55,FIND("（",$A55)-1)&amp;"*|",$D$5)))),FALSE)))),ROW()-19,999)</f>
        <v>999</v>
      </c>
      <c r="AI55" t="str">
        <f ca="1">IFERROR(INDEX($A$20:$A$78,SMALL($AJ$20:$AJ$78,36)),"")</f>
        <v>徒手搏斗</v>
      </c>
      <c r="AJ55">
        <f ca="1">IF(AND($A55&lt;&gt;"",COUNTIF($A$20:A55,A55)=1,AND($A55&lt;&gt;"",$A55&lt;&gt;"非自然知识",COUNTIF($A$20:$A$78,$A55)&gt;0,OR($B$6="any",$B$6="fixed",AND($B$6="group",LEFT($A55,LEN($E$6)+1)=$E$6&amp;"（"),IFERROR(OR(ISNUMBER(FIND("|"&amp;$A55&amp;"|",$D$6)),AND(IFERROR(FIND("（",$A55),0)&gt;0,ISNUMBER(FIND("|"&amp;LEFT($A55,FIND("（",$A55)-1)&amp;"*|",$D$6)))),FALSE)))),ROW()-19,999)</f>
        <v>999</v>
      </c>
      <c r="AK55" t="str">
        <f ca="1">IFERROR(INDEX($A$20:$A$78,SMALL($AL$20:$AL$78,36)),"")</f>
        <v>徒手搏斗</v>
      </c>
      <c r="AL55">
        <f ca="1">IF(AND($A55&lt;&gt;"",COUNTIF($A$20:A55,A55)=1,AND($A55&lt;&gt;"",$A55&lt;&gt;"非自然知识",COUNTIF($A$20:$A$78,$A55)&gt;0,OR($B$7="any",$B$7="fixed",AND($B$7="group",LEFT($A55,LEN($E$7)+1)=$E$7&amp;"（"),IFERROR(OR(ISNUMBER(FIND("|"&amp;$A55&amp;"|",$D$7)),AND(IFERROR(FIND("（",$A55),0)&gt;0,ISNUMBER(FIND("|"&amp;LEFT($A55,FIND("（",$A55)-1)&amp;"*|",$D$7)))),FALSE)))),ROW()-19,999)</f>
        <v>999</v>
      </c>
      <c r="AM55" t="str">
        <f ca="1">IFERROR(INDEX($A$20:$A$78,SMALL($AN$20:$AN$78,36)),"")</f>
        <v>徒手搏斗</v>
      </c>
      <c r="AN55">
        <f ca="1">IF(AND($A55&lt;&gt;"",COUNTIF($A$20:A55,A55)=1,AND($A55&lt;&gt;"",$A55&lt;&gt;"非自然知识",COUNTIF($A$20:$A$78,$A55)&gt;0,OR($B$8="any",$B$8="fixed",AND($B$8="group",LEFT($A55,LEN($E$8)+1)=$E$8&amp;"（"),IFERROR(OR(ISNUMBER(FIND("|"&amp;$A55&amp;"|",$D$8)),AND(IFERROR(FIND("（",$A55),0)&gt;0,ISNUMBER(FIND("|"&amp;LEFT($A55,FIND("（",$A55)-1)&amp;"*|",$D$8)))),FALSE)))),ROW()-19,999)</f>
        <v>999</v>
      </c>
      <c r="AO55" t="str">
        <f ca="1">IFERROR(INDEX($A$20:$A$78,SMALL($AP$20:$AP$78,36)),"")</f>
        <v>徒手搏斗</v>
      </c>
      <c r="AP55">
        <f ca="1">IF(AND($A55&lt;&gt;"",COUNTIF($A$20:A55,A55)=1,AND($A55&lt;&gt;"",$A55&lt;&gt;"非自然知识",COUNTIF($A$20:$A$78,$A55)&gt;0,OR($B$9="any",$B$9="fixed",AND($B$9="group",LEFT($A55,LEN($E$9)+1)=$E$9&amp;"（"),IFERROR(OR(ISNUMBER(FIND("|"&amp;$A55&amp;"|",$D$9)),AND(IFERROR(FIND("（",$A55),0)&gt;0,ISNUMBER(FIND("|"&amp;LEFT($A55,FIND("（",$A55)-1)&amp;"*|",$D$9)))),FALSE)))),ROW()-19,999)</f>
        <v>999</v>
      </c>
    </row>
    <row r="56" spans="1:42">
      <c r="A56" t="str">
        <f>人物卡!AG20</f>
        <v>导航</v>
      </c>
      <c r="B56" t="str">
        <f t="shared" si="2"/>
        <v/>
      </c>
      <c r="C56">
        <f ca="1">IF(人物卡!AY20="",N(人物卡!AV20),N(人物卡!AY20))</f>
        <v>10</v>
      </c>
      <c r="D56">
        <f ca="1">IF(AND(A56&lt;&gt;"",COUNTIF($A$20:A56,A56)=1),COUNTIF($H$2:$H$9,A56)*20,0)</f>
        <v>0</v>
      </c>
      <c r="E56">
        <f ca="1" t="shared" si="3"/>
        <v>0</v>
      </c>
      <c r="F56">
        <f ca="1">IF(AND(A56&lt;&gt;"",COUNTIF($A$20:A56,A56)=1),IF(A56="神秘学",IF(人物卡!$DF$46="人类不应知道之事",20,IF(OR(人物卡!$DF$46="极端暴力",人物卡!$DF$46="关押或入狱",人物卡!$DF$46="艰苦经历"),10,0)),0)+IF(人物卡!$DF$46="艰苦经历",COUNTIF($H$12:$H$16,A56)*10,0),0)</f>
        <v>0</v>
      </c>
      <c r="G56">
        <f ca="1">IF(人物卡!$DF$46="艰苦经历",MIN(F56,MAX(0,90-C56-E56)),MIN(F56,MAX(0,99-C56-E56)))</f>
        <v>0</v>
      </c>
      <c r="H56" t="str">
        <f ca="1" t="shared" si="4"/>
        <v/>
      </c>
      <c r="I56" t="str">
        <f ca="1" t="shared" si="5"/>
        <v/>
      </c>
      <c r="J56" t="s">
        <v>2311</v>
      </c>
      <c r="K56" t="s">
        <v>2312</v>
      </c>
      <c r="Y56">
        <f ca="1">IF(AND($A56&lt;&gt;"",COUNTIF($A$20:A56,A56)=1,$A56&lt;&gt;"非自然知识"),ROW()-19,999)</f>
        <v>37</v>
      </c>
      <c r="Z56" t="str">
        <f ca="1">IFERROR(INDEX($A$20:$A$78,SMALL($Y$20:$Y$78,37)),"")</f>
        <v/>
      </c>
      <c r="AA56" t="str">
        <f ca="1">IFERROR(INDEX($A$20:$A$78,SMALL($AB$20:$AB$78,37)),"")</f>
        <v/>
      </c>
      <c r="AB56">
        <f ca="1">IF(AND($A56&lt;&gt;"",COUNTIF($A$20:A56,A56)=1,AND($A56&lt;&gt;"",$A56&lt;&gt;"非自然知识",COUNTIF($A$20:$A$78,$A56)&gt;0,OR($B$2="any",$B$2="fixed",AND($B$2="group",LEFT($A56,LEN($E$2)+1)=$E$2&amp;"（"),IFERROR(OR(ISNUMBER(FIND("|"&amp;$A56&amp;"|",$D$2)),AND(IFERROR(FIND("（",$A56),0)&gt;0,ISNUMBER(FIND("|"&amp;LEFT($A56,FIND("（",$A56)-1)&amp;"*|",$D$2)))),FALSE)))),ROW()-19,999)</f>
        <v>37</v>
      </c>
      <c r="AC56" t="str">
        <f ca="1">IFERROR(INDEX($A$20:$A$78,SMALL($AD$20:$AD$78,37)),"")</f>
        <v/>
      </c>
      <c r="AD56">
        <f ca="1">IF(AND($A56&lt;&gt;"",COUNTIF($A$20:A56,A56)=1,AND($A56&lt;&gt;"",$A56&lt;&gt;"非自然知识",COUNTIF($A$20:$A$78,$A56)&gt;0,OR($B$3="any",$B$3="fixed",AND($B$3="group",LEFT($A56,LEN($E$3)+1)=$E$3&amp;"（"),IFERROR(OR(ISNUMBER(FIND("|"&amp;$A56&amp;"|",$D$3)),AND(IFERROR(FIND("（",$A56),0)&gt;0,ISNUMBER(FIND("|"&amp;LEFT($A56,FIND("（",$A56)-1)&amp;"*|",$D$3)))),FALSE)))),ROW()-19,999)</f>
        <v>37</v>
      </c>
      <c r="AE56" t="str">
        <f ca="1">IFERROR(INDEX($A$20:$A$78,SMALL($AF$20:$AF$78,37)),"")</f>
        <v/>
      </c>
      <c r="AF56">
        <f ca="1">IF(AND($A56&lt;&gt;"",COUNTIF($A$20:A56,A56)=1,AND($A56&lt;&gt;"",$A56&lt;&gt;"非自然知识",COUNTIF($A$20:$A$78,$A56)&gt;0,OR($B$4="any",$B$4="fixed",AND($B$4="group",LEFT($A56,LEN($E$4)+1)=$E$4&amp;"（"),IFERROR(OR(ISNUMBER(FIND("|"&amp;$A56&amp;"|",$D$4)),AND(IFERROR(FIND("（",$A56),0)&gt;0,ISNUMBER(FIND("|"&amp;LEFT($A56,FIND("（",$A56)-1)&amp;"*|",$D$4)))),FALSE)))),ROW()-19,999)</f>
        <v>37</v>
      </c>
      <c r="AG56" t="str">
        <f ca="1">IFERROR(INDEX($A$20:$A$78,SMALL($AH$20:$AH$78,37)),"")</f>
        <v/>
      </c>
      <c r="AH56">
        <f ca="1">IF(AND($A56&lt;&gt;"",COUNTIF($A$20:A56,A56)=1,AND($A56&lt;&gt;"",$A56&lt;&gt;"非自然知识",COUNTIF($A$20:$A$78,$A56)&gt;0,OR($B$5="any",$B$5="fixed",AND($B$5="group",LEFT($A56,LEN($E$5)+1)=$E$5&amp;"（"),IFERROR(OR(ISNUMBER(FIND("|"&amp;$A56&amp;"|",$D$5)),AND(IFERROR(FIND("（",$A56),0)&gt;0,ISNUMBER(FIND("|"&amp;LEFT($A56,FIND("（",$A56)-1)&amp;"*|",$D$5)))),FALSE)))),ROW()-19,999)</f>
        <v>37</v>
      </c>
      <c r="AI56" t="str">
        <f ca="1">IFERROR(INDEX($A$20:$A$78,SMALL($AJ$20:$AJ$78,37)),"")</f>
        <v/>
      </c>
      <c r="AJ56">
        <f ca="1">IF(AND($A56&lt;&gt;"",COUNTIF($A$20:A56,A56)=1,AND($A56&lt;&gt;"",$A56&lt;&gt;"非自然知识",COUNTIF($A$20:$A$78,$A56)&gt;0,OR($B$6="any",$B$6="fixed",AND($B$6="group",LEFT($A56,LEN($E$6)+1)=$E$6&amp;"（"),IFERROR(OR(ISNUMBER(FIND("|"&amp;$A56&amp;"|",$D$6)),AND(IFERROR(FIND("（",$A56),0)&gt;0,ISNUMBER(FIND("|"&amp;LEFT($A56,FIND("（",$A56)-1)&amp;"*|",$D$6)))),FALSE)))),ROW()-19,999)</f>
        <v>37</v>
      </c>
      <c r="AK56" t="str">
        <f ca="1">IFERROR(INDEX($A$20:$A$78,SMALL($AL$20:$AL$78,37)),"")</f>
        <v/>
      </c>
      <c r="AL56">
        <f ca="1">IF(AND($A56&lt;&gt;"",COUNTIF($A$20:A56,A56)=1,AND($A56&lt;&gt;"",$A56&lt;&gt;"非自然知识",COUNTIF($A$20:$A$78,$A56)&gt;0,OR($B$7="any",$B$7="fixed",AND($B$7="group",LEFT($A56,LEN($E$7)+1)=$E$7&amp;"（"),IFERROR(OR(ISNUMBER(FIND("|"&amp;$A56&amp;"|",$D$7)),AND(IFERROR(FIND("（",$A56),0)&gt;0,ISNUMBER(FIND("|"&amp;LEFT($A56,FIND("（",$A56)-1)&amp;"*|",$D$7)))),FALSE)))),ROW()-19,999)</f>
        <v>37</v>
      </c>
      <c r="AM56" t="str">
        <f ca="1">IFERROR(INDEX($A$20:$A$78,SMALL($AN$20:$AN$78,37)),"")</f>
        <v/>
      </c>
      <c r="AN56">
        <f ca="1">IF(AND($A56&lt;&gt;"",COUNTIF($A$20:A56,A56)=1,AND($A56&lt;&gt;"",$A56&lt;&gt;"非自然知识",COUNTIF($A$20:$A$78,$A56)&gt;0,OR($B$8="any",$B$8="fixed",AND($B$8="group",LEFT($A56,LEN($E$8)+1)=$E$8&amp;"（"),IFERROR(OR(ISNUMBER(FIND("|"&amp;$A56&amp;"|",$D$8)),AND(IFERROR(FIND("（",$A56),0)&gt;0,ISNUMBER(FIND("|"&amp;LEFT($A56,FIND("（",$A56)-1)&amp;"*|",$D$8)))),FALSE)))),ROW()-19,999)</f>
        <v>37</v>
      </c>
      <c r="AO56" t="str">
        <f ca="1">IFERROR(INDEX($A$20:$A$78,SMALL($AP$20:$AP$78,37)),"")</f>
        <v/>
      </c>
      <c r="AP56">
        <f ca="1">IF(AND($A56&lt;&gt;"",COUNTIF($A$20:A56,A56)=1,AND($A56&lt;&gt;"",$A56&lt;&gt;"非自然知识",COUNTIF($A$20:$A$78,$A56)&gt;0,OR($B$9="any",$B$9="fixed",AND($B$9="group",LEFT($A56,LEN($E$9)+1)=$E$9&amp;"（"),IFERROR(OR(ISNUMBER(FIND("|"&amp;$A56&amp;"|",$D$9)),AND(IFERROR(FIND("（",$A56),0)&gt;0,ISNUMBER(FIND("|"&amp;LEFT($A56,FIND("（",$A56)-1)&amp;"*|",$D$9)))),FALSE)))),ROW()-19,999)</f>
        <v>37</v>
      </c>
    </row>
    <row r="57" spans="1:42">
      <c r="A57" t="str">
        <f>人物卡!AG21</f>
        <v>神秘学</v>
      </c>
      <c r="B57" t="str">
        <f t="shared" si="2"/>
        <v/>
      </c>
      <c r="C57">
        <f ca="1">IF(人物卡!AY21="",N(人物卡!AV21),N(人物卡!AY21))</f>
        <v>10</v>
      </c>
      <c r="D57">
        <f ca="1">IF(AND(A57&lt;&gt;"",COUNTIF($A$20:A57,A57)=1),COUNTIF($H$2:$H$9,A57)*20,0)</f>
        <v>0</v>
      </c>
      <c r="E57">
        <f ca="1" t="shared" si="3"/>
        <v>0</v>
      </c>
      <c r="F57">
        <f ca="1">IF(AND(A57&lt;&gt;"",COUNTIF($A$20:A57,A57)=1),IF(A57="神秘学",IF(人物卡!$DF$46="人类不应知道之事",20,IF(OR(人物卡!$DF$46="极端暴力",人物卡!$DF$46="关押或入狱",人物卡!$DF$46="艰苦经历"),10,0)),0)+IF(人物卡!$DF$46="艰苦经历",COUNTIF($H$12:$H$16,A57)*10,0),0)</f>
        <v>0</v>
      </c>
      <c r="G57">
        <f ca="1">IF(人物卡!$DF$46="艰苦经历",MIN(F57,MAX(0,90-C57-E57)),MIN(F57,MAX(0,99-C57-E57)))</f>
        <v>0</v>
      </c>
      <c r="H57" t="str">
        <f ca="1" t="shared" si="4"/>
        <v/>
      </c>
      <c r="I57" t="str">
        <f ca="1" t="shared" si="5"/>
        <v/>
      </c>
      <c r="J57" t="s">
        <v>2313</v>
      </c>
      <c r="K57" t="s">
        <v>2314</v>
      </c>
      <c r="Y57">
        <f ca="1">IF(AND($A57&lt;&gt;"",COUNTIF($A$20:A57,A57)=1,$A57&lt;&gt;"非自然知识"),ROW()-19,999)</f>
        <v>38</v>
      </c>
      <c r="Z57" t="str">
        <f ca="1">IFERROR(INDEX($A$20:$A$78,SMALL($Y$20:$Y$78,38)),"")</f>
        <v/>
      </c>
      <c r="AA57" t="str">
        <f ca="1">IFERROR(INDEX($A$20:$A$78,SMALL($AB$20:$AB$78,38)),"")</f>
        <v/>
      </c>
      <c r="AB57">
        <f ca="1">IF(AND($A57&lt;&gt;"",COUNTIF($A$20:A57,A57)=1,AND($A57&lt;&gt;"",$A57&lt;&gt;"非自然知识",COUNTIF($A$20:$A$78,$A57)&gt;0,OR($B$2="any",$B$2="fixed",AND($B$2="group",LEFT($A57,LEN($E$2)+1)=$E$2&amp;"（"),IFERROR(OR(ISNUMBER(FIND("|"&amp;$A57&amp;"|",$D$2)),AND(IFERROR(FIND("（",$A57),0)&gt;0,ISNUMBER(FIND("|"&amp;LEFT($A57,FIND("（",$A57)-1)&amp;"*|",$D$2)))),FALSE)))),ROW()-19,999)</f>
        <v>38</v>
      </c>
      <c r="AC57" t="str">
        <f ca="1">IFERROR(INDEX($A$20:$A$78,SMALL($AD$20:$AD$78,38)),"")</f>
        <v/>
      </c>
      <c r="AD57">
        <f ca="1">IF(AND($A57&lt;&gt;"",COUNTIF($A$20:A57,A57)=1,AND($A57&lt;&gt;"",$A57&lt;&gt;"非自然知识",COUNTIF($A$20:$A$78,$A57)&gt;0,OR($B$3="any",$B$3="fixed",AND($B$3="group",LEFT($A57,LEN($E$3)+1)=$E$3&amp;"（"),IFERROR(OR(ISNUMBER(FIND("|"&amp;$A57&amp;"|",$D$3)),AND(IFERROR(FIND("（",$A57),0)&gt;0,ISNUMBER(FIND("|"&amp;LEFT($A57,FIND("（",$A57)-1)&amp;"*|",$D$3)))),FALSE)))),ROW()-19,999)</f>
        <v>38</v>
      </c>
      <c r="AE57" t="str">
        <f ca="1">IFERROR(INDEX($A$20:$A$78,SMALL($AF$20:$AF$78,38)),"")</f>
        <v/>
      </c>
      <c r="AF57">
        <f ca="1">IF(AND($A57&lt;&gt;"",COUNTIF($A$20:A57,A57)=1,AND($A57&lt;&gt;"",$A57&lt;&gt;"非自然知识",COUNTIF($A$20:$A$78,$A57)&gt;0,OR($B$4="any",$B$4="fixed",AND($B$4="group",LEFT($A57,LEN($E$4)+1)=$E$4&amp;"（"),IFERROR(OR(ISNUMBER(FIND("|"&amp;$A57&amp;"|",$D$4)),AND(IFERROR(FIND("（",$A57),0)&gt;0,ISNUMBER(FIND("|"&amp;LEFT($A57,FIND("（",$A57)-1)&amp;"*|",$D$4)))),FALSE)))),ROW()-19,999)</f>
        <v>38</v>
      </c>
      <c r="AG57" t="str">
        <f ca="1">IFERROR(INDEX($A$20:$A$78,SMALL($AH$20:$AH$78,38)),"")</f>
        <v/>
      </c>
      <c r="AH57">
        <f ca="1">IF(AND($A57&lt;&gt;"",COUNTIF($A$20:A57,A57)=1,AND($A57&lt;&gt;"",$A57&lt;&gt;"非自然知识",COUNTIF($A$20:$A$78,$A57)&gt;0,OR($B$5="any",$B$5="fixed",AND($B$5="group",LEFT($A57,LEN($E$5)+1)=$E$5&amp;"（"),IFERROR(OR(ISNUMBER(FIND("|"&amp;$A57&amp;"|",$D$5)),AND(IFERROR(FIND("（",$A57),0)&gt;0,ISNUMBER(FIND("|"&amp;LEFT($A57,FIND("（",$A57)-1)&amp;"*|",$D$5)))),FALSE)))),ROW()-19,999)</f>
        <v>38</v>
      </c>
      <c r="AI57" t="str">
        <f ca="1">IFERROR(INDEX($A$20:$A$78,SMALL($AJ$20:$AJ$78,38)),"")</f>
        <v/>
      </c>
      <c r="AJ57">
        <f ca="1">IF(AND($A57&lt;&gt;"",COUNTIF($A$20:A57,A57)=1,AND($A57&lt;&gt;"",$A57&lt;&gt;"非自然知识",COUNTIF($A$20:$A$78,$A57)&gt;0,OR($B$6="any",$B$6="fixed",AND($B$6="group",LEFT($A57,LEN($E$6)+1)=$E$6&amp;"（"),IFERROR(OR(ISNUMBER(FIND("|"&amp;$A57&amp;"|",$D$6)),AND(IFERROR(FIND("（",$A57),0)&gt;0,ISNUMBER(FIND("|"&amp;LEFT($A57,FIND("（",$A57)-1)&amp;"*|",$D$6)))),FALSE)))),ROW()-19,999)</f>
        <v>38</v>
      </c>
      <c r="AK57" t="str">
        <f ca="1">IFERROR(INDEX($A$20:$A$78,SMALL($AL$20:$AL$78,38)),"")</f>
        <v/>
      </c>
      <c r="AL57">
        <f ca="1">IF(AND($A57&lt;&gt;"",COUNTIF($A$20:A57,A57)=1,AND($A57&lt;&gt;"",$A57&lt;&gt;"非自然知识",COUNTIF($A$20:$A$78,$A57)&gt;0,OR($B$7="any",$B$7="fixed",AND($B$7="group",LEFT($A57,LEN($E$7)+1)=$E$7&amp;"（"),IFERROR(OR(ISNUMBER(FIND("|"&amp;$A57&amp;"|",$D$7)),AND(IFERROR(FIND("（",$A57),0)&gt;0,ISNUMBER(FIND("|"&amp;LEFT($A57,FIND("（",$A57)-1)&amp;"*|",$D$7)))),FALSE)))),ROW()-19,999)</f>
        <v>38</v>
      </c>
      <c r="AM57" t="str">
        <f ca="1">IFERROR(INDEX($A$20:$A$78,SMALL($AN$20:$AN$78,38)),"")</f>
        <v/>
      </c>
      <c r="AN57">
        <f ca="1">IF(AND($A57&lt;&gt;"",COUNTIF($A$20:A57,A57)=1,AND($A57&lt;&gt;"",$A57&lt;&gt;"非自然知识",COUNTIF($A$20:$A$78,$A57)&gt;0,OR($B$8="any",$B$8="fixed",AND($B$8="group",LEFT($A57,LEN($E$8)+1)=$E$8&amp;"（"),IFERROR(OR(ISNUMBER(FIND("|"&amp;$A57&amp;"|",$D$8)),AND(IFERROR(FIND("（",$A57),0)&gt;0,ISNUMBER(FIND("|"&amp;LEFT($A57,FIND("（",$A57)-1)&amp;"*|",$D$8)))),FALSE)))),ROW()-19,999)</f>
        <v>38</v>
      </c>
      <c r="AO57" t="str">
        <f ca="1">IFERROR(INDEX($A$20:$A$78,SMALL($AP$20:$AP$78,38)),"")</f>
        <v/>
      </c>
      <c r="AP57">
        <f ca="1">IF(AND($A57&lt;&gt;"",COUNTIF($A$20:A57,A57)=1,AND($A57&lt;&gt;"",$A57&lt;&gt;"非自然知识",COUNTIF($A$20:$A$78,$A57)&gt;0,OR($B$9="any",$B$9="fixed",AND($B$9="group",LEFT($A57,LEN($E$9)+1)=$E$9&amp;"（"),IFERROR(OR(ISNUMBER(FIND("|"&amp;$A57&amp;"|",$D$9)),AND(IFERROR(FIND("（",$A57),0)&gt;0,ISNUMBER(FIND("|"&amp;LEFT($A57,FIND("（",$A57)-1)&amp;"*|",$D$9)))),FALSE)))),ROW()-19,999)</f>
        <v>38</v>
      </c>
    </row>
    <row r="58" spans="1:42">
      <c r="A58" t="str">
        <f>人物卡!AG22</f>
        <v>说服</v>
      </c>
      <c r="B58" t="str">
        <f t="shared" si="2"/>
        <v/>
      </c>
      <c r="C58">
        <f ca="1">IF(人物卡!AY22="",N(人物卡!AV22),N(人物卡!AY22))</f>
        <v>20</v>
      </c>
      <c r="D58">
        <f ca="1">IF(AND(A58&lt;&gt;"",COUNTIF($A$20:A58,A58)=1),COUNTIF($H$2:$H$9,A58)*20,0)</f>
        <v>0</v>
      </c>
      <c r="E58">
        <f ca="1" t="shared" si="3"/>
        <v>0</v>
      </c>
      <c r="F58">
        <f ca="1">IF(AND(A58&lt;&gt;"",COUNTIF($A$20:A58,A58)=1),IF(A58="神秘学",IF(人物卡!$DF$46="人类不应知道之事",20,IF(OR(人物卡!$DF$46="极端暴力",人物卡!$DF$46="关押或入狱",人物卡!$DF$46="艰苦经历"),10,0)),0)+IF(人物卡!$DF$46="艰苦经历",COUNTIF($H$12:$H$16,A58)*10,0),0)</f>
        <v>0</v>
      </c>
      <c r="G58">
        <f ca="1">IF(人物卡!$DF$46="艰苦经历",MIN(F58,MAX(0,90-C58-E58)),MIN(F58,MAX(0,99-C58-E58)))</f>
        <v>0</v>
      </c>
      <c r="H58" t="str">
        <f ca="1" t="shared" si="4"/>
        <v/>
      </c>
      <c r="I58" t="str">
        <f ca="1" t="shared" si="5"/>
        <v/>
      </c>
      <c r="J58" t="s">
        <v>2315</v>
      </c>
      <c r="K58" t="s">
        <v>2316</v>
      </c>
      <c r="Y58">
        <f ca="1">IF(AND($A58&lt;&gt;"",COUNTIF($A$20:A58,A58)=1,$A58&lt;&gt;"非自然知识"),ROW()-19,999)</f>
        <v>39</v>
      </c>
      <c r="Z58" t="str">
        <f ca="1">IFERROR(INDEX($A$20:$A$78,SMALL($Y$20:$Y$78,39)),"")</f>
        <v/>
      </c>
      <c r="AA58" t="str">
        <f ca="1">IFERROR(INDEX($A$20:$A$78,SMALL($AB$20:$AB$78,39)),"")</f>
        <v/>
      </c>
      <c r="AB58">
        <f ca="1">IF(AND($A58&lt;&gt;"",COUNTIF($A$20:A58,A58)=1,AND($A58&lt;&gt;"",$A58&lt;&gt;"非自然知识",COUNTIF($A$20:$A$78,$A58)&gt;0,OR($B$2="any",$B$2="fixed",AND($B$2="group",LEFT($A58,LEN($E$2)+1)=$E$2&amp;"（"),IFERROR(OR(ISNUMBER(FIND("|"&amp;$A58&amp;"|",$D$2)),AND(IFERROR(FIND("（",$A58),0)&gt;0,ISNUMBER(FIND("|"&amp;LEFT($A58,FIND("（",$A58)-1)&amp;"*|",$D$2)))),FALSE)))),ROW()-19,999)</f>
        <v>39</v>
      </c>
      <c r="AC58" t="str">
        <f ca="1">IFERROR(INDEX($A$20:$A$78,SMALL($AD$20:$AD$78,39)),"")</f>
        <v/>
      </c>
      <c r="AD58">
        <f ca="1">IF(AND($A58&lt;&gt;"",COUNTIF($A$20:A58,A58)=1,AND($A58&lt;&gt;"",$A58&lt;&gt;"非自然知识",COUNTIF($A$20:$A$78,$A58)&gt;0,OR($B$3="any",$B$3="fixed",AND($B$3="group",LEFT($A58,LEN($E$3)+1)=$E$3&amp;"（"),IFERROR(OR(ISNUMBER(FIND("|"&amp;$A58&amp;"|",$D$3)),AND(IFERROR(FIND("（",$A58),0)&gt;0,ISNUMBER(FIND("|"&amp;LEFT($A58,FIND("（",$A58)-1)&amp;"*|",$D$3)))),FALSE)))),ROW()-19,999)</f>
        <v>39</v>
      </c>
      <c r="AE58" t="str">
        <f ca="1">IFERROR(INDEX($A$20:$A$78,SMALL($AF$20:$AF$78,39)),"")</f>
        <v/>
      </c>
      <c r="AF58">
        <f ca="1">IF(AND($A58&lt;&gt;"",COUNTIF($A$20:A58,A58)=1,AND($A58&lt;&gt;"",$A58&lt;&gt;"非自然知识",COUNTIF($A$20:$A$78,$A58)&gt;0,OR($B$4="any",$B$4="fixed",AND($B$4="group",LEFT($A58,LEN($E$4)+1)=$E$4&amp;"（"),IFERROR(OR(ISNUMBER(FIND("|"&amp;$A58&amp;"|",$D$4)),AND(IFERROR(FIND("（",$A58),0)&gt;0,ISNUMBER(FIND("|"&amp;LEFT($A58,FIND("（",$A58)-1)&amp;"*|",$D$4)))),FALSE)))),ROW()-19,999)</f>
        <v>39</v>
      </c>
      <c r="AG58" t="str">
        <f ca="1">IFERROR(INDEX($A$20:$A$78,SMALL($AH$20:$AH$78,39)),"")</f>
        <v/>
      </c>
      <c r="AH58">
        <f ca="1">IF(AND($A58&lt;&gt;"",COUNTIF($A$20:A58,A58)=1,AND($A58&lt;&gt;"",$A58&lt;&gt;"非自然知识",COUNTIF($A$20:$A$78,$A58)&gt;0,OR($B$5="any",$B$5="fixed",AND($B$5="group",LEFT($A58,LEN($E$5)+1)=$E$5&amp;"（"),IFERROR(OR(ISNUMBER(FIND("|"&amp;$A58&amp;"|",$D$5)),AND(IFERROR(FIND("（",$A58),0)&gt;0,ISNUMBER(FIND("|"&amp;LEFT($A58,FIND("（",$A58)-1)&amp;"*|",$D$5)))),FALSE)))),ROW()-19,999)</f>
        <v>39</v>
      </c>
      <c r="AI58" t="str">
        <f ca="1">IFERROR(INDEX($A$20:$A$78,SMALL($AJ$20:$AJ$78,39)),"")</f>
        <v/>
      </c>
      <c r="AJ58">
        <f ca="1">IF(AND($A58&lt;&gt;"",COUNTIF($A$20:A58,A58)=1,AND($A58&lt;&gt;"",$A58&lt;&gt;"非自然知识",COUNTIF($A$20:$A$78,$A58)&gt;0,OR($B$6="any",$B$6="fixed",AND($B$6="group",LEFT($A58,LEN($E$6)+1)=$E$6&amp;"（"),IFERROR(OR(ISNUMBER(FIND("|"&amp;$A58&amp;"|",$D$6)),AND(IFERROR(FIND("（",$A58),0)&gt;0,ISNUMBER(FIND("|"&amp;LEFT($A58,FIND("（",$A58)-1)&amp;"*|",$D$6)))),FALSE)))),ROW()-19,999)</f>
        <v>39</v>
      </c>
      <c r="AK58" t="str">
        <f ca="1">IFERROR(INDEX($A$20:$A$78,SMALL($AL$20:$AL$78,39)),"")</f>
        <v/>
      </c>
      <c r="AL58">
        <f ca="1">IF(AND($A58&lt;&gt;"",COUNTIF($A$20:A58,A58)=1,AND($A58&lt;&gt;"",$A58&lt;&gt;"非自然知识",COUNTIF($A$20:$A$78,$A58)&gt;0,OR($B$7="any",$B$7="fixed",AND($B$7="group",LEFT($A58,LEN($E$7)+1)=$E$7&amp;"（"),IFERROR(OR(ISNUMBER(FIND("|"&amp;$A58&amp;"|",$D$7)),AND(IFERROR(FIND("（",$A58),0)&gt;0,ISNUMBER(FIND("|"&amp;LEFT($A58,FIND("（",$A58)-1)&amp;"*|",$D$7)))),FALSE)))),ROW()-19,999)</f>
        <v>39</v>
      </c>
      <c r="AM58" t="str">
        <f ca="1">IFERROR(INDEX($A$20:$A$78,SMALL($AN$20:$AN$78,39)),"")</f>
        <v/>
      </c>
      <c r="AN58">
        <f ca="1">IF(AND($A58&lt;&gt;"",COUNTIF($A$20:A58,A58)=1,AND($A58&lt;&gt;"",$A58&lt;&gt;"非自然知识",COUNTIF($A$20:$A$78,$A58)&gt;0,OR($B$8="any",$B$8="fixed",AND($B$8="group",LEFT($A58,LEN($E$8)+1)=$E$8&amp;"（"),IFERROR(OR(ISNUMBER(FIND("|"&amp;$A58&amp;"|",$D$8)),AND(IFERROR(FIND("（",$A58),0)&gt;0,ISNUMBER(FIND("|"&amp;LEFT($A58,FIND("（",$A58)-1)&amp;"*|",$D$8)))),FALSE)))),ROW()-19,999)</f>
        <v>39</v>
      </c>
      <c r="AO58" t="str">
        <f ca="1">IFERROR(INDEX($A$20:$A$78,SMALL($AP$20:$AP$78,39)),"")</f>
        <v/>
      </c>
      <c r="AP58">
        <f ca="1">IF(AND($A58&lt;&gt;"",COUNTIF($A$20:A58,A58)=1,AND($A58&lt;&gt;"",$A58&lt;&gt;"非自然知识",COUNTIF($A$20:$A$78,$A58)&gt;0,OR($B$9="any",$B$9="fixed",AND($B$9="group",LEFT($A58,LEN($E$9)+1)=$E$9&amp;"（"),IFERROR(OR(ISNUMBER(FIND("|"&amp;$A58&amp;"|",$D$9)),AND(IFERROR(FIND("（",$A58),0)&gt;0,ISNUMBER(FIND("|"&amp;LEFT($A58,FIND("（",$A58)-1)&amp;"*|",$D$9)))),FALSE)))),ROW()-19,999)</f>
        <v>39</v>
      </c>
    </row>
    <row r="59" spans="1:42">
      <c r="A59" t="str">
        <f>人物卡!AG23</f>
        <v>药学</v>
      </c>
      <c r="B59" t="str">
        <f t="shared" si="2"/>
        <v/>
      </c>
      <c r="C59">
        <f ca="1">IF(人物卡!AY23="",N(人物卡!AV23),N(人物卡!AY23))</f>
        <v>0</v>
      </c>
      <c r="D59">
        <f ca="1">IF(AND(A59&lt;&gt;"",COUNTIF($A$20:A59,A59)=1),COUNTIF($H$2:$H$9,A59)*20,0)</f>
        <v>0</v>
      </c>
      <c r="E59">
        <f ca="1" t="shared" si="3"/>
        <v>0</v>
      </c>
      <c r="F59">
        <f ca="1">IF(AND(A59&lt;&gt;"",COUNTIF($A$20:A59,A59)=1),IF(A59="神秘学",IF(人物卡!$DF$46="人类不应知道之事",20,IF(OR(人物卡!$DF$46="极端暴力",人物卡!$DF$46="关押或入狱",人物卡!$DF$46="艰苦经历"),10,0)),0)+IF(人物卡!$DF$46="艰苦经历",COUNTIF($H$12:$H$16,A59)*10,0),0)</f>
        <v>0</v>
      </c>
      <c r="G59">
        <f ca="1">IF(人物卡!$DF$46="艰苦经历",MIN(F59,MAX(0,90-C59-E59)),MIN(F59,MAX(0,99-C59-E59)))</f>
        <v>0</v>
      </c>
      <c r="H59" t="str">
        <f ca="1" t="shared" si="4"/>
        <v/>
      </c>
      <c r="I59" t="str">
        <f ca="1" t="shared" si="5"/>
        <v/>
      </c>
      <c r="J59" t="s">
        <v>2317</v>
      </c>
      <c r="K59" t="s">
        <v>2318</v>
      </c>
      <c r="Y59">
        <f ca="1">IF(AND($A59&lt;&gt;"",COUNTIF($A$20:A59,A59)=1,$A59&lt;&gt;"非自然知识"),ROW()-19,999)</f>
        <v>40</v>
      </c>
      <c r="Z59" t="str">
        <f ca="1">IFERROR(INDEX($A$20:$A$78,SMALL($Y$20:$Y$78,40)),"")</f>
        <v/>
      </c>
      <c r="AA59" t="str">
        <f ca="1">IFERROR(INDEX($A$20:$A$78,SMALL($AB$20:$AB$78,40)),"")</f>
        <v/>
      </c>
      <c r="AB59">
        <f ca="1">IF(AND($A59&lt;&gt;"",COUNTIF($A$20:A59,A59)=1,AND($A59&lt;&gt;"",$A59&lt;&gt;"非自然知识",COUNTIF($A$20:$A$78,$A59)&gt;0,OR($B$2="any",$B$2="fixed",AND($B$2="group",LEFT($A59,LEN($E$2)+1)=$E$2&amp;"（"),IFERROR(OR(ISNUMBER(FIND("|"&amp;$A59&amp;"|",$D$2)),AND(IFERROR(FIND("（",$A59),0)&gt;0,ISNUMBER(FIND("|"&amp;LEFT($A59,FIND("（",$A59)-1)&amp;"*|",$D$2)))),FALSE)))),ROW()-19,999)</f>
        <v>40</v>
      </c>
      <c r="AC59" t="str">
        <f ca="1">IFERROR(INDEX($A$20:$A$78,SMALL($AD$20:$AD$78,40)),"")</f>
        <v/>
      </c>
      <c r="AD59">
        <f ca="1">IF(AND($A59&lt;&gt;"",COUNTIF($A$20:A59,A59)=1,AND($A59&lt;&gt;"",$A59&lt;&gt;"非自然知识",COUNTIF($A$20:$A$78,$A59)&gt;0,OR($B$3="any",$B$3="fixed",AND($B$3="group",LEFT($A59,LEN($E$3)+1)=$E$3&amp;"（"),IFERROR(OR(ISNUMBER(FIND("|"&amp;$A59&amp;"|",$D$3)),AND(IFERROR(FIND("（",$A59),0)&gt;0,ISNUMBER(FIND("|"&amp;LEFT($A59,FIND("（",$A59)-1)&amp;"*|",$D$3)))),FALSE)))),ROW()-19,999)</f>
        <v>40</v>
      </c>
      <c r="AE59" t="str">
        <f ca="1">IFERROR(INDEX($A$20:$A$78,SMALL($AF$20:$AF$78,40)),"")</f>
        <v/>
      </c>
      <c r="AF59">
        <f ca="1">IF(AND($A59&lt;&gt;"",COUNTIF($A$20:A59,A59)=1,AND($A59&lt;&gt;"",$A59&lt;&gt;"非自然知识",COUNTIF($A$20:$A$78,$A59)&gt;0,OR($B$4="any",$B$4="fixed",AND($B$4="group",LEFT($A59,LEN($E$4)+1)=$E$4&amp;"（"),IFERROR(OR(ISNUMBER(FIND("|"&amp;$A59&amp;"|",$D$4)),AND(IFERROR(FIND("（",$A59),0)&gt;0,ISNUMBER(FIND("|"&amp;LEFT($A59,FIND("（",$A59)-1)&amp;"*|",$D$4)))),FALSE)))),ROW()-19,999)</f>
        <v>40</v>
      </c>
      <c r="AG59" t="str">
        <f ca="1">IFERROR(INDEX($A$20:$A$78,SMALL($AH$20:$AH$78,40)),"")</f>
        <v/>
      </c>
      <c r="AH59">
        <f ca="1">IF(AND($A59&lt;&gt;"",COUNTIF($A$20:A59,A59)=1,AND($A59&lt;&gt;"",$A59&lt;&gt;"非自然知识",COUNTIF($A$20:$A$78,$A59)&gt;0,OR($B$5="any",$B$5="fixed",AND($B$5="group",LEFT($A59,LEN($E$5)+1)=$E$5&amp;"（"),IFERROR(OR(ISNUMBER(FIND("|"&amp;$A59&amp;"|",$D$5)),AND(IFERROR(FIND("（",$A59),0)&gt;0,ISNUMBER(FIND("|"&amp;LEFT($A59,FIND("（",$A59)-1)&amp;"*|",$D$5)))),FALSE)))),ROW()-19,999)</f>
        <v>40</v>
      </c>
      <c r="AI59" t="str">
        <f ca="1">IFERROR(INDEX($A$20:$A$78,SMALL($AJ$20:$AJ$78,40)),"")</f>
        <v/>
      </c>
      <c r="AJ59">
        <f ca="1">IF(AND($A59&lt;&gt;"",COUNTIF($A$20:A59,A59)=1,AND($A59&lt;&gt;"",$A59&lt;&gt;"非自然知识",COUNTIF($A$20:$A$78,$A59)&gt;0,OR($B$6="any",$B$6="fixed",AND($B$6="group",LEFT($A59,LEN($E$6)+1)=$E$6&amp;"（"),IFERROR(OR(ISNUMBER(FIND("|"&amp;$A59&amp;"|",$D$6)),AND(IFERROR(FIND("（",$A59),0)&gt;0,ISNUMBER(FIND("|"&amp;LEFT($A59,FIND("（",$A59)-1)&amp;"*|",$D$6)))),FALSE)))),ROW()-19,999)</f>
        <v>40</v>
      </c>
      <c r="AK59" t="str">
        <f ca="1">IFERROR(INDEX($A$20:$A$78,SMALL($AL$20:$AL$78,40)),"")</f>
        <v/>
      </c>
      <c r="AL59">
        <f ca="1">IF(AND($A59&lt;&gt;"",COUNTIF($A$20:A59,A59)=1,AND($A59&lt;&gt;"",$A59&lt;&gt;"非自然知识",COUNTIF($A$20:$A$78,$A59)&gt;0,OR($B$7="any",$B$7="fixed",AND($B$7="group",LEFT($A59,LEN($E$7)+1)=$E$7&amp;"（"),IFERROR(OR(ISNUMBER(FIND("|"&amp;$A59&amp;"|",$D$7)),AND(IFERROR(FIND("（",$A59),0)&gt;0,ISNUMBER(FIND("|"&amp;LEFT($A59,FIND("（",$A59)-1)&amp;"*|",$D$7)))),FALSE)))),ROW()-19,999)</f>
        <v>40</v>
      </c>
      <c r="AM59" t="str">
        <f ca="1">IFERROR(INDEX($A$20:$A$78,SMALL($AN$20:$AN$78,40)),"")</f>
        <v/>
      </c>
      <c r="AN59">
        <f ca="1">IF(AND($A59&lt;&gt;"",COUNTIF($A$20:A59,A59)=1,AND($A59&lt;&gt;"",$A59&lt;&gt;"非自然知识",COUNTIF($A$20:$A$78,$A59)&gt;0,OR($B$8="any",$B$8="fixed",AND($B$8="group",LEFT($A59,LEN($E$8)+1)=$E$8&amp;"（"),IFERROR(OR(ISNUMBER(FIND("|"&amp;$A59&amp;"|",$D$8)),AND(IFERROR(FIND("（",$A59),0)&gt;0,ISNUMBER(FIND("|"&amp;LEFT($A59,FIND("（",$A59)-1)&amp;"*|",$D$8)))),FALSE)))),ROW()-19,999)</f>
        <v>40</v>
      </c>
      <c r="AO59" t="str">
        <f ca="1">IFERROR(INDEX($A$20:$A$78,SMALL($AP$20:$AP$78,40)),"")</f>
        <v/>
      </c>
      <c r="AP59">
        <f ca="1">IF(AND($A59&lt;&gt;"",COUNTIF($A$20:A59,A59)=1,AND($A59&lt;&gt;"",$A59&lt;&gt;"非自然知识",COUNTIF($A$20:$A$78,$A59)&gt;0,OR($B$9="any",$B$9="fixed",AND($B$9="group",LEFT($A59,LEN($E$9)+1)=$E$9&amp;"（"),IFERROR(OR(ISNUMBER(FIND("|"&amp;$A59&amp;"|",$D$9)),AND(IFERROR(FIND("（",$A59),0)&gt;0,ISNUMBER(FIND("|"&amp;LEFT($A59,FIND("（",$A59)-1)&amp;"*|",$D$9)))),FALSE)))),ROW()-19,999)</f>
        <v>40</v>
      </c>
    </row>
    <row r="60" spans="1:42">
      <c r="A60" t="str">
        <f ca="1">IF(TRIM(人物卡!AM24)="","","特种载具（"&amp;TRIM(人物卡!AM24)&amp;"）")</f>
        <v/>
      </c>
      <c r="B60" t="str">
        <f ca="1" t="shared" si="2"/>
        <v/>
      </c>
      <c r="C60">
        <f ca="1">IF(人物卡!AY24="",N(人物卡!AV24),N(人物卡!AY24))</f>
        <v>0</v>
      </c>
      <c r="D60">
        <f ca="1">IF(AND(A60&lt;&gt;"",COUNTIF($A$20:A60,A60)=1),COUNTIF($H$2:$H$9,A60)*20,0)</f>
        <v>0</v>
      </c>
      <c r="E60">
        <f ca="1" t="shared" si="3"/>
        <v>0</v>
      </c>
      <c r="F60">
        <f ca="1">IF(AND(A60&lt;&gt;"",COUNTIF($A$20:A60,A60)=1),IF(A60="神秘学",IF(人物卡!$DF$46="人类不应知道之事",20,IF(OR(人物卡!$DF$46="极端暴力",人物卡!$DF$46="关押或入狱",人物卡!$DF$46="艰苦经历"),10,0)),0)+IF(人物卡!$DF$46="艰苦经历",COUNTIF($H$12:$H$16,A60)*10,0),0)</f>
        <v>0</v>
      </c>
      <c r="G60">
        <f ca="1">IF(人物卡!$DF$46="艰苦经历",MIN(F60,MAX(0,90-C60-E60)),MIN(F60,MAX(0,99-C60-E60)))</f>
        <v>0</v>
      </c>
      <c r="H60" t="str">
        <f ca="1" t="shared" si="4"/>
        <v/>
      </c>
      <c r="I60" t="str">
        <f ca="1" t="shared" si="5"/>
        <v/>
      </c>
      <c r="J60" t="s">
        <v>2319</v>
      </c>
      <c r="K60" t="s">
        <v>2320</v>
      </c>
      <c r="Y60">
        <f ca="1">IF(AND($A60&lt;&gt;"",COUNTIF($A$20:A60,A60)=1,$A60&lt;&gt;"非自然知识"),ROW()-19,999)</f>
        <v>999</v>
      </c>
      <c r="Z60" t="str">
        <f ca="1">IFERROR(INDEX($A$20:$A$78,SMALL($Y$20:$Y$78,41)),"")</f>
        <v/>
      </c>
      <c r="AA60" t="str">
        <f ca="1">IFERROR(INDEX($A$20:$A$78,SMALL($AB$20:$AB$78,41)),"")</f>
        <v/>
      </c>
      <c r="AB60">
        <f ca="1">IF(AND($A60&lt;&gt;"",COUNTIF($A$20:A60,A60)=1,AND($A60&lt;&gt;"",$A60&lt;&gt;"非自然知识",COUNTIF($A$20:$A$78,$A60)&gt;0,OR($B$2="any",$B$2="fixed",AND($B$2="group",LEFT($A60,LEN($E$2)+1)=$E$2&amp;"（"),IFERROR(OR(ISNUMBER(FIND("|"&amp;$A60&amp;"|",$D$2)),AND(IFERROR(FIND("（",$A60),0)&gt;0,ISNUMBER(FIND("|"&amp;LEFT($A60,FIND("（",$A60)-1)&amp;"*|",$D$2)))),FALSE)))),ROW()-19,999)</f>
        <v>999</v>
      </c>
      <c r="AC60" t="str">
        <f ca="1">IFERROR(INDEX($A$20:$A$78,SMALL($AD$20:$AD$78,41)),"")</f>
        <v/>
      </c>
      <c r="AD60">
        <f ca="1">IF(AND($A60&lt;&gt;"",COUNTIF($A$20:A60,A60)=1,AND($A60&lt;&gt;"",$A60&lt;&gt;"非自然知识",COUNTIF($A$20:$A$78,$A60)&gt;0,OR($B$3="any",$B$3="fixed",AND($B$3="group",LEFT($A60,LEN($E$3)+1)=$E$3&amp;"（"),IFERROR(OR(ISNUMBER(FIND("|"&amp;$A60&amp;"|",$D$3)),AND(IFERROR(FIND("（",$A60),0)&gt;0,ISNUMBER(FIND("|"&amp;LEFT($A60,FIND("（",$A60)-1)&amp;"*|",$D$3)))),FALSE)))),ROW()-19,999)</f>
        <v>999</v>
      </c>
      <c r="AE60" t="str">
        <f ca="1">IFERROR(INDEX($A$20:$A$78,SMALL($AF$20:$AF$78,41)),"")</f>
        <v/>
      </c>
      <c r="AF60">
        <f ca="1">IF(AND($A60&lt;&gt;"",COUNTIF($A$20:A60,A60)=1,AND($A60&lt;&gt;"",$A60&lt;&gt;"非自然知识",COUNTIF($A$20:$A$78,$A60)&gt;0,OR($B$4="any",$B$4="fixed",AND($B$4="group",LEFT($A60,LEN($E$4)+1)=$E$4&amp;"（"),IFERROR(OR(ISNUMBER(FIND("|"&amp;$A60&amp;"|",$D$4)),AND(IFERROR(FIND("（",$A60),0)&gt;0,ISNUMBER(FIND("|"&amp;LEFT($A60,FIND("（",$A60)-1)&amp;"*|",$D$4)))),FALSE)))),ROW()-19,999)</f>
        <v>999</v>
      </c>
      <c r="AG60" t="str">
        <f ca="1">IFERROR(INDEX($A$20:$A$78,SMALL($AH$20:$AH$78,41)),"")</f>
        <v/>
      </c>
      <c r="AH60">
        <f ca="1">IF(AND($A60&lt;&gt;"",COUNTIF($A$20:A60,A60)=1,AND($A60&lt;&gt;"",$A60&lt;&gt;"非自然知识",COUNTIF($A$20:$A$78,$A60)&gt;0,OR($B$5="any",$B$5="fixed",AND($B$5="group",LEFT($A60,LEN($E$5)+1)=$E$5&amp;"（"),IFERROR(OR(ISNUMBER(FIND("|"&amp;$A60&amp;"|",$D$5)),AND(IFERROR(FIND("（",$A60),0)&gt;0,ISNUMBER(FIND("|"&amp;LEFT($A60,FIND("（",$A60)-1)&amp;"*|",$D$5)))),FALSE)))),ROW()-19,999)</f>
        <v>999</v>
      </c>
      <c r="AI60" t="str">
        <f ca="1">IFERROR(INDEX($A$20:$A$78,SMALL($AJ$20:$AJ$78,41)),"")</f>
        <v/>
      </c>
      <c r="AJ60">
        <f ca="1">IF(AND($A60&lt;&gt;"",COUNTIF($A$20:A60,A60)=1,AND($A60&lt;&gt;"",$A60&lt;&gt;"非自然知识",COUNTIF($A$20:$A$78,$A60)&gt;0,OR($B$6="any",$B$6="fixed",AND($B$6="group",LEFT($A60,LEN($E$6)+1)=$E$6&amp;"（"),IFERROR(OR(ISNUMBER(FIND("|"&amp;$A60&amp;"|",$D$6)),AND(IFERROR(FIND("（",$A60),0)&gt;0,ISNUMBER(FIND("|"&amp;LEFT($A60,FIND("（",$A60)-1)&amp;"*|",$D$6)))),FALSE)))),ROW()-19,999)</f>
        <v>999</v>
      </c>
      <c r="AK60" t="str">
        <f ca="1">IFERROR(INDEX($A$20:$A$78,SMALL($AL$20:$AL$78,41)),"")</f>
        <v/>
      </c>
      <c r="AL60">
        <f ca="1">IF(AND($A60&lt;&gt;"",COUNTIF($A$20:A60,A60)=1,AND($A60&lt;&gt;"",$A60&lt;&gt;"非自然知识",COUNTIF($A$20:$A$78,$A60)&gt;0,OR($B$7="any",$B$7="fixed",AND($B$7="group",LEFT($A60,LEN($E$7)+1)=$E$7&amp;"（"),IFERROR(OR(ISNUMBER(FIND("|"&amp;$A60&amp;"|",$D$7)),AND(IFERROR(FIND("（",$A60),0)&gt;0,ISNUMBER(FIND("|"&amp;LEFT($A60,FIND("（",$A60)-1)&amp;"*|",$D$7)))),FALSE)))),ROW()-19,999)</f>
        <v>999</v>
      </c>
      <c r="AM60" t="str">
        <f ca="1">IFERROR(INDEX($A$20:$A$78,SMALL($AN$20:$AN$78,41)),"")</f>
        <v/>
      </c>
      <c r="AN60">
        <f ca="1">IF(AND($A60&lt;&gt;"",COUNTIF($A$20:A60,A60)=1,AND($A60&lt;&gt;"",$A60&lt;&gt;"非自然知识",COUNTIF($A$20:$A$78,$A60)&gt;0,OR($B$8="any",$B$8="fixed",AND($B$8="group",LEFT($A60,LEN($E$8)+1)=$E$8&amp;"（"),IFERROR(OR(ISNUMBER(FIND("|"&amp;$A60&amp;"|",$D$8)),AND(IFERROR(FIND("（",$A60),0)&gt;0,ISNUMBER(FIND("|"&amp;LEFT($A60,FIND("（",$A60)-1)&amp;"*|",$D$8)))),FALSE)))),ROW()-19,999)</f>
        <v>999</v>
      </c>
      <c r="AO60" t="str">
        <f ca="1">IFERROR(INDEX($A$20:$A$78,SMALL($AP$20:$AP$78,41)),"")</f>
        <v/>
      </c>
      <c r="AP60">
        <f ca="1">IF(AND($A60&lt;&gt;"",COUNTIF($A$20:A60,A60)=1,AND($A60&lt;&gt;"",$A60&lt;&gt;"非自然知识",COUNTIF($A$20:$A$78,$A60)&gt;0,OR($B$9="any",$B$9="fixed",AND($B$9="group",LEFT($A60,LEN($E$9)+1)=$E$9&amp;"（"),IFERROR(OR(ISNUMBER(FIND("|"&amp;$A60&amp;"|",$D$9)),AND(IFERROR(FIND("（",$A60),0)&gt;0,ISNUMBER(FIND("|"&amp;LEFT($A60,FIND("（",$A60)-1)&amp;"*|",$D$9)))),FALSE)))),ROW()-19,999)</f>
        <v>999</v>
      </c>
    </row>
    <row r="61" spans="1:42">
      <c r="A61" t="str">
        <f ca="1">IF(TRIM(人物卡!AM25)="","","特种载具（"&amp;TRIM(人物卡!AM25)&amp;"）")</f>
        <v/>
      </c>
      <c r="B61" t="str">
        <f ca="1" t="shared" si="2"/>
        <v/>
      </c>
      <c r="C61">
        <f ca="1">IF(人物卡!AY25="",N(人物卡!AV25),N(人物卡!AY25))</f>
        <v>0</v>
      </c>
      <c r="D61">
        <f ca="1">IF(AND(A61&lt;&gt;"",COUNTIF($A$20:A61,A61)=1),COUNTIF($H$2:$H$9,A61)*20,0)</f>
        <v>0</v>
      </c>
      <c r="E61">
        <f ca="1" t="shared" si="3"/>
        <v>0</v>
      </c>
      <c r="F61">
        <f ca="1">IF(AND(A61&lt;&gt;"",COUNTIF($A$20:A61,A61)=1),IF(A61="神秘学",IF(人物卡!$DF$46="人类不应知道之事",20,IF(OR(人物卡!$DF$46="极端暴力",人物卡!$DF$46="关押或入狱",人物卡!$DF$46="艰苦经历"),10,0)),0)+IF(人物卡!$DF$46="艰苦经历",COUNTIF($H$12:$H$16,A61)*10,0),0)</f>
        <v>0</v>
      </c>
      <c r="G61">
        <f ca="1">IF(人物卡!$DF$46="艰苦经历",MIN(F61,MAX(0,90-C61-E61)),MIN(F61,MAX(0,99-C61-E61)))</f>
        <v>0</v>
      </c>
      <c r="H61" t="str">
        <f ca="1" t="shared" si="4"/>
        <v/>
      </c>
      <c r="I61" t="str">
        <f ca="1" t="shared" si="5"/>
        <v/>
      </c>
      <c r="J61" t="s">
        <v>2321</v>
      </c>
      <c r="K61" t="s">
        <v>2322</v>
      </c>
      <c r="Y61">
        <f ca="1">IF(AND($A61&lt;&gt;"",COUNTIF($A$20:A61,A61)=1,$A61&lt;&gt;"非自然知识"),ROW()-19,999)</f>
        <v>999</v>
      </c>
      <c r="Z61" t="str">
        <f ca="1">IFERROR(INDEX($A$20:$A$78,SMALL($Y$20:$Y$78,42)),"")</f>
        <v/>
      </c>
      <c r="AA61" t="str">
        <f ca="1">IFERROR(INDEX($A$20:$A$78,SMALL($AB$20:$AB$78,42)),"")</f>
        <v/>
      </c>
      <c r="AB61">
        <f ca="1">IF(AND($A61&lt;&gt;"",COUNTIF($A$20:A61,A61)=1,AND($A61&lt;&gt;"",$A61&lt;&gt;"非自然知识",COUNTIF($A$20:$A$78,$A61)&gt;0,OR($B$2="any",$B$2="fixed",AND($B$2="group",LEFT($A61,LEN($E$2)+1)=$E$2&amp;"（"),IFERROR(OR(ISNUMBER(FIND("|"&amp;$A61&amp;"|",$D$2)),AND(IFERROR(FIND("（",$A61),0)&gt;0,ISNUMBER(FIND("|"&amp;LEFT($A61,FIND("（",$A61)-1)&amp;"*|",$D$2)))),FALSE)))),ROW()-19,999)</f>
        <v>999</v>
      </c>
      <c r="AC61" t="str">
        <f ca="1">IFERROR(INDEX($A$20:$A$78,SMALL($AD$20:$AD$78,42)),"")</f>
        <v/>
      </c>
      <c r="AD61">
        <f ca="1">IF(AND($A61&lt;&gt;"",COUNTIF($A$20:A61,A61)=1,AND($A61&lt;&gt;"",$A61&lt;&gt;"非自然知识",COUNTIF($A$20:$A$78,$A61)&gt;0,OR($B$3="any",$B$3="fixed",AND($B$3="group",LEFT($A61,LEN($E$3)+1)=$E$3&amp;"（"),IFERROR(OR(ISNUMBER(FIND("|"&amp;$A61&amp;"|",$D$3)),AND(IFERROR(FIND("（",$A61),0)&gt;0,ISNUMBER(FIND("|"&amp;LEFT($A61,FIND("（",$A61)-1)&amp;"*|",$D$3)))),FALSE)))),ROW()-19,999)</f>
        <v>999</v>
      </c>
      <c r="AE61" t="str">
        <f ca="1">IFERROR(INDEX($A$20:$A$78,SMALL($AF$20:$AF$78,42)),"")</f>
        <v/>
      </c>
      <c r="AF61">
        <f ca="1">IF(AND($A61&lt;&gt;"",COUNTIF($A$20:A61,A61)=1,AND($A61&lt;&gt;"",$A61&lt;&gt;"非自然知识",COUNTIF($A$20:$A$78,$A61)&gt;0,OR($B$4="any",$B$4="fixed",AND($B$4="group",LEFT($A61,LEN($E$4)+1)=$E$4&amp;"（"),IFERROR(OR(ISNUMBER(FIND("|"&amp;$A61&amp;"|",$D$4)),AND(IFERROR(FIND("（",$A61),0)&gt;0,ISNUMBER(FIND("|"&amp;LEFT($A61,FIND("（",$A61)-1)&amp;"*|",$D$4)))),FALSE)))),ROW()-19,999)</f>
        <v>999</v>
      </c>
      <c r="AG61" t="str">
        <f ca="1">IFERROR(INDEX($A$20:$A$78,SMALL($AH$20:$AH$78,42)),"")</f>
        <v/>
      </c>
      <c r="AH61">
        <f ca="1">IF(AND($A61&lt;&gt;"",COUNTIF($A$20:A61,A61)=1,AND($A61&lt;&gt;"",$A61&lt;&gt;"非自然知识",COUNTIF($A$20:$A$78,$A61)&gt;0,OR($B$5="any",$B$5="fixed",AND($B$5="group",LEFT($A61,LEN($E$5)+1)=$E$5&amp;"（"),IFERROR(OR(ISNUMBER(FIND("|"&amp;$A61&amp;"|",$D$5)),AND(IFERROR(FIND("（",$A61),0)&gt;0,ISNUMBER(FIND("|"&amp;LEFT($A61,FIND("（",$A61)-1)&amp;"*|",$D$5)))),FALSE)))),ROW()-19,999)</f>
        <v>999</v>
      </c>
      <c r="AI61" t="str">
        <f ca="1">IFERROR(INDEX($A$20:$A$78,SMALL($AJ$20:$AJ$78,42)),"")</f>
        <v/>
      </c>
      <c r="AJ61">
        <f ca="1">IF(AND($A61&lt;&gt;"",COUNTIF($A$20:A61,A61)=1,AND($A61&lt;&gt;"",$A61&lt;&gt;"非自然知识",COUNTIF($A$20:$A$78,$A61)&gt;0,OR($B$6="any",$B$6="fixed",AND($B$6="group",LEFT($A61,LEN($E$6)+1)=$E$6&amp;"（"),IFERROR(OR(ISNUMBER(FIND("|"&amp;$A61&amp;"|",$D$6)),AND(IFERROR(FIND("（",$A61),0)&gt;0,ISNUMBER(FIND("|"&amp;LEFT($A61,FIND("（",$A61)-1)&amp;"*|",$D$6)))),FALSE)))),ROW()-19,999)</f>
        <v>999</v>
      </c>
      <c r="AK61" t="str">
        <f ca="1">IFERROR(INDEX($A$20:$A$78,SMALL($AL$20:$AL$78,42)),"")</f>
        <v/>
      </c>
      <c r="AL61">
        <f ca="1">IF(AND($A61&lt;&gt;"",COUNTIF($A$20:A61,A61)=1,AND($A61&lt;&gt;"",$A61&lt;&gt;"非自然知识",COUNTIF($A$20:$A$78,$A61)&gt;0,OR($B$7="any",$B$7="fixed",AND($B$7="group",LEFT($A61,LEN($E$7)+1)=$E$7&amp;"（"),IFERROR(OR(ISNUMBER(FIND("|"&amp;$A61&amp;"|",$D$7)),AND(IFERROR(FIND("（",$A61),0)&gt;0,ISNUMBER(FIND("|"&amp;LEFT($A61,FIND("（",$A61)-1)&amp;"*|",$D$7)))),FALSE)))),ROW()-19,999)</f>
        <v>999</v>
      </c>
      <c r="AM61" t="str">
        <f ca="1">IFERROR(INDEX($A$20:$A$78,SMALL($AN$20:$AN$78,42)),"")</f>
        <v/>
      </c>
      <c r="AN61">
        <f ca="1">IF(AND($A61&lt;&gt;"",COUNTIF($A$20:A61,A61)=1,AND($A61&lt;&gt;"",$A61&lt;&gt;"非自然知识",COUNTIF($A$20:$A$78,$A61)&gt;0,OR($B$8="any",$B$8="fixed",AND($B$8="group",LEFT($A61,LEN($E$8)+1)=$E$8&amp;"（"),IFERROR(OR(ISNUMBER(FIND("|"&amp;$A61&amp;"|",$D$8)),AND(IFERROR(FIND("（",$A61),0)&gt;0,ISNUMBER(FIND("|"&amp;LEFT($A61,FIND("（",$A61)-1)&amp;"*|",$D$8)))),FALSE)))),ROW()-19,999)</f>
        <v>999</v>
      </c>
      <c r="AO61" t="str">
        <f ca="1">IFERROR(INDEX($A$20:$A$78,SMALL($AP$20:$AP$78,42)),"")</f>
        <v/>
      </c>
      <c r="AP61">
        <f ca="1">IF(AND($A61&lt;&gt;"",COUNTIF($A$20:A61,A61)=1,AND($A61&lt;&gt;"",$A61&lt;&gt;"非自然知识",COUNTIF($A$20:$A$78,$A61)&gt;0,OR($B$9="any",$B$9="fixed",AND($B$9="group",LEFT($A61,LEN($E$9)+1)=$E$9&amp;"（"),IFERROR(OR(ISNUMBER(FIND("|"&amp;$A61&amp;"|",$D$9)),AND(IFERROR(FIND("（",$A61),0)&gt;0,ISNUMBER(FIND("|"&amp;LEFT($A61,FIND("（",$A61)-1)&amp;"*|",$D$9)))),FALSE)))),ROW()-19,999)</f>
        <v>999</v>
      </c>
    </row>
    <row r="62" spans="1:42">
      <c r="A62" t="str">
        <f ca="1">IF(TRIM(人物卡!AM26)="","","特种载具（"&amp;TRIM(人物卡!AM26)&amp;"）")</f>
        <v/>
      </c>
      <c r="B62" t="str">
        <f ca="1" t="shared" si="2"/>
        <v/>
      </c>
      <c r="C62">
        <f ca="1">IF(人物卡!AY26="",N(人物卡!AV26),N(人物卡!AY26))</f>
        <v>0</v>
      </c>
      <c r="D62">
        <f ca="1">IF(AND(A62&lt;&gt;"",COUNTIF($A$20:A62,A62)=1),COUNTIF($H$2:$H$9,A62)*20,0)</f>
        <v>0</v>
      </c>
      <c r="E62">
        <f ca="1" t="shared" si="3"/>
        <v>0</v>
      </c>
      <c r="F62">
        <f ca="1">IF(AND(A62&lt;&gt;"",COUNTIF($A$20:A62,A62)=1),IF(A62="神秘学",IF(人物卡!$DF$46="人类不应知道之事",20,IF(OR(人物卡!$DF$46="极端暴力",人物卡!$DF$46="关押或入狱",人物卡!$DF$46="艰苦经历"),10,0)),0)+IF(人物卡!$DF$46="艰苦经历",COUNTIF($H$12:$H$16,A62)*10,0),0)</f>
        <v>0</v>
      </c>
      <c r="G62">
        <f ca="1">IF(人物卡!$DF$46="艰苦经历",MIN(F62,MAX(0,90-C62-E62)),MIN(F62,MAX(0,99-C62-E62)))</f>
        <v>0</v>
      </c>
      <c r="H62" t="str">
        <f ca="1" t="shared" si="4"/>
        <v/>
      </c>
      <c r="I62" t="str">
        <f ca="1" t="shared" si="5"/>
        <v/>
      </c>
      <c r="J62" t="s">
        <v>2323</v>
      </c>
      <c r="K62" t="s">
        <v>2324</v>
      </c>
      <c r="Y62">
        <f ca="1">IF(AND($A62&lt;&gt;"",COUNTIF($A$20:A62,A62)=1,$A62&lt;&gt;"非自然知识"),ROW()-19,999)</f>
        <v>999</v>
      </c>
      <c r="Z62" t="str">
        <f ca="1">IFERROR(INDEX($A$20:$A$78,SMALL($Y$20:$Y$78,43)),"")</f>
        <v/>
      </c>
      <c r="AA62" t="str">
        <f ca="1">IFERROR(INDEX($A$20:$A$78,SMALL($AB$20:$AB$78,43)),"")</f>
        <v/>
      </c>
      <c r="AB62">
        <f ca="1">IF(AND($A62&lt;&gt;"",COUNTIF($A$20:A62,A62)=1,AND($A62&lt;&gt;"",$A62&lt;&gt;"非自然知识",COUNTIF($A$20:$A$78,$A62)&gt;0,OR($B$2="any",$B$2="fixed",AND($B$2="group",LEFT($A62,LEN($E$2)+1)=$E$2&amp;"（"),IFERROR(OR(ISNUMBER(FIND("|"&amp;$A62&amp;"|",$D$2)),AND(IFERROR(FIND("（",$A62),0)&gt;0,ISNUMBER(FIND("|"&amp;LEFT($A62,FIND("（",$A62)-1)&amp;"*|",$D$2)))),FALSE)))),ROW()-19,999)</f>
        <v>999</v>
      </c>
      <c r="AC62" t="str">
        <f ca="1">IFERROR(INDEX($A$20:$A$78,SMALL($AD$20:$AD$78,43)),"")</f>
        <v/>
      </c>
      <c r="AD62">
        <f ca="1">IF(AND($A62&lt;&gt;"",COUNTIF($A$20:A62,A62)=1,AND($A62&lt;&gt;"",$A62&lt;&gt;"非自然知识",COUNTIF($A$20:$A$78,$A62)&gt;0,OR($B$3="any",$B$3="fixed",AND($B$3="group",LEFT($A62,LEN($E$3)+1)=$E$3&amp;"（"),IFERROR(OR(ISNUMBER(FIND("|"&amp;$A62&amp;"|",$D$3)),AND(IFERROR(FIND("（",$A62),0)&gt;0,ISNUMBER(FIND("|"&amp;LEFT($A62,FIND("（",$A62)-1)&amp;"*|",$D$3)))),FALSE)))),ROW()-19,999)</f>
        <v>999</v>
      </c>
      <c r="AE62" t="str">
        <f ca="1">IFERROR(INDEX($A$20:$A$78,SMALL($AF$20:$AF$78,43)),"")</f>
        <v/>
      </c>
      <c r="AF62">
        <f ca="1">IF(AND($A62&lt;&gt;"",COUNTIF($A$20:A62,A62)=1,AND($A62&lt;&gt;"",$A62&lt;&gt;"非自然知识",COUNTIF($A$20:$A$78,$A62)&gt;0,OR($B$4="any",$B$4="fixed",AND($B$4="group",LEFT($A62,LEN($E$4)+1)=$E$4&amp;"（"),IFERROR(OR(ISNUMBER(FIND("|"&amp;$A62&amp;"|",$D$4)),AND(IFERROR(FIND("（",$A62),0)&gt;0,ISNUMBER(FIND("|"&amp;LEFT($A62,FIND("（",$A62)-1)&amp;"*|",$D$4)))),FALSE)))),ROW()-19,999)</f>
        <v>999</v>
      </c>
      <c r="AG62" t="str">
        <f ca="1">IFERROR(INDEX($A$20:$A$78,SMALL($AH$20:$AH$78,43)),"")</f>
        <v/>
      </c>
      <c r="AH62">
        <f ca="1">IF(AND($A62&lt;&gt;"",COUNTIF($A$20:A62,A62)=1,AND($A62&lt;&gt;"",$A62&lt;&gt;"非自然知识",COUNTIF($A$20:$A$78,$A62)&gt;0,OR($B$5="any",$B$5="fixed",AND($B$5="group",LEFT($A62,LEN($E$5)+1)=$E$5&amp;"（"),IFERROR(OR(ISNUMBER(FIND("|"&amp;$A62&amp;"|",$D$5)),AND(IFERROR(FIND("（",$A62),0)&gt;0,ISNUMBER(FIND("|"&amp;LEFT($A62,FIND("（",$A62)-1)&amp;"*|",$D$5)))),FALSE)))),ROW()-19,999)</f>
        <v>999</v>
      </c>
      <c r="AI62" t="str">
        <f ca="1">IFERROR(INDEX($A$20:$A$78,SMALL($AJ$20:$AJ$78,43)),"")</f>
        <v/>
      </c>
      <c r="AJ62">
        <f ca="1">IF(AND($A62&lt;&gt;"",COUNTIF($A$20:A62,A62)=1,AND($A62&lt;&gt;"",$A62&lt;&gt;"非自然知识",COUNTIF($A$20:$A$78,$A62)&gt;0,OR($B$6="any",$B$6="fixed",AND($B$6="group",LEFT($A62,LEN($E$6)+1)=$E$6&amp;"（"),IFERROR(OR(ISNUMBER(FIND("|"&amp;$A62&amp;"|",$D$6)),AND(IFERROR(FIND("（",$A62),0)&gt;0,ISNUMBER(FIND("|"&amp;LEFT($A62,FIND("（",$A62)-1)&amp;"*|",$D$6)))),FALSE)))),ROW()-19,999)</f>
        <v>999</v>
      </c>
      <c r="AK62" t="str">
        <f ca="1">IFERROR(INDEX($A$20:$A$78,SMALL($AL$20:$AL$78,43)),"")</f>
        <v/>
      </c>
      <c r="AL62">
        <f ca="1">IF(AND($A62&lt;&gt;"",COUNTIF($A$20:A62,A62)=1,AND($A62&lt;&gt;"",$A62&lt;&gt;"非自然知识",COUNTIF($A$20:$A$78,$A62)&gt;0,OR($B$7="any",$B$7="fixed",AND($B$7="group",LEFT($A62,LEN($E$7)+1)=$E$7&amp;"（"),IFERROR(OR(ISNUMBER(FIND("|"&amp;$A62&amp;"|",$D$7)),AND(IFERROR(FIND("（",$A62),0)&gt;0,ISNUMBER(FIND("|"&amp;LEFT($A62,FIND("（",$A62)-1)&amp;"*|",$D$7)))),FALSE)))),ROW()-19,999)</f>
        <v>999</v>
      </c>
      <c r="AM62" t="str">
        <f ca="1">IFERROR(INDEX($A$20:$A$78,SMALL($AN$20:$AN$78,43)),"")</f>
        <v/>
      </c>
      <c r="AN62">
        <f ca="1">IF(AND($A62&lt;&gt;"",COUNTIF($A$20:A62,A62)=1,AND($A62&lt;&gt;"",$A62&lt;&gt;"非自然知识",COUNTIF($A$20:$A$78,$A62)&gt;0,OR($B$8="any",$B$8="fixed",AND($B$8="group",LEFT($A62,LEN($E$8)+1)=$E$8&amp;"（"),IFERROR(OR(ISNUMBER(FIND("|"&amp;$A62&amp;"|",$D$8)),AND(IFERROR(FIND("（",$A62),0)&gt;0,ISNUMBER(FIND("|"&amp;LEFT($A62,FIND("（",$A62)-1)&amp;"*|",$D$8)))),FALSE)))),ROW()-19,999)</f>
        <v>999</v>
      </c>
      <c r="AO62" t="str">
        <f ca="1">IFERROR(INDEX($A$20:$A$78,SMALL($AP$20:$AP$78,43)),"")</f>
        <v/>
      </c>
      <c r="AP62">
        <f ca="1">IF(AND($A62&lt;&gt;"",COUNTIF($A$20:A62,A62)=1,AND($A62&lt;&gt;"",$A62&lt;&gt;"非自然知识",COUNTIF($A$20:$A$78,$A62)&gt;0,OR($B$9="any",$B$9="fixed",AND($B$9="group",LEFT($A62,LEN($E$9)+1)=$E$9&amp;"（"),IFERROR(OR(ISNUMBER(FIND("|"&amp;$A62&amp;"|",$D$9)),AND(IFERROR(FIND("（",$A62),0)&gt;0,ISNUMBER(FIND("|"&amp;LEFT($A62,FIND("（",$A62)-1)&amp;"*|",$D$9)))),FALSE)))),ROW()-19,999)</f>
        <v>999</v>
      </c>
    </row>
    <row r="63" spans="1:42">
      <c r="A63" t="str">
        <f>人物卡!AG27</f>
        <v>精神治疗</v>
      </c>
      <c r="B63" t="str">
        <f t="shared" si="2"/>
        <v/>
      </c>
      <c r="C63">
        <f ca="1">IF(人物卡!AY27="",N(人物卡!AV27),N(人物卡!AY27))</f>
        <v>10</v>
      </c>
      <c r="D63">
        <f ca="1">IF(AND(A63&lt;&gt;"",COUNTIF($A$20:A63,A63)=1),COUNTIF($H$2:$H$9,A63)*20,0)</f>
        <v>0</v>
      </c>
      <c r="E63">
        <f ca="1" t="shared" si="3"/>
        <v>0</v>
      </c>
      <c r="F63">
        <f ca="1">IF(AND(A63&lt;&gt;"",COUNTIF($A$20:A63,A63)=1),IF(A63="神秘学",IF(人物卡!$DF$46="人类不应知道之事",20,IF(OR(人物卡!$DF$46="极端暴力",人物卡!$DF$46="关押或入狱",人物卡!$DF$46="艰苦经历"),10,0)),0)+IF(人物卡!$DF$46="艰苦经历",COUNTIF($H$12:$H$16,A63)*10,0),0)</f>
        <v>0</v>
      </c>
      <c r="G63">
        <f ca="1">IF(人物卡!$DF$46="艰苦经历",MIN(F63,MAX(0,90-C63-E63)),MIN(F63,MAX(0,99-C63-E63)))</f>
        <v>0</v>
      </c>
      <c r="H63" t="str">
        <f ca="1" t="shared" si="4"/>
        <v/>
      </c>
      <c r="I63" t="str">
        <f ca="1" t="shared" si="5"/>
        <v/>
      </c>
      <c r="J63" t="s">
        <v>2325</v>
      </c>
      <c r="K63" t="s">
        <v>2326</v>
      </c>
      <c r="Y63">
        <f ca="1">IF(AND($A63&lt;&gt;"",COUNTIF($A$20:A63,A63)=1,$A63&lt;&gt;"非自然知识"),ROW()-19,999)</f>
        <v>44</v>
      </c>
      <c r="Z63" t="str">
        <f ca="1">IFERROR(INDEX($A$20:$A$78,SMALL($Y$20:$Y$78,44)),"")</f>
        <v/>
      </c>
      <c r="AA63" t="str">
        <f ca="1">IFERROR(INDEX($A$20:$A$78,SMALL($AB$20:$AB$78,44)),"")</f>
        <v/>
      </c>
      <c r="AB63">
        <f ca="1">IF(AND($A63&lt;&gt;"",COUNTIF($A$20:A63,A63)=1,AND($A63&lt;&gt;"",$A63&lt;&gt;"非自然知识",COUNTIF($A$20:$A$78,$A63)&gt;0,OR($B$2="any",$B$2="fixed",AND($B$2="group",LEFT($A63,LEN($E$2)+1)=$E$2&amp;"（"),IFERROR(OR(ISNUMBER(FIND("|"&amp;$A63&amp;"|",$D$2)),AND(IFERROR(FIND("（",$A63),0)&gt;0,ISNUMBER(FIND("|"&amp;LEFT($A63,FIND("（",$A63)-1)&amp;"*|",$D$2)))),FALSE)))),ROW()-19,999)</f>
        <v>44</v>
      </c>
      <c r="AC63" t="str">
        <f ca="1">IFERROR(INDEX($A$20:$A$78,SMALL($AD$20:$AD$78,44)),"")</f>
        <v/>
      </c>
      <c r="AD63">
        <f ca="1">IF(AND($A63&lt;&gt;"",COUNTIF($A$20:A63,A63)=1,AND($A63&lt;&gt;"",$A63&lt;&gt;"非自然知识",COUNTIF($A$20:$A$78,$A63)&gt;0,OR($B$3="any",$B$3="fixed",AND($B$3="group",LEFT($A63,LEN($E$3)+1)=$E$3&amp;"（"),IFERROR(OR(ISNUMBER(FIND("|"&amp;$A63&amp;"|",$D$3)),AND(IFERROR(FIND("（",$A63),0)&gt;0,ISNUMBER(FIND("|"&amp;LEFT($A63,FIND("（",$A63)-1)&amp;"*|",$D$3)))),FALSE)))),ROW()-19,999)</f>
        <v>44</v>
      </c>
      <c r="AE63" t="str">
        <f ca="1">IFERROR(INDEX($A$20:$A$78,SMALL($AF$20:$AF$78,44)),"")</f>
        <v/>
      </c>
      <c r="AF63">
        <f ca="1">IF(AND($A63&lt;&gt;"",COUNTIF($A$20:A63,A63)=1,AND($A63&lt;&gt;"",$A63&lt;&gt;"非自然知识",COUNTIF($A$20:$A$78,$A63)&gt;0,OR($B$4="any",$B$4="fixed",AND($B$4="group",LEFT($A63,LEN($E$4)+1)=$E$4&amp;"（"),IFERROR(OR(ISNUMBER(FIND("|"&amp;$A63&amp;"|",$D$4)),AND(IFERROR(FIND("（",$A63),0)&gt;0,ISNUMBER(FIND("|"&amp;LEFT($A63,FIND("（",$A63)-1)&amp;"*|",$D$4)))),FALSE)))),ROW()-19,999)</f>
        <v>44</v>
      </c>
      <c r="AG63" t="str">
        <f ca="1">IFERROR(INDEX($A$20:$A$78,SMALL($AH$20:$AH$78,44)),"")</f>
        <v/>
      </c>
      <c r="AH63">
        <f ca="1">IF(AND($A63&lt;&gt;"",COUNTIF($A$20:A63,A63)=1,AND($A63&lt;&gt;"",$A63&lt;&gt;"非自然知识",COUNTIF($A$20:$A$78,$A63)&gt;0,OR($B$5="any",$B$5="fixed",AND($B$5="group",LEFT($A63,LEN($E$5)+1)=$E$5&amp;"（"),IFERROR(OR(ISNUMBER(FIND("|"&amp;$A63&amp;"|",$D$5)),AND(IFERROR(FIND("（",$A63),0)&gt;0,ISNUMBER(FIND("|"&amp;LEFT($A63,FIND("（",$A63)-1)&amp;"*|",$D$5)))),FALSE)))),ROW()-19,999)</f>
        <v>44</v>
      </c>
      <c r="AI63" t="str">
        <f ca="1">IFERROR(INDEX($A$20:$A$78,SMALL($AJ$20:$AJ$78,44)),"")</f>
        <v/>
      </c>
      <c r="AJ63">
        <f ca="1">IF(AND($A63&lt;&gt;"",COUNTIF($A$20:A63,A63)=1,AND($A63&lt;&gt;"",$A63&lt;&gt;"非自然知识",COUNTIF($A$20:$A$78,$A63)&gt;0,OR($B$6="any",$B$6="fixed",AND($B$6="group",LEFT($A63,LEN($E$6)+1)=$E$6&amp;"（"),IFERROR(OR(ISNUMBER(FIND("|"&amp;$A63&amp;"|",$D$6)),AND(IFERROR(FIND("（",$A63),0)&gt;0,ISNUMBER(FIND("|"&amp;LEFT($A63,FIND("（",$A63)-1)&amp;"*|",$D$6)))),FALSE)))),ROW()-19,999)</f>
        <v>44</v>
      </c>
      <c r="AK63" t="str">
        <f ca="1">IFERROR(INDEX($A$20:$A$78,SMALL($AL$20:$AL$78,44)),"")</f>
        <v/>
      </c>
      <c r="AL63">
        <f ca="1">IF(AND($A63&lt;&gt;"",COUNTIF($A$20:A63,A63)=1,AND($A63&lt;&gt;"",$A63&lt;&gt;"非自然知识",COUNTIF($A$20:$A$78,$A63)&gt;0,OR($B$7="any",$B$7="fixed",AND($B$7="group",LEFT($A63,LEN($E$7)+1)=$E$7&amp;"（"),IFERROR(OR(ISNUMBER(FIND("|"&amp;$A63&amp;"|",$D$7)),AND(IFERROR(FIND("（",$A63),0)&gt;0,ISNUMBER(FIND("|"&amp;LEFT($A63,FIND("（",$A63)-1)&amp;"*|",$D$7)))),FALSE)))),ROW()-19,999)</f>
        <v>44</v>
      </c>
      <c r="AM63" t="str">
        <f ca="1">IFERROR(INDEX($A$20:$A$78,SMALL($AN$20:$AN$78,44)),"")</f>
        <v/>
      </c>
      <c r="AN63">
        <f ca="1">IF(AND($A63&lt;&gt;"",COUNTIF($A$20:A63,A63)=1,AND($A63&lt;&gt;"",$A63&lt;&gt;"非自然知识",COUNTIF($A$20:$A$78,$A63)&gt;0,OR($B$8="any",$B$8="fixed",AND($B$8="group",LEFT($A63,LEN($E$8)+1)=$E$8&amp;"（"),IFERROR(OR(ISNUMBER(FIND("|"&amp;$A63&amp;"|",$D$8)),AND(IFERROR(FIND("（",$A63),0)&gt;0,ISNUMBER(FIND("|"&amp;LEFT($A63,FIND("（",$A63)-1)&amp;"*|",$D$8)))),FALSE)))),ROW()-19,999)</f>
        <v>44</v>
      </c>
      <c r="AO63" t="str">
        <f ca="1">IFERROR(INDEX($A$20:$A$78,SMALL($AP$20:$AP$78,44)),"")</f>
        <v/>
      </c>
      <c r="AP63">
        <f ca="1">IF(AND($A63&lt;&gt;"",COUNTIF($A$20:A63,A63)=1,AND($A63&lt;&gt;"",$A63&lt;&gt;"非自然知识",COUNTIF($A$20:$A$78,$A63)&gt;0,OR($B$9="any",$B$9="fixed",AND($B$9="group",LEFT($A63,LEN($E$9)+1)=$E$9&amp;"（"),IFERROR(OR(ISNUMBER(FIND("|"&amp;$A63&amp;"|",$D$9)),AND(IFERROR(FIND("（",$A63),0)&gt;0,ISNUMBER(FIND("|"&amp;LEFT($A63,FIND("（",$A63)-1)&amp;"*|",$D$9)))),FALSE)))),ROW()-19,999)</f>
        <v>44</v>
      </c>
    </row>
    <row r="64" spans="1:42">
      <c r="A64" t="str">
        <f>人物卡!AG28</f>
        <v>骑术</v>
      </c>
      <c r="B64" t="str">
        <f t="shared" si="2"/>
        <v/>
      </c>
      <c r="C64">
        <f ca="1">IF(人物卡!AY28="",N(人物卡!AV28),N(人物卡!AY28))</f>
        <v>10</v>
      </c>
      <c r="D64">
        <f ca="1">IF(AND(A64&lt;&gt;"",COUNTIF($A$20:A64,A64)=1),COUNTIF($H$2:$H$9,A64)*20,0)</f>
        <v>0</v>
      </c>
      <c r="E64">
        <f ca="1" t="shared" si="3"/>
        <v>0</v>
      </c>
      <c r="F64">
        <f ca="1">IF(AND(A64&lt;&gt;"",COUNTIF($A$20:A64,A64)=1),IF(A64="神秘学",IF(人物卡!$DF$46="人类不应知道之事",20,IF(OR(人物卡!$DF$46="极端暴力",人物卡!$DF$46="关押或入狱",人物卡!$DF$46="艰苦经历"),10,0)),0)+IF(人物卡!$DF$46="艰苦经历",COUNTIF($H$12:$H$16,A64)*10,0),0)</f>
        <v>0</v>
      </c>
      <c r="G64">
        <f ca="1">IF(人物卡!$DF$46="艰苦经历",MIN(F64,MAX(0,90-C64-E64)),MIN(F64,MAX(0,99-C64-E64)))</f>
        <v>0</v>
      </c>
      <c r="H64" t="str">
        <f ca="1" t="shared" si="4"/>
        <v/>
      </c>
      <c r="I64" t="str">
        <f ca="1" t="shared" si="5"/>
        <v/>
      </c>
      <c r="J64" t="s">
        <v>2327</v>
      </c>
      <c r="K64" t="s">
        <v>2328</v>
      </c>
      <c r="Y64">
        <f ca="1">IF(AND($A64&lt;&gt;"",COUNTIF($A$20:A64,A64)=1,$A64&lt;&gt;"非自然知识"),ROW()-19,999)</f>
        <v>45</v>
      </c>
      <c r="Z64" t="str">
        <f ca="1">IFERROR(INDEX($A$20:$A$78,SMALL($Y$20:$Y$78,45)),"")</f>
        <v/>
      </c>
      <c r="AA64" t="str">
        <f ca="1">IFERROR(INDEX($A$20:$A$78,SMALL($AB$20:$AB$78,45)),"")</f>
        <v/>
      </c>
      <c r="AB64">
        <f ca="1">IF(AND($A64&lt;&gt;"",COUNTIF($A$20:A64,A64)=1,AND($A64&lt;&gt;"",$A64&lt;&gt;"非自然知识",COUNTIF($A$20:$A$78,$A64)&gt;0,OR($B$2="any",$B$2="fixed",AND($B$2="group",LEFT($A64,LEN($E$2)+1)=$E$2&amp;"（"),IFERROR(OR(ISNUMBER(FIND("|"&amp;$A64&amp;"|",$D$2)),AND(IFERROR(FIND("（",$A64),0)&gt;0,ISNUMBER(FIND("|"&amp;LEFT($A64,FIND("（",$A64)-1)&amp;"*|",$D$2)))),FALSE)))),ROW()-19,999)</f>
        <v>45</v>
      </c>
      <c r="AC64" t="str">
        <f ca="1">IFERROR(INDEX($A$20:$A$78,SMALL($AD$20:$AD$78,45)),"")</f>
        <v/>
      </c>
      <c r="AD64">
        <f ca="1">IF(AND($A64&lt;&gt;"",COUNTIF($A$20:A64,A64)=1,AND($A64&lt;&gt;"",$A64&lt;&gt;"非自然知识",COUNTIF($A$20:$A$78,$A64)&gt;0,OR($B$3="any",$B$3="fixed",AND($B$3="group",LEFT($A64,LEN($E$3)+1)=$E$3&amp;"（"),IFERROR(OR(ISNUMBER(FIND("|"&amp;$A64&amp;"|",$D$3)),AND(IFERROR(FIND("（",$A64),0)&gt;0,ISNUMBER(FIND("|"&amp;LEFT($A64,FIND("（",$A64)-1)&amp;"*|",$D$3)))),FALSE)))),ROW()-19,999)</f>
        <v>45</v>
      </c>
      <c r="AE64" t="str">
        <f ca="1">IFERROR(INDEX($A$20:$A$78,SMALL($AF$20:$AF$78,45)),"")</f>
        <v/>
      </c>
      <c r="AF64">
        <f ca="1">IF(AND($A64&lt;&gt;"",COUNTIF($A$20:A64,A64)=1,AND($A64&lt;&gt;"",$A64&lt;&gt;"非自然知识",COUNTIF($A$20:$A$78,$A64)&gt;0,OR($B$4="any",$B$4="fixed",AND($B$4="group",LEFT($A64,LEN($E$4)+1)=$E$4&amp;"（"),IFERROR(OR(ISNUMBER(FIND("|"&amp;$A64&amp;"|",$D$4)),AND(IFERROR(FIND("（",$A64),0)&gt;0,ISNUMBER(FIND("|"&amp;LEFT($A64,FIND("（",$A64)-1)&amp;"*|",$D$4)))),FALSE)))),ROW()-19,999)</f>
        <v>45</v>
      </c>
      <c r="AG64" t="str">
        <f ca="1">IFERROR(INDEX($A$20:$A$78,SMALL($AH$20:$AH$78,45)),"")</f>
        <v/>
      </c>
      <c r="AH64">
        <f ca="1">IF(AND($A64&lt;&gt;"",COUNTIF($A$20:A64,A64)=1,AND($A64&lt;&gt;"",$A64&lt;&gt;"非自然知识",COUNTIF($A$20:$A$78,$A64)&gt;0,OR($B$5="any",$B$5="fixed",AND($B$5="group",LEFT($A64,LEN($E$5)+1)=$E$5&amp;"（"),IFERROR(OR(ISNUMBER(FIND("|"&amp;$A64&amp;"|",$D$5)),AND(IFERROR(FIND("（",$A64),0)&gt;0,ISNUMBER(FIND("|"&amp;LEFT($A64,FIND("（",$A64)-1)&amp;"*|",$D$5)))),FALSE)))),ROW()-19,999)</f>
        <v>45</v>
      </c>
      <c r="AI64" t="str">
        <f ca="1">IFERROR(INDEX($A$20:$A$78,SMALL($AJ$20:$AJ$78,45)),"")</f>
        <v/>
      </c>
      <c r="AJ64">
        <f ca="1">IF(AND($A64&lt;&gt;"",COUNTIF($A$20:A64,A64)=1,AND($A64&lt;&gt;"",$A64&lt;&gt;"非自然知识",COUNTIF($A$20:$A$78,$A64)&gt;0,OR($B$6="any",$B$6="fixed",AND($B$6="group",LEFT($A64,LEN($E$6)+1)=$E$6&amp;"（"),IFERROR(OR(ISNUMBER(FIND("|"&amp;$A64&amp;"|",$D$6)),AND(IFERROR(FIND("（",$A64),0)&gt;0,ISNUMBER(FIND("|"&amp;LEFT($A64,FIND("（",$A64)-1)&amp;"*|",$D$6)))),FALSE)))),ROW()-19,999)</f>
        <v>45</v>
      </c>
      <c r="AK64" t="str">
        <f ca="1">IFERROR(INDEX($A$20:$A$78,SMALL($AL$20:$AL$78,45)),"")</f>
        <v/>
      </c>
      <c r="AL64">
        <f ca="1">IF(AND($A64&lt;&gt;"",COUNTIF($A$20:A64,A64)=1,AND($A64&lt;&gt;"",$A64&lt;&gt;"非自然知识",COUNTIF($A$20:$A$78,$A64)&gt;0,OR($B$7="any",$B$7="fixed",AND($B$7="group",LEFT($A64,LEN($E$7)+1)=$E$7&amp;"（"),IFERROR(OR(ISNUMBER(FIND("|"&amp;$A64&amp;"|",$D$7)),AND(IFERROR(FIND("（",$A64),0)&gt;0,ISNUMBER(FIND("|"&amp;LEFT($A64,FIND("（",$A64)-1)&amp;"*|",$D$7)))),FALSE)))),ROW()-19,999)</f>
        <v>45</v>
      </c>
      <c r="AM64" t="str">
        <f ca="1">IFERROR(INDEX($A$20:$A$78,SMALL($AN$20:$AN$78,45)),"")</f>
        <v/>
      </c>
      <c r="AN64">
        <f ca="1">IF(AND($A64&lt;&gt;"",COUNTIF($A$20:A64,A64)=1,AND($A64&lt;&gt;"",$A64&lt;&gt;"非自然知识",COUNTIF($A$20:$A$78,$A64)&gt;0,OR($B$8="any",$B$8="fixed",AND($B$8="group",LEFT($A64,LEN($E$8)+1)=$E$8&amp;"（"),IFERROR(OR(ISNUMBER(FIND("|"&amp;$A64&amp;"|",$D$8)),AND(IFERROR(FIND("（",$A64),0)&gt;0,ISNUMBER(FIND("|"&amp;LEFT($A64,FIND("（",$A64)-1)&amp;"*|",$D$8)))),FALSE)))),ROW()-19,999)</f>
        <v>45</v>
      </c>
      <c r="AO64" t="str">
        <f ca="1">IFERROR(INDEX($A$20:$A$78,SMALL($AP$20:$AP$78,45)),"")</f>
        <v/>
      </c>
      <c r="AP64">
        <f ca="1">IF(AND($A64&lt;&gt;"",COUNTIF($A$20:A64,A64)=1,AND($A64&lt;&gt;"",$A64&lt;&gt;"非自然知识",COUNTIF($A$20:$A$78,$A64)&gt;0,OR($B$9="any",$B$9="fixed",AND($B$9="group",LEFT($A64,LEN($E$9)+1)=$E$9&amp;"（"),IFERROR(OR(ISNUMBER(FIND("|"&amp;$A64&amp;"|",$D$9)),AND(IFERROR(FIND("（",$A64),0)&gt;0,ISNUMBER(FIND("|"&amp;LEFT($A64,FIND("（",$A64)-1)&amp;"*|",$D$9)))),FALSE)))),ROW()-19,999)</f>
        <v>45</v>
      </c>
    </row>
    <row r="65" spans="1:42">
      <c r="A65" t="str">
        <f ca="1">IF(TRIM(人物卡!AM29)="","","科学（"&amp;TRIM(人物卡!AM29)&amp;"）")</f>
        <v/>
      </c>
      <c r="B65" t="str">
        <f ca="1" t="shared" si="2"/>
        <v/>
      </c>
      <c r="C65">
        <f ca="1">IF(人物卡!AY29="",N(人物卡!AV29),N(人物卡!AY29))</f>
        <v>0</v>
      </c>
      <c r="D65">
        <f ca="1">IF(AND(A65&lt;&gt;"",COUNTIF($A$20:A65,A65)=1),COUNTIF($H$2:$H$9,A65)*20,0)</f>
        <v>0</v>
      </c>
      <c r="E65">
        <f ca="1" t="shared" si="3"/>
        <v>0</v>
      </c>
      <c r="F65">
        <f ca="1">IF(AND(A65&lt;&gt;"",COUNTIF($A$20:A65,A65)=1),IF(A65="神秘学",IF(人物卡!$DF$46="人类不应知道之事",20,IF(OR(人物卡!$DF$46="极端暴力",人物卡!$DF$46="关押或入狱",人物卡!$DF$46="艰苦经历"),10,0)),0)+IF(人物卡!$DF$46="艰苦经历",COUNTIF($H$12:$H$16,A65)*10,0),0)</f>
        <v>0</v>
      </c>
      <c r="G65">
        <f ca="1">IF(人物卡!$DF$46="艰苦经历",MIN(F65,MAX(0,90-C65-E65)),MIN(F65,MAX(0,99-C65-E65)))</f>
        <v>0</v>
      </c>
      <c r="H65" t="str">
        <f ca="1" t="shared" si="4"/>
        <v/>
      </c>
      <c r="I65" t="str">
        <f ca="1" t="shared" si="5"/>
        <v/>
      </c>
      <c r="J65" t="s">
        <v>2329</v>
      </c>
      <c r="K65" t="s">
        <v>2330</v>
      </c>
      <c r="Y65">
        <f ca="1">IF(AND($A65&lt;&gt;"",COUNTIF($A$20:A65,A65)=1,$A65&lt;&gt;"非自然知识"),ROW()-19,999)</f>
        <v>999</v>
      </c>
      <c r="Z65" t="str">
        <f ca="1">IFERROR(INDEX($A$20:$A$78,SMALL($Y$20:$Y$78,46)),"")</f>
        <v/>
      </c>
      <c r="AA65" t="str">
        <f ca="1">IFERROR(INDEX($A$20:$A$78,SMALL($AB$20:$AB$78,46)),"")</f>
        <v/>
      </c>
      <c r="AB65">
        <f ca="1">IF(AND($A65&lt;&gt;"",COUNTIF($A$20:A65,A65)=1,AND($A65&lt;&gt;"",$A65&lt;&gt;"非自然知识",COUNTIF($A$20:$A$78,$A65)&gt;0,OR($B$2="any",$B$2="fixed",AND($B$2="group",LEFT($A65,LEN($E$2)+1)=$E$2&amp;"（"),IFERROR(OR(ISNUMBER(FIND("|"&amp;$A65&amp;"|",$D$2)),AND(IFERROR(FIND("（",$A65),0)&gt;0,ISNUMBER(FIND("|"&amp;LEFT($A65,FIND("（",$A65)-1)&amp;"*|",$D$2)))),FALSE)))),ROW()-19,999)</f>
        <v>999</v>
      </c>
      <c r="AC65" t="str">
        <f ca="1">IFERROR(INDEX($A$20:$A$78,SMALL($AD$20:$AD$78,46)),"")</f>
        <v/>
      </c>
      <c r="AD65">
        <f ca="1">IF(AND($A65&lt;&gt;"",COUNTIF($A$20:A65,A65)=1,AND($A65&lt;&gt;"",$A65&lt;&gt;"非自然知识",COUNTIF($A$20:$A$78,$A65)&gt;0,OR($B$3="any",$B$3="fixed",AND($B$3="group",LEFT($A65,LEN($E$3)+1)=$E$3&amp;"（"),IFERROR(OR(ISNUMBER(FIND("|"&amp;$A65&amp;"|",$D$3)),AND(IFERROR(FIND("（",$A65),0)&gt;0,ISNUMBER(FIND("|"&amp;LEFT($A65,FIND("（",$A65)-1)&amp;"*|",$D$3)))),FALSE)))),ROW()-19,999)</f>
        <v>999</v>
      </c>
      <c r="AE65" t="str">
        <f ca="1">IFERROR(INDEX($A$20:$A$78,SMALL($AF$20:$AF$78,46)),"")</f>
        <v/>
      </c>
      <c r="AF65">
        <f ca="1">IF(AND($A65&lt;&gt;"",COUNTIF($A$20:A65,A65)=1,AND($A65&lt;&gt;"",$A65&lt;&gt;"非自然知识",COUNTIF($A$20:$A$78,$A65)&gt;0,OR($B$4="any",$B$4="fixed",AND($B$4="group",LEFT($A65,LEN($E$4)+1)=$E$4&amp;"（"),IFERROR(OR(ISNUMBER(FIND("|"&amp;$A65&amp;"|",$D$4)),AND(IFERROR(FIND("（",$A65),0)&gt;0,ISNUMBER(FIND("|"&amp;LEFT($A65,FIND("（",$A65)-1)&amp;"*|",$D$4)))),FALSE)))),ROW()-19,999)</f>
        <v>999</v>
      </c>
      <c r="AG65" t="str">
        <f ca="1">IFERROR(INDEX($A$20:$A$78,SMALL($AH$20:$AH$78,46)),"")</f>
        <v/>
      </c>
      <c r="AH65">
        <f ca="1">IF(AND($A65&lt;&gt;"",COUNTIF($A$20:A65,A65)=1,AND($A65&lt;&gt;"",$A65&lt;&gt;"非自然知识",COUNTIF($A$20:$A$78,$A65)&gt;0,OR($B$5="any",$B$5="fixed",AND($B$5="group",LEFT($A65,LEN($E$5)+1)=$E$5&amp;"（"),IFERROR(OR(ISNUMBER(FIND("|"&amp;$A65&amp;"|",$D$5)),AND(IFERROR(FIND("（",$A65),0)&gt;0,ISNUMBER(FIND("|"&amp;LEFT($A65,FIND("（",$A65)-1)&amp;"*|",$D$5)))),FALSE)))),ROW()-19,999)</f>
        <v>999</v>
      </c>
      <c r="AI65" t="str">
        <f ca="1">IFERROR(INDEX($A$20:$A$78,SMALL($AJ$20:$AJ$78,46)),"")</f>
        <v/>
      </c>
      <c r="AJ65">
        <f ca="1">IF(AND($A65&lt;&gt;"",COUNTIF($A$20:A65,A65)=1,AND($A65&lt;&gt;"",$A65&lt;&gt;"非自然知识",COUNTIF($A$20:$A$78,$A65)&gt;0,OR($B$6="any",$B$6="fixed",AND($B$6="group",LEFT($A65,LEN($E$6)+1)=$E$6&amp;"（"),IFERROR(OR(ISNUMBER(FIND("|"&amp;$A65&amp;"|",$D$6)),AND(IFERROR(FIND("（",$A65),0)&gt;0,ISNUMBER(FIND("|"&amp;LEFT($A65,FIND("（",$A65)-1)&amp;"*|",$D$6)))),FALSE)))),ROW()-19,999)</f>
        <v>999</v>
      </c>
      <c r="AK65" t="str">
        <f ca="1">IFERROR(INDEX($A$20:$A$78,SMALL($AL$20:$AL$78,46)),"")</f>
        <v/>
      </c>
      <c r="AL65">
        <f ca="1">IF(AND($A65&lt;&gt;"",COUNTIF($A$20:A65,A65)=1,AND($A65&lt;&gt;"",$A65&lt;&gt;"非自然知识",COUNTIF($A$20:$A$78,$A65)&gt;0,OR($B$7="any",$B$7="fixed",AND($B$7="group",LEFT($A65,LEN($E$7)+1)=$E$7&amp;"（"),IFERROR(OR(ISNUMBER(FIND("|"&amp;$A65&amp;"|",$D$7)),AND(IFERROR(FIND("（",$A65),0)&gt;0,ISNUMBER(FIND("|"&amp;LEFT($A65,FIND("（",$A65)-1)&amp;"*|",$D$7)))),FALSE)))),ROW()-19,999)</f>
        <v>999</v>
      </c>
      <c r="AM65" t="str">
        <f ca="1">IFERROR(INDEX($A$20:$A$78,SMALL($AN$20:$AN$78,46)),"")</f>
        <v/>
      </c>
      <c r="AN65">
        <f ca="1">IF(AND($A65&lt;&gt;"",COUNTIF($A$20:A65,A65)=1,AND($A65&lt;&gt;"",$A65&lt;&gt;"非自然知识",COUNTIF($A$20:$A$78,$A65)&gt;0,OR($B$8="any",$B$8="fixed",AND($B$8="group",LEFT($A65,LEN($E$8)+1)=$E$8&amp;"（"),IFERROR(OR(ISNUMBER(FIND("|"&amp;$A65&amp;"|",$D$8)),AND(IFERROR(FIND("（",$A65),0)&gt;0,ISNUMBER(FIND("|"&amp;LEFT($A65,FIND("（",$A65)-1)&amp;"*|",$D$8)))),FALSE)))),ROW()-19,999)</f>
        <v>999</v>
      </c>
      <c r="AO65" t="str">
        <f ca="1">IFERROR(INDEX($A$20:$A$78,SMALL($AP$20:$AP$78,46)),"")</f>
        <v/>
      </c>
      <c r="AP65">
        <f ca="1">IF(AND($A65&lt;&gt;"",COUNTIF($A$20:A65,A65)=1,AND($A65&lt;&gt;"",$A65&lt;&gt;"非自然知识",COUNTIF($A$20:$A$78,$A65)&gt;0,OR($B$9="any",$B$9="fixed",AND($B$9="group",LEFT($A65,LEN($E$9)+1)=$E$9&amp;"（"),IFERROR(OR(ISNUMBER(FIND("|"&amp;$A65&amp;"|",$D$9)),AND(IFERROR(FIND("（",$A65),0)&gt;0,ISNUMBER(FIND("|"&amp;LEFT($A65,FIND("（",$A65)-1)&amp;"*|",$D$9)))),FALSE)))),ROW()-19,999)</f>
        <v>999</v>
      </c>
    </row>
    <row r="66" spans="1:42">
      <c r="A66" t="str">
        <f ca="1">IF(TRIM(人物卡!AM30)="","","科学（"&amp;TRIM(人物卡!AM30)&amp;"）")</f>
        <v/>
      </c>
      <c r="B66" t="str">
        <f ca="1" t="shared" si="2"/>
        <v/>
      </c>
      <c r="C66">
        <f ca="1">IF(人物卡!AY30="",N(人物卡!AV30),N(人物卡!AY30))</f>
        <v>0</v>
      </c>
      <c r="D66">
        <f ca="1">IF(AND(A66&lt;&gt;"",COUNTIF($A$20:A66,A66)=1),COUNTIF($H$2:$H$9,A66)*20,0)</f>
        <v>0</v>
      </c>
      <c r="E66">
        <f ca="1" t="shared" si="3"/>
        <v>0</v>
      </c>
      <c r="F66">
        <f ca="1">IF(AND(A66&lt;&gt;"",COUNTIF($A$20:A66,A66)=1),IF(A66="神秘学",IF(人物卡!$DF$46="人类不应知道之事",20,IF(OR(人物卡!$DF$46="极端暴力",人物卡!$DF$46="关押或入狱",人物卡!$DF$46="艰苦经历"),10,0)),0)+IF(人物卡!$DF$46="艰苦经历",COUNTIF($H$12:$H$16,A66)*10,0),0)</f>
        <v>0</v>
      </c>
      <c r="G66">
        <f ca="1">IF(人物卡!$DF$46="艰苦经历",MIN(F66,MAX(0,90-C66-E66)),MIN(F66,MAX(0,99-C66-E66)))</f>
        <v>0</v>
      </c>
      <c r="H66" t="str">
        <f ca="1" t="shared" si="4"/>
        <v/>
      </c>
      <c r="I66" t="str">
        <f ca="1" t="shared" si="5"/>
        <v/>
      </c>
      <c r="J66" t="s">
        <v>2331</v>
      </c>
      <c r="K66" t="s">
        <v>2332</v>
      </c>
      <c r="Y66">
        <f ca="1">IF(AND($A66&lt;&gt;"",COUNTIF($A$20:A66,A66)=1,$A66&lt;&gt;"非自然知识"),ROW()-19,999)</f>
        <v>999</v>
      </c>
      <c r="Z66" t="str">
        <f ca="1">IFERROR(INDEX($A$20:$A$78,SMALL($Y$20:$Y$78,47)),"")</f>
        <v/>
      </c>
      <c r="AA66" t="str">
        <f ca="1">IFERROR(INDEX($A$20:$A$78,SMALL($AB$20:$AB$78,47)),"")</f>
        <v/>
      </c>
      <c r="AB66">
        <f ca="1">IF(AND($A66&lt;&gt;"",COUNTIF($A$20:A66,A66)=1,AND($A66&lt;&gt;"",$A66&lt;&gt;"非自然知识",COUNTIF($A$20:$A$78,$A66)&gt;0,OR($B$2="any",$B$2="fixed",AND($B$2="group",LEFT($A66,LEN($E$2)+1)=$E$2&amp;"（"),IFERROR(OR(ISNUMBER(FIND("|"&amp;$A66&amp;"|",$D$2)),AND(IFERROR(FIND("（",$A66),0)&gt;0,ISNUMBER(FIND("|"&amp;LEFT($A66,FIND("（",$A66)-1)&amp;"*|",$D$2)))),FALSE)))),ROW()-19,999)</f>
        <v>999</v>
      </c>
      <c r="AC66" t="str">
        <f ca="1">IFERROR(INDEX($A$20:$A$78,SMALL($AD$20:$AD$78,47)),"")</f>
        <v/>
      </c>
      <c r="AD66">
        <f ca="1">IF(AND($A66&lt;&gt;"",COUNTIF($A$20:A66,A66)=1,AND($A66&lt;&gt;"",$A66&lt;&gt;"非自然知识",COUNTIF($A$20:$A$78,$A66)&gt;0,OR($B$3="any",$B$3="fixed",AND($B$3="group",LEFT($A66,LEN($E$3)+1)=$E$3&amp;"（"),IFERROR(OR(ISNUMBER(FIND("|"&amp;$A66&amp;"|",$D$3)),AND(IFERROR(FIND("（",$A66),0)&gt;0,ISNUMBER(FIND("|"&amp;LEFT($A66,FIND("（",$A66)-1)&amp;"*|",$D$3)))),FALSE)))),ROW()-19,999)</f>
        <v>999</v>
      </c>
      <c r="AE66" t="str">
        <f ca="1">IFERROR(INDEX($A$20:$A$78,SMALL($AF$20:$AF$78,47)),"")</f>
        <v/>
      </c>
      <c r="AF66">
        <f ca="1">IF(AND($A66&lt;&gt;"",COUNTIF($A$20:A66,A66)=1,AND($A66&lt;&gt;"",$A66&lt;&gt;"非自然知识",COUNTIF($A$20:$A$78,$A66)&gt;0,OR($B$4="any",$B$4="fixed",AND($B$4="group",LEFT($A66,LEN($E$4)+1)=$E$4&amp;"（"),IFERROR(OR(ISNUMBER(FIND("|"&amp;$A66&amp;"|",$D$4)),AND(IFERROR(FIND("（",$A66),0)&gt;0,ISNUMBER(FIND("|"&amp;LEFT($A66,FIND("（",$A66)-1)&amp;"*|",$D$4)))),FALSE)))),ROW()-19,999)</f>
        <v>999</v>
      </c>
      <c r="AG66" t="str">
        <f ca="1">IFERROR(INDEX($A$20:$A$78,SMALL($AH$20:$AH$78,47)),"")</f>
        <v/>
      </c>
      <c r="AH66">
        <f ca="1">IF(AND($A66&lt;&gt;"",COUNTIF($A$20:A66,A66)=1,AND($A66&lt;&gt;"",$A66&lt;&gt;"非自然知识",COUNTIF($A$20:$A$78,$A66)&gt;0,OR($B$5="any",$B$5="fixed",AND($B$5="group",LEFT($A66,LEN($E$5)+1)=$E$5&amp;"（"),IFERROR(OR(ISNUMBER(FIND("|"&amp;$A66&amp;"|",$D$5)),AND(IFERROR(FIND("（",$A66),0)&gt;0,ISNUMBER(FIND("|"&amp;LEFT($A66,FIND("（",$A66)-1)&amp;"*|",$D$5)))),FALSE)))),ROW()-19,999)</f>
        <v>999</v>
      </c>
      <c r="AI66" t="str">
        <f ca="1">IFERROR(INDEX($A$20:$A$78,SMALL($AJ$20:$AJ$78,47)),"")</f>
        <v/>
      </c>
      <c r="AJ66">
        <f ca="1">IF(AND($A66&lt;&gt;"",COUNTIF($A$20:A66,A66)=1,AND($A66&lt;&gt;"",$A66&lt;&gt;"非自然知识",COUNTIF($A$20:$A$78,$A66)&gt;0,OR($B$6="any",$B$6="fixed",AND($B$6="group",LEFT($A66,LEN($E$6)+1)=$E$6&amp;"（"),IFERROR(OR(ISNUMBER(FIND("|"&amp;$A66&amp;"|",$D$6)),AND(IFERROR(FIND("（",$A66),0)&gt;0,ISNUMBER(FIND("|"&amp;LEFT($A66,FIND("（",$A66)-1)&amp;"*|",$D$6)))),FALSE)))),ROW()-19,999)</f>
        <v>999</v>
      </c>
      <c r="AK66" t="str">
        <f ca="1">IFERROR(INDEX($A$20:$A$78,SMALL($AL$20:$AL$78,47)),"")</f>
        <v/>
      </c>
      <c r="AL66">
        <f ca="1">IF(AND($A66&lt;&gt;"",COUNTIF($A$20:A66,A66)=1,AND($A66&lt;&gt;"",$A66&lt;&gt;"非自然知识",COUNTIF($A$20:$A$78,$A66)&gt;0,OR($B$7="any",$B$7="fixed",AND($B$7="group",LEFT($A66,LEN($E$7)+1)=$E$7&amp;"（"),IFERROR(OR(ISNUMBER(FIND("|"&amp;$A66&amp;"|",$D$7)),AND(IFERROR(FIND("（",$A66),0)&gt;0,ISNUMBER(FIND("|"&amp;LEFT($A66,FIND("（",$A66)-1)&amp;"*|",$D$7)))),FALSE)))),ROW()-19,999)</f>
        <v>999</v>
      </c>
      <c r="AM66" t="str">
        <f ca="1">IFERROR(INDEX($A$20:$A$78,SMALL($AN$20:$AN$78,47)),"")</f>
        <v/>
      </c>
      <c r="AN66">
        <f ca="1">IF(AND($A66&lt;&gt;"",COUNTIF($A$20:A66,A66)=1,AND($A66&lt;&gt;"",$A66&lt;&gt;"非自然知识",COUNTIF($A$20:$A$78,$A66)&gt;0,OR($B$8="any",$B$8="fixed",AND($B$8="group",LEFT($A66,LEN($E$8)+1)=$E$8&amp;"（"),IFERROR(OR(ISNUMBER(FIND("|"&amp;$A66&amp;"|",$D$8)),AND(IFERROR(FIND("（",$A66),0)&gt;0,ISNUMBER(FIND("|"&amp;LEFT($A66,FIND("（",$A66)-1)&amp;"*|",$D$8)))),FALSE)))),ROW()-19,999)</f>
        <v>999</v>
      </c>
      <c r="AO66" t="str">
        <f ca="1">IFERROR(INDEX($A$20:$A$78,SMALL($AP$20:$AP$78,47)),"")</f>
        <v/>
      </c>
      <c r="AP66">
        <f ca="1">IF(AND($A66&lt;&gt;"",COUNTIF($A$20:A66,A66)=1,AND($A66&lt;&gt;"",$A66&lt;&gt;"非自然知识",COUNTIF($A$20:$A$78,$A66)&gt;0,OR($B$9="any",$B$9="fixed",AND($B$9="group",LEFT($A66,LEN($E$9)+1)=$E$9&amp;"（"),IFERROR(OR(ISNUMBER(FIND("|"&amp;$A66&amp;"|",$D$9)),AND(IFERROR(FIND("（",$A66),0)&gt;0,ISNUMBER(FIND("|"&amp;LEFT($A66,FIND("（",$A66)-1)&amp;"*|",$D$9)))),FALSE)))),ROW()-19,999)</f>
        <v>999</v>
      </c>
    </row>
    <row r="67" spans="1:42">
      <c r="A67" t="str">
        <f ca="1">IF(TRIM(人物卡!AM31)="","","科学（"&amp;TRIM(人物卡!AM31)&amp;"）")</f>
        <v/>
      </c>
      <c r="B67" t="str">
        <f ca="1" t="shared" si="2"/>
        <v/>
      </c>
      <c r="C67">
        <f ca="1">IF(人物卡!AY31="",N(人物卡!AV31),N(人物卡!AY31))</f>
        <v>0</v>
      </c>
      <c r="D67">
        <f ca="1">IF(AND(A67&lt;&gt;"",COUNTIF($A$20:A67,A67)=1),COUNTIF($H$2:$H$9,A67)*20,0)</f>
        <v>0</v>
      </c>
      <c r="E67">
        <f ca="1" t="shared" si="3"/>
        <v>0</v>
      </c>
      <c r="F67">
        <f ca="1">IF(AND(A67&lt;&gt;"",COUNTIF($A$20:A67,A67)=1),IF(A67="神秘学",IF(人物卡!$DF$46="人类不应知道之事",20,IF(OR(人物卡!$DF$46="极端暴力",人物卡!$DF$46="关押或入狱",人物卡!$DF$46="艰苦经历"),10,0)),0)+IF(人物卡!$DF$46="艰苦经历",COUNTIF($H$12:$H$16,A67)*10,0),0)</f>
        <v>0</v>
      </c>
      <c r="G67">
        <f ca="1">IF(人物卡!$DF$46="艰苦经历",MIN(F67,MAX(0,90-C67-E67)),MIN(F67,MAX(0,99-C67-E67)))</f>
        <v>0</v>
      </c>
      <c r="H67" t="str">
        <f ca="1" t="shared" si="4"/>
        <v/>
      </c>
      <c r="I67" t="str">
        <f ca="1" t="shared" si="5"/>
        <v/>
      </c>
      <c r="J67" t="s">
        <v>2333</v>
      </c>
      <c r="K67" t="s">
        <v>2334</v>
      </c>
      <c r="Y67">
        <f ca="1">IF(AND($A67&lt;&gt;"",COUNTIF($A$20:A67,A67)=1,$A67&lt;&gt;"非自然知识"),ROW()-19,999)</f>
        <v>999</v>
      </c>
      <c r="Z67" t="str">
        <f ca="1">IFERROR(INDEX($A$20:$A$78,SMALL($Y$20:$Y$78,48)),"")</f>
        <v/>
      </c>
      <c r="AA67" t="str">
        <f ca="1">IFERROR(INDEX($A$20:$A$78,SMALL($AB$20:$AB$78,48)),"")</f>
        <v/>
      </c>
      <c r="AB67">
        <f ca="1">IF(AND($A67&lt;&gt;"",COUNTIF($A$20:A67,A67)=1,AND($A67&lt;&gt;"",$A67&lt;&gt;"非自然知识",COUNTIF($A$20:$A$78,$A67)&gt;0,OR($B$2="any",$B$2="fixed",AND($B$2="group",LEFT($A67,LEN($E$2)+1)=$E$2&amp;"（"),IFERROR(OR(ISNUMBER(FIND("|"&amp;$A67&amp;"|",$D$2)),AND(IFERROR(FIND("（",$A67),0)&gt;0,ISNUMBER(FIND("|"&amp;LEFT($A67,FIND("（",$A67)-1)&amp;"*|",$D$2)))),FALSE)))),ROW()-19,999)</f>
        <v>999</v>
      </c>
      <c r="AC67" t="str">
        <f ca="1">IFERROR(INDEX($A$20:$A$78,SMALL($AD$20:$AD$78,48)),"")</f>
        <v/>
      </c>
      <c r="AD67">
        <f ca="1">IF(AND($A67&lt;&gt;"",COUNTIF($A$20:A67,A67)=1,AND($A67&lt;&gt;"",$A67&lt;&gt;"非自然知识",COUNTIF($A$20:$A$78,$A67)&gt;0,OR($B$3="any",$B$3="fixed",AND($B$3="group",LEFT($A67,LEN($E$3)+1)=$E$3&amp;"（"),IFERROR(OR(ISNUMBER(FIND("|"&amp;$A67&amp;"|",$D$3)),AND(IFERROR(FIND("（",$A67),0)&gt;0,ISNUMBER(FIND("|"&amp;LEFT($A67,FIND("（",$A67)-1)&amp;"*|",$D$3)))),FALSE)))),ROW()-19,999)</f>
        <v>999</v>
      </c>
      <c r="AE67" t="str">
        <f ca="1">IFERROR(INDEX($A$20:$A$78,SMALL($AF$20:$AF$78,48)),"")</f>
        <v/>
      </c>
      <c r="AF67">
        <f ca="1">IF(AND($A67&lt;&gt;"",COUNTIF($A$20:A67,A67)=1,AND($A67&lt;&gt;"",$A67&lt;&gt;"非自然知识",COUNTIF($A$20:$A$78,$A67)&gt;0,OR($B$4="any",$B$4="fixed",AND($B$4="group",LEFT($A67,LEN($E$4)+1)=$E$4&amp;"（"),IFERROR(OR(ISNUMBER(FIND("|"&amp;$A67&amp;"|",$D$4)),AND(IFERROR(FIND("（",$A67),0)&gt;0,ISNUMBER(FIND("|"&amp;LEFT($A67,FIND("（",$A67)-1)&amp;"*|",$D$4)))),FALSE)))),ROW()-19,999)</f>
        <v>999</v>
      </c>
      <c r="AG67" t="str">
        <f ca="1">IFERROR(INDEX($A$20:$A$78,SMALL($AH$20:$AH$78,48)),"")</f>
        <v/>
      </c>
      <c r="AH67">
        <f ca="1">IF(AND($A67&lt;&gt;"",COUNTIF($A$20:A67,A67)=1,AND($A67&lt;&gt;"",$A67&lt;&gt;"非自然知识",COUNTIF($A$20:$A$78,$A67)&gt;0,OR($B$5="any",$B$5="fixed",AND($B$5="group",LEFT($A67,LEN($E$5)+1)=$E$5&amp;"（"),IFERROR(OR(ISNUMBER(FIND("|"&amp;$A67&amp;"|",$D$5)),AND(IFERROR(FIND("（",$A67),0)&gt;0,ISNUMBER(FIND("|"&amp;LEFT($A67,FIND("（",$A67)-1)&amp;"*|",$D$5)))),FALSE)))),ROW()-19,999)</f>
        <v>999</v>
      </c>
      <c r="AI67" t="str">
        <f ca="1">IFERROR(INDEX($A$20:$A$78,SMALL($AJ$20:$AJ$78,48)),"")</f>
        <v/>
      </c>
      <c r="AJ67">
        <f ca="1">IF(AND($A67&lt;&gt;"",COUNTIF($A$20:A67,A67)=1,AND($A67&lt;&gt;"",$A67&lt;&gt;"非自然知识",COUNTIF($A$20:$A$78,$A67)&gt;0,OR($B$6="any",$B$6="fixed",AND($B$6="group",LEFT($A67,LEN($E$6)+1)=$E$6&amp;"（"),IFERROR(OR(ISNUMBER(FIND("|"&amp;$A67&amp;"|",$D$6)),AND(IFERROR(FIND("（",$A67),0)&gt;0,ISNUMBER(FIND("|"&amp;LEFT($A67,FIND("（",$A67)-1)&amp;"*|",$D$6)))),FALSE)))),ROW()-19,999)</f>
        <v>999</v>
      </c>
      <c r="AK67" t="str">
        <f ca="1">IFERROR(INDEX($A$20:$A$78,SMALL($AL$20:$AL$78,48)),"")</f>
        <v/>
      </c>
      <c r="AL67">
        <f ca="1">IF(AND($A67&lt;&gt;"",COUNTIF($A$20:A67,A67)=1,AND($A67&lt;&gt;"",$A67&lt;&gt;"非自然知识",COUNTIF($A$20:$A$78,$A67)&gt;0,OR($B$7="any",$B$7="fixed",AND($B$7="group",LEFT($A67,LEN($E$7)+1)=$E$7&amp;"（"),IFERROR(OR(ISNUMBER(FIND("|"&amp;$A67&amp;"|",$D$7)),AND(IFERROR(FIND("（",$A67),0)&gt;0,ISNUMBER(FIND("|"&amp;LEFT($A67,FIND("（",$A67)-1)&amp;"*|",$D$7)))),FALSE)))),ROW()-19,999)</f>
        <v>999</v>
      </c>
      <c r="AM67" t="str">
        <f ca="1">IFERROR(INDEX($A$20:$A$78,SMALL($AN$20:$AN$78,48)),"")</f>
        <v/>
      </c>
      <c r="AN67">
        <f ca="1">IF(AND($A67&lt;&gt;"",COUNTIF($A$20:A67,A67)=1,AND($A67&lt;&gt;"",$A67&lt;&gt;"非自然知识",COUNTIF($A$20:$A$78,$A67)&gt;0,OR($B$8="any",$B$8="fixed",AND($B$8="group",LEFT($A67,LEN($E$8)+1)=$E$8&amp;"（"),IFERROR(OR(ISNUMBER(FIND("|"&amp;$A67&amp;"|",$D$8)),AND(IFERROR(FIND("（",$A67),0)&gt;0,ISNUMBER(FIND("|"&amp;LEFT($A67,FIND("（",$A67)-1)&amp;"*|",$D$8)))),FALSE)))),ROW()-19,999)</f>
        <v>999</v>
      </c>
      <c r="AO67" t="str">
        <f ca="1">IFERROR(INDEX($A$20:$A$78,SMALL($AP$20:$AP$78,48)),"")</f>
        <v/>
      </c>
      <c r="AP67">
        <f ca="1">IF(AND($A67&lt;&gt;"",COUNTIF($A$20:A67,A67)=1,AND($A67&lt;&gt;"",$A67&lt;&gt;"非自然知识",COUNTIF($A$20:$A$78,$A67)&gt;0,OR($B$9="any",$B$9="fixed",AND($B$9="group",LEFT($A67,LEN($E$9)+1)=$E$9&amp;"（"),IFERROR(OR(ISNUMBER(FIND("|"&amp;$A67&amp;"|",$D$9)),AND(IFERROR(FIND("（",$A67),0)&gt;0,ISNUMBER(FIND("|"&amp;LEFT($A67,FIND("（",$A67)-1)&amp;"*|",$D$9)))),FALSE)))),ROW()-19,999)</f>
        <v>999</v>
      </c>
    </row>
    <row r="68" spans="1:42">
      <c r="A68" t="str">
        <f>人物卡!AG32</f>
        <v>搜寻</v>
      </c>
      <c r="B68" t="str">
        <f t="shared" si="2"/>
        <v/>
      </c>
      <c r="C68">
        <f ca="1">IF(人物卡!AY32="",N(人物卡!AV32),N(人物卡!AY32))</f>
        <v>20</v>
      </c>
      <c r="D68">
        <f ca="1">IF(AND(A68&lt;&gt;"",COUNTIF($A$20:A68,A68)=1),COUNTIF($H$2:$H$9,A68)*20,0)</f>
        <v>0</v>
      </c>
      <c r="E68">
        <f ca="1" t="shared" si="3"/>
        <v>0</v>
      </c>
      <c r="F68">
        <f ca="1">IF(AND(A68&lt;&gt;"",COUNTIF($A$20:A68,A68)=1),IF(A68="神秘学",IF(人物卡!$DF$46="人类不应知道之事",20,IF(OR(人物卡!$DF$46="极端暴力",人物卡!$DF$46="关押或入狱",人物卡!$DF$46="艰苦经历"),10,0)),0)+IF(人物卡!$DF$46="艰苦经历",COUNTIF($H$12:$H$16,A68)*10,0),0)</f>
        <v>0</v>
      </c>
      <c r="G68">
        <f ca="1">IF(人物卡!$DF$46="艰苦经历",MIN(F68,MAX(0,90-C68-E68)),MIN(F68,MAX(0,99-C68-E68)))</f>
        <v>0</v>
      </c>
      <c r="H68" t="str">
        <f ca="1" t="shared" si="4"/>
        <v/>
      </c>
      <c r="I68" t="str">
        <f ca="1" t="shared" si="5"/>
        <v/>
      </c>
      <c r="J68" t="s">
        <v>2335</v>
      </c>
      <c r="K68" t="s">
        <v>2336</v>
      </c>
      <c r="Y68">
        <f ca="1">IF(AND($A68&lt;&gt;"",COUNTIF($A$20:A68,A68)=1,$A68&lt;&gt;"非自然知识"),ROW()-19,999)</f>
        <v>49</v>
      </c>
      <c r="Z68" t="str">
        <f ca="1">IFERROR(INDEX($A$20:$A$78,SMALL($Y$20:$Y$78,49)),"")</f>
        <v/>
      </c>
      <c r="AA68" t="str">
        <f ca="1">IFERROR(INDEX($A$20:$A$78,SMALL($AB$20:$AB$78,49)),"")</f>
        <v/>
      </c>
      <c r="AB68">
        <f ca="1">IF(AND($A68&lt;&gt;"",COUNTIF($A$20:A68,A68)=1,AND($A68&lt;&gt;"",$A68&lt;&gt;"非自然知识",COUNTIF($A$20:$A$78,$A68)&gt;0,OR($B$2="any",$B$2="fixed",AND($B$2="group",LEFT($A68,LEN($E$2)+1)=$E$2&amp;"（"),IFERROR(OR(ISNUMBER(FIND("|"&amp;$A68&amp;"|",$D$2)),AND(IFERROR(FIND("（",$A68),0)&gt;0,ISNUMBER(FIND("|"&amp;LEFT($A68,FIND("（",$A68)-1)&amp;"*|",$D$2)))),FALSE)))),ROW()-19,999)</f>
        <v>49</v>
      </c>
      <c r="AC68" t="str">
        <f ca="1">IFERROR(INDEX($A$20:$A$78,SMALL($AD$20:$AD$78,49)),"")</f>
        <v/>
      </c>
      <c r="AD68">
        <f ca="1">IF(AND($A68&lt;&gt;"",COUNTIF($A$20:A68,A68)=1,AND($A68&lt;&gt;"",$A68&lt;&gt;"非自然知识",COUNTIF($A$20:$A$78,$A68)&gt;0,OR($B$3="any",$B$3="fixed",AND($B$3="group",LEFT($A68,LEN($E$3)+1)=$E$3&amp;"（"),IFERROR(OR(ISNUMBER(FIND("|"&amp;$A68&amp;"|",$D$3)),AND(IFERROR(FIND("（",$A68),0)&gt;0,ISNUMBER(FIND("|"&amp;LEFT($A68,FIND("（",$A68)-1)&amp;"*|",$D$3)))),FALSE)))),ROW()-19,999)</f>
        <v>49</v>
      </c>
      <c r="AE68" t="str">
        <f ca="1">IFERROR(INDEX($A$20:$A$78,SMALL($AF$20:$AF$78,49)),"")</f>
        <v/>
      </c>
      <c r="AF68">
        <f ca="1">IF(AND($A68&lt;&gt;"",COUNTIF($A$20:A68,A68)=1,AND($A68&lt;&gt;"",$A68&lt;&gt;"非自然知识",COUNTIF($A$20:$A$78,$A68)&gt;0,OR($B$4="any",$B$4="fixed",AND($B$4="group",LEFT($A68,LEN($E$4)+1)=$E$4&amp;"（"),IFERROR(OR(ISNUMBER(FIND("|"&amp;$A68&amp;"|",$D$4)),AND(IFERROR(FIND("（",$A68),0)&gt;0,ISNUMBER(FIND("|"&amp;LEFT($A68,FIND("（",$A68)-1)&amp;"*|",$D$4)))),FALSE)))),ROW()-19,999)</f>
        <v>49</v>
      </c>
      <c r="AG68" t="str">
        <f ca="1">IFERROR(INDEX($A$20:$A$78,SMALL($AH$20:$AH$78,49)),"")</f>
        <v/>
      </c>
      <c r="AH68">
        <f ca="1">IF(AND($A68&lt;&gt;"",COUNTIF($A$20:A68,A68)=1,AND($A68&lt;&gt;"",$A68&lt;&gt;"非自然知识",COUNTIF($A$20:$A$78,$A68)&gt;0,OR($B$5="any",$B$5="fixed",AND($B$5="group",LEFT($A68,LEN($E$5)+1)=$E$5&amp;"（"),IFERROR(OR(ISNUMBER(FIND("|"&amp;$A68&amp;"|",$D$5)),AND(IFERROR(FIND("（",$A68),0)&gt;0,ISNUMBER(FIND("|"&amp;LEFT($A68,FIND("（",$A68)-1)&amp;"*|",$D$5)))),FALSE)))),ROW()-19,999)</f>
        <v>49</v>
      </c>
      <c r="AI68" t="str">
        <f ca="1">IFERROR(INDEX($A$20:$A$78,SMALL($AJ$20:$AJ$78,49)),"")</f>
        <v/>
      </c>
      <c r="AJ68">
        <f ca="1">IF(AND($A68&lt;&gt;"",COUNTIF($A$20:A68,A68)=1,AND($A68&lt;&gt;"",$A68&lt;&gt;"非自然知识",COUNTIF($A$20:$A$78,$A68)&gt;0,OR($B$6="any",$B$6="fixed",AND($B$6="group",LEFT($A68,LEN($E$6)+1)=$E$6&amp;"（"),IFERROR(OR(ISNUMBER(FIND("|"&amp;$A68&amp;"|",$D$6)),AND(IFERROR(FIND("（",$A68),0)&gt;0,ISNUMBER(FIND("|"&amp;LEFT($A68,FIND("（",$A68)-1)&amp;"*|",$D$6)))),FALSE)))),ROW()-19,999)</f>
        <v>49</v>
      </c>
      <c r="AK68" t="str">
        <f ca="1">IFERROR(INDEX($A$20:$A$78,SMALL($AL$20:$AL$78,49)),"")</f>
        <v/>
      </c>
      <c r="AL68">
        <f ca="1">IF(AND($A68&lt;&gt;"",COUNTIF($A$20:A68,A68)=1,AND($A68&lt;&gt;"",$A68&lt;&gt;"非自然知识",COUNTIF($A$20:$A$78,$A68)&gt;0,OR($B$7="any",$B$7="fixed",AND($B$7="group",LEFT($A68,LEN($E$7)+1)=$E$7&amp;"（"),IFERROR(OR(ISNUMBER(FIND("|"&amp;$A68&amp;"|",$D$7)),AND(IFERROR(FIND("（",$A68),0)&gt;0,ISNUMBER(FIND("|"&amp;LEFT($A68,FIND("（",$A68)-1)&amp;"*|",$D$7)))),FALSE)))),ROW()-19,999)</f>
        <v>49</v>
      </c>
      <c r="AM68" t="str">
        <f ca="1">IFERROR(INDEX($A$20:$A$78,SMALL($AN$20:$AN$78,49)),"")</f>
        <v/>
      </c>
      <c r="AN68">
        <f ca="1">IF(AND($A68&lt;&gt;"",COUNTIF($A$20:A68,A68)=1,AND($A68&lt;&gt;"",$A68&lt;&gt;"非自然知识",COUNTIF($A$20:$A$78,$A68)&gt;0,OR($B$8="any",$B$8="fixed",AND($B$8="group",LEFT($A68,LEN($E$8)+1)=$E$8&amp;"（"),IFERROR(OR(ISNUMBER(FIND("|"&amp;$A68&amp;"|",$D$8)),AND(IFERROR(FIND("（",$A68),0)&gt;0,ISNUMBER(FIND("|"&amp;LEFT($A68,FIND("（",$A68)-1)&amp;"*|",$D$8)))),FALSE)))),ROW()-19,999)</f>
        <v>49</v>
      </c>
      <c r="AO68" t="str">
        <f ca="1">IFERROR(INDEX($A$20:$A$78,SMALL($AP$20:$AP$78,49)),"")</f>
        <v/>
      </c>
      <c r="AP68">
        <f ca="1">IF(AND($A68&lt;&gt;"",COUNTIF($A$20:A68,A68)=1,AND($A68&lt;&gt;"",$A68&lt;&gt;"非自然知识",COUNTIF($A$20:$A$78,$A68)&gt;0,OR($B$9="any",$B$9="fixed",AND($B$9="group",LEFT($A68,LEN($E$9)+1)=$E$9&amp;"（"),IFERROR(OR(ISNUMBER(FIND("|"&amp;$A68&amp;"|",$D$9)),AND(IFERROR(FIND("（",$A68),0)&gt;0,ISNUMBER(FIND("|"&amp;LEFT($A68,FIND("（",$A68)-1)&amp;"*|",$D$9)))),FALSE)))),ROW()-19,999)</f>
        <v>49</v>
      </c>
    </row>
    <row r="69" spans="1:42">
      <c r="A69" t="str">
        <f>人物卡!AG33</f>
        <v>信号情报</v>
      </c>
      <c r="B69" t="str">
        <f t="shared" si="2"/>
        <v/>
      </c>
      <c r="C69">
        <f ca="1">IF(人物卡!AY33="",N(人物卡!AV33),N(人物卡!AY33))</f>
        <v>0</v>
      </c>
      <c r="D69">
        <f ca="1">IF(AND(A69&lt;&gt;"",COUNTIF($A$20:A69,A69)=1),COUNTIF($H$2:$H$9,A69)*20,0)</f>
        <v>0</v>
      </c>
      <c r="E69">
        <f ca="1" t="shared" si="3"/>
        <v>0</v>
      </c>
      <c r="F69">
        <f ca="1">IF(AND(A69&lt;&gt;"",COUNTIF($A$20:A69,A69)=1),IF(A69="神秘学",IF(人物卡!$DF$46="人类不应知道之事",20,IF(OR(人物卡!$DF$46="极端暴力",人物卡!$DF$46="关押或入狱",人物卡!$DF$46="艰苦经历"),10,0)),0)+IF(人物卡!$DF$46="艰苦经历",COUNTIF($H$12:$H$16,A69)*10,0),0)</f>
        <v>0</v>
      </c>
      <c r="G69">
        <f ca="1">IF(人物卡!$DF$46="艰苦经历",MIN(F69,MAX(0,90-C69-E69)),MIN(F69,MAX(0,99-C69-E69)))</f>
        <v>0</v>
      </c>
      <c r="H69" t="str">
        <f ca="1" t="shared" si="4"/>
        <v/>
      </c>
      <c r="I69" t="str">
        <f ca="1" t="shared" si="5"/>
        <v/>
      </c>
      <c r="J69" t="s">
        <v>2337</v>
      </c>
      <c r="K69" t="s">
        <v>2338</v>
      </c>
      <c r="Y69">
        <f ca="1">IF(AND($A69&lt;&gt;"",COUNTIF($A$20:A69,A69)=1,$A69&lt;&gt;"非自然知识"),ROW()-19,999)</f>
        <v>50</v>
      </c>
      <c r="Z69" t="str">
        <f ca="1">IFERROR(INDEX($A$20:$A$78,SMALL($Y$20:$Y$78,50)),"")</f>
        <v/>
      </c>
      <c r="AA69" t="str">
        <f ca="1">IFERROR(INDEX($A$20:$A$78,SMALL($AB$20:$AB$78,50)),"")</f>
        <v/>
      </c>
      <c r="AB69">
        <f ca="1">IF(AND($A69&lt;&gt;"",COUNTIF($A$20:A69,A69)=1,AND($A69&lt;&gt;"",$A69&lt;&gt;"非自然知识",COUNTIF($A$20:$A$78,$A69)&gt;0,OR($B$2="any",$B$2="fixed",AND($B$2="group",LEFT($A69,LEN($E$2)+1)=$E$2&amp;"（"),IFERROR(OR(ISNUMBER(FIND("|"&amp;$A69&amp;"|",$D$2)),AND(IFERROR(FIND("（",$A69),0)&gt;0,ISNUMBER(FIND("|"&amp;LEFT($A69,FIND("（",$A69)-1)&amp;"*|",$D$2)))),FALSE)))),ROW()-19,999)</f>
        <v>50</v>
      </c>
      <c r="AC69" t="str">
        <f ca="1">IFERROR(INDEX($A$20:$A$78,SMALL($AD$20:$AD$78,50)),"")</f>
        <v/>
      </c>
      <c r="AD69">
        <f ca="1">IF(AND($A69&lt;&gt;"",COUNTIF($A$20:A69,A69)=1,AND($A69&lt;&gt;"",$A69&lt;&gt;"非自然知识",COUNTIF($A$20:$A$78,$A69)&gt;0,OR($B$3="any",$B$3="fixed",AND($B$3="group",LEFT($A69,LEN($E$3)+1)=$E$3&amp;"（"),IFERROR(OR(ISNUMBER(FIND("|"&amp;$A69&amp;"|",$D$3)),AND(IFERROR(FIND("（",$A69),0)&gt;0,ISNUMBER(FIND("|"&amp;LEFT($A69,FIND("（",$A69)-1)&amp;"*|",$D$3)))),FALSE)))),ROW()-19,999)</f>
        <v>50</v>
      </c>
      <c r="AE69" t="str">
        <f ca="1">IFERROR(INDEX($A$20:$A$78,SMALL($AF$20:$AF$78,50)),"")</f>
        <v/>
      </c>
      <c r="AF69">
        <f ca="1">IF(AND($A69&lt;&gt;"",COUNTIF($A$20:A69,A69)=1,AND($A69&lt;&gt;"",$A69&lt;&gt;"非自然知识",COUNTIF($A$20:$A$78,$A69)&gt;0,OR($B$4="any",$B$4="fixed",AND($B$4="group",LEFT($A69,LEN($E$4)+1)=$E$4&amp;"（"),IFERROR(OR(ISNUMBER(FIND("|"&amp;$A69&amp;"|",$D$4)),AND(IFERROR(FIND("（",$A69),0)&gt;0,ISNUMBER(FIND("|"&amp;LEFT($A69,FIND("（",$A69)-1)&amp;"*|",$D$4)))),FALSE)))),ROW()-19,999)</f>
        <v>50</v>
      </c>
      <c r="AG69" t="str">
        <f ca="1">IFERROR(INDEX($A$20:$A$78,SMALL($AH$20:$AH$78,50)),"")</f>
        <v/>
      </c>
      <c r="AH69">
        <f ca="1">IF(AND($A69&lt;&gt;"",COUNTIF($A$20:A69,A69)=1,AND($A69&lt;&gt;"",$A69&lt;&gt;"非自然知识",COUNTIF($A$20:$A$78,$A69)&gt;0,OR($B$5="any",$B$5="fixed",AND($B$5="group",LEFT($A69,LEN($E$5)+1)=$E$5&amp;"（"),IFERROR(OR(ISNUMBER(FIND("|"&amp;$A69&amp;"|",$D$5)),AND(IFERROR(FIND("（",$A69),0)&gt;0,ISNUMBER(FIND("|"&amp;LEFT($A69,FIND("（",$A69)-1)&amp;"*|",$D$5)))),FALSE)))),ROW()-19,999)</f>
        <v>50</v>
      </c>
      <c r="AI69" t="str">
        <f ca="1">IFERROR(INDEX($A$20:$A$78,SMALL($AJ$20:$AJ$78,50)),"")</f>
        <v/>
      </c>
      <c r="AJ69">
        <f ca="1">IF(AND($A69&lt;&gt;"",COUNTIF($A$20:A69,A69)=1,AND($A69&lt;&gt;"",$A69&lt;&gt;"非自然知识",COUNTIF($A$20:$A$78,$A69)&gt;0,OR($B$6="any",$B$6="fixed",AND($B$6="group",LEFT($A69,LEN($E$6)+1)=$E$6&amp;"（"),IFERROR(OR(ISNUMBER(FIND("|"&amp;$A69&amp;"|",$D$6)),AND(IFERROR(FIND("（",$A69),0)&gt;0,ISNUMBER(FIND("|"&amp;LEFT($A69,FIND("（",$A69)-1)&amp;"*|",$D$6)))),FALSE)))),ROW()-19,999)</f>
        <v>50</v>
      </c>
      <c r="AK69" t="str">
        <f ca="1">IFERROR(INDEX($A$20:$A$78,SMALL($AL$20:$AL$78,50)),"")</f>
        <v/>
      </c>
      <c r="AL69">
        <f ca="1">IF(AND($A69&lt;&gt;"",COUNTIF($A$20:A69,A69)=1,AND($A69&lt;&gt;"",$A69&lt;&gt;"非自然知识",COUNTIF($A$20:$A$78,$A69)&gt;0,OR($B$7="any",$B$7="fixed",AND($B$7="group",LEFT($A69,LEN($E$7)+1)=$E$7&amp;"（"),IFERROR(OR(ISNUMBER(FIND("|"&amp;$A69&amp;"|",$D$7)),AND(IFERROR(FIND("（",$A69),0)&gt;0,ISNUMBER(FIND("|"&amp;LEFT($A69,FIND("（",$A69)-1)&amp;"*|",$D$7)))),FALSE)))),ROW()-19,999)</f>
        <v>50</v>
      </c>
      <c r="AM69" t="str">
        <f ca="1">IFERROR(INDEX($A$20:$A$78,SMALL($AN$20:$AN$78,50)),"")</f>
        <v/>
      </c>
      <c r="AN69">
        <f ca="1">IF(AND($A69&lt;&gt;"",COUNTIF($A$20:A69,A69)=1,AND($A69&lt;&gt;"",$A69&lt;&gt;"非自然知识",COUNTIF($A$20:$A$78,$A69)&gt;0,OR($B$8="any",$B$8="fixed",AND($B$8="group",LEFT($A69,LEN($E$8)+1)=$E$8&amp;"（"),IFERROR(OR(ISNUMBER(FIND("|"&amp;$A69&amp;"|",$D$8)),AND(IFERROR(FIND("（",$A69),0)&gt;0,ISNUMBER(FIND("|"&amp;LEFT($A69,FIND("（",$A69)-1)&amp;"*|",$D$8)))),FALSE)))),ROW()-19,999)</f>
        <v>50</v>
      </c>
      <c r="AO69" t="str">
        <f ca="1">IFERROR(INDEX($A$20:$A$78,SMALL($AP$20:$AP$78,50)),"")</f>
        <v/>
      </c>
      <c r="AP69">
        <f ca="1">IF(AND($A69&lt;&gt;"",COUNTIF($A$20:A69,A69)=1,AND($A69&lt;&gt;"",$A69&lt;&gt;"非自然知识",COUNTIF($A$20:$A$78,$A69)&gt;0,OR($B$9="any",$B$9="fixed",AND($B$9="group",LEFT($A69,LEN($E$9)+1)=$E$9&amp;"（"),IFERROR(OR(ISNUMBER(FIND("|"&amp;$A69&amp;"|",$D$9)),AND(IFERROR(FIND("（",$A69),0)&gt;0,ISNUMBER(FIND("|"&amp;LEFT($A69,FIND("（",$A69)-1)&amp;"*|",$D$9)))),FALSE)))),ROW()-19,999)</f>
        <v>50</v>
      </c>
    </row>
    <row r="70" spans="1:42">
      <c r="A70" t="str">
        <f>人物卡!AG34</f>
        <v>潜藏</v>
      </c>
      <c r="B70" t="str">
        <f t="shared" si="2"/>
        <v/>
      </c>
      <c r="C70">
        <f ca="1">IF(人物卡!AY34="",N(人物卡!AV34),N(人物卡!AY34))</f>
        <v>10</v>
      </c>
      <c r="D70">
        <f ca="1">IF(AND(A70&lt;&gt;"",COUNTIF($A$20:A70,A70)=1),COUNTIF($H$2:$H$9,A70)*20,0)</f>
        <v>0</v>
      </c>
      <c r="E70">
        <f ca="1" t="shared" si="3"/>
        <v>0</v>
      </c>
      <c r="F70">
        <f ca="1">IF(AND(A70&lt;&gt;"",COUNTIF($A$20:A70,A70)=1),IF(A70="神秘学",IF(人物卡!$DF$46="人类不应知道之事",20,IF(OR(人物卡!$DF$46="极端暴力",人物卡!$DF$46="关押或入狱",人物卡!$DF$46="艰苦经历"),10,0)),0)+IF(人物卡!$DF$46="艰苦经历",COUNTIF($H$12:$H$16,A70)*10,0),0)</f>
        <v>0</v>
      </c>
      <c r="G70">
        <f ca="1">IF(人物卡!$DF$46="艰苦经历",MIN(F70,MAX(0,90-C70-E70)),MIN(F70,MAX(0,99-C70-E70)))</f>
        <v>0</v>
      </c>
      <c r="H70" t="str">
        <f ca="1" t="shared" si="4"/>
        <v/>
      </c>
      <c r="I70" t="str">
        <f ca="1" t="shared" si="5"/>
        <v/>
      </c>
      <c r="J70" t="s">
        <v>2339</v>
      </c>
      <c r="K70" t="s">
        <v>2340</v>
      </c>
      <c r="Y70">
        <f ca="1">IF(AND($A70&lt;&gt;"",COUNTIF($A$20:A70,A70)=1,$A70&lt;&gt;"非自然知识"),ROW()-19,999)</f>
        <v>51</v>
      </c>
      <c r="Z70" t="str">
        <f ca="1">IFERROR(INDEX($A$20:$A$78,SMALL($Y$20:$Y$78,51)),"")</f>
        <v/>
      </c>
      <c r="AA70" t="str">
        <f ca="1">IFERROR(INDEX($A$20:$A$78,SMALL($AB$20:$AB$78,51)),"")</f>
        <v/>
      </c>
      <c r="AB70">
        <f ca="1">IF(AND($A70&lt;&gt;"",COUNTIF($A$20:A70,A70)=1,AND($A70&lt;&gt;"",$A70&lt;&gt;"非自然知识",COUNTIF($A$20:$A$78,$A70)&gt;0,OR($B$2="any",$B$2="fixed",AND($B$2="group",LEFT($A70,LEN($E$2)+1)=$E$2&amp;"（"),IFERROR(OR(ISNUMBER(FIND("|"&amp;$A70&amp;"|",$D$2)),AND(IFERROR(FIND("（",$A70),0)&gt;0,ISNUMBER(FIND("|"&amp;LEFT($A70,FIND("（",$A70)-1)&amp;"*|",$D$2)))),FALSE)))),ROW()-19,999)</f>
        <v>51</v>
      </c>
      <c r="AC70" t="str">
        <f ca="1">IFERROR(INDEX($A$20:$A$78,SMALL($AD$20:$AD$78,51)),"")</f>
        <v/>
      </c>
      <c r="AD70">
        <f ca="1">IF(AND($A70&lt;&gt;"",COUNTIF($A$20:A70,A70)=1,AND($A70&lt;&gt;"",$A70&lt;&gt;"非自然知识",COUNTIF($A$20:$A$78,$A70)&gt;0,OR($B$3="any",$B$3="fixed",AND($B$3="group",LEFT($A70,LEN($E$3)+1)=$E$3&amp;"（"),IFERROR(OR(ISNUMBER(FIND("|"&amp;$A70&amp;"|",$D$3)),AND(IFERROR(FIND("（",$A70),0)&gt;0,ISNUMBER(FIND("|"&amp;LEFT($A70,FIND("（",$A70)-1)&amp;"*|",$D$3)))),FALSE)))),ROW()-19,999)</f>
        <v>51</v>
      </c>
      <c r="AE70" t="str">
        <f ca="1">IFERROR(INDEX($A$20:$A$78,SMALL($AF$20:$AF$78,51)),"")</f>
        <v/>
      </c>
      <c r="AF70">
        <f ca="1">IF(AND($A70&lt;&gt;"",COUNTIF($A$20:A70,A70)=1,AND($A70&lt;&gt;"",$A70&lt;&gt;"非自然知识",COUNTIF($A$20:$A$78,$A70)&gt;0,OR($B$4="any",$B$4="fixed",AND($B$4="group",LEFT($A70,LEN($E$4)+1)=$E$4&amp;"（"),IFERROR(OR(ISNUMBER(FIND("|"&amp;$A70&amp;"|",$D$4)),AND(IFERROR(FIND("（",$A70),0)&gt;0,ISNUMBER(FIND("|"&amp;LEFT($A70,FIND("（",$A70)-1)&amp;"*|",$D$4)))),FALSE)))),ROW()-19,999)</f>
        <v>51</v>
      </c>
      <c r="AG70" t="str">
        <f ca="1">IFERROR(INDEX($A$20:$A$78,SMALL($AH$20:$AH$78,51)),"")</f>
        <v/>
      </c>
      <c r="AH70">
        <f ca="1">IF(AND($A70&lt;&gt;"",COUNTIF($A$20:A70,A70)=1,AND($A70&lt;&gt;"",$A70&lt;&gt;"非自然知识",COUNTIF($A$20:$A$78,$A70)&gt;0,OR($B$5="any",$B$5="fixed",AND($B$5="group",LEFT($A70,LEN($E$5)+1)=$E$5&amp;"（"),IFERROR(OR(ISNUMBER(FIND("|"&amp;$A70&amp;"|",$D$5)),AND(IFERROR(FIND("（",$A70),0)&gt;0,ISNUMBER(FIND("|"&amp;LEFT($A70,FIND("（",$A70)-1)&amp;"*|",$D$5)))),FALSE)))),ROW()-19,999)</f>
        <v>51</v>
      </c>
      <c r="AI70" t="str">
        <f ca="1">IFERROR(INDEX($A$20:$A$78,SMALL($AJ$20:$AJ$78,51)),"")</f>
        <v/>
      </c>
      <c r="AJ70">
        <f ca="1">IF(AND($A70&lt;&gt;"",COUNTIF($A$20:A70,A70)=1,AND($A70&lt;&gt;"",$A70&lt;&gt;"非自然知识",COUNTIF($A$20:$A$78,$A70)&gt;0,OR($B$6="any",$B$6="fixed",AND($B$6="group",LEFT($A70,LEN($E$6)+1)=$E$6&amp;"（"),IFERROR(OR(ISNUMBER(FIND("|"&amp;$A70&amp;"|",$D$6)),AND(IFERROR(FIND("（",$A70),0)&gt;0,ISNUMBER(FIND("|"&amp;LEFT($A70,FIND("（",$A70)-1)&amp;"*|",$D$6)))),FALSE)))),ROW()-19,999)</f>
        <v>51</v>
      </c>
      <c r="AK70" t="str">
        <f ca="1">IFERROR(INDEX($A$20:$A$78,SMALL($AL$20:$AL$78,51)),"")</f>
        <v/>
      </c>
      <c r="AL70">
        <f ca="1">IF(AND($A70&lt;&gt;"",COUNTIF($A$20:A70,A70)=1,AND($A70&lt;&gt;"",$A70&lt;&gt;"非自然知识",COUNTIF($A$20:$A$78,$A70)&gt;0,OR($B$7="any",$B$7="fixed",AND($B$7="group",LEFT($A70,LEN($E$7)+1)=$E$7&amp;"（"),IFERROR(OR(ISNUMBER(FIND("|"&amp;$A70&amp;"|",$D$7)),AND(IFERROR(FIND("（",$A70),0)&gt;0,ISNUMBER(FIND("|"&amp;LEFT($A70,FIND("（",$A70)-1)&amp;"*|",$D$7)))),FALSE)))),ROW()-19,999)</f>
        <v>51</v>
      </c>
      <c r="AM70" t="str">
        <f ca="1">IFERROR(INDEX($A$20:$A$78,SMALL($AN$20:$AN$78,51)),"")</f>
        <v/>
      </c>
      <c r="AN70">
        <f ca="1">IF(AND($A70&lt;&gt;"",COUNTIF($A$20:A70,A70)=1,AND($A70&lt;&gt;"",$A70&lt;&gt;"非自然知识",COUNTIF($A$20:$A$78,$A70)&gt;0,OR($B$8="any",$B$8="fixed",AND($B$8="group",LEFT($A70,LEN($E$8)+1)=$E$8&amp;"（"),IFERROR(OR(ISNUMBER(FIND("|"&amp;$A70&amp;"|",$D$8)),AND(IFERROR(FIND("（",$A70),0)&gt;0,ISNUMBER(FIND("|"&amp;LEFT($A70,FIND("（",$A70)-1)&amp;"*|",$D$8)))),FALSE)))),ROW()-19,999)</f>
        <v>51</v>
      </c>
      <c r="AO70" t="str">
        <f ca="1">IFERROR(INDEX($A$20:$A$78,SMALL($AP$20:$AP$78,51)),"")</f>
        <v/>
      </c>
      <c r="AP70">
        <f ca="1">IF(AND($A70&lt;&gt;"",COUNTIF($A$20:A70,A70)=1,AND($A70&lt;&gt;"",$A70&lt;&gt;"非自然知识",COUNTIF($A$20:$A$78,$A70)&gt;0,OR($B$9="any",$B$9="fixed",AND($B$9="group",LEFT($A70,LEN($E$9)+1)=$E$9&amp;"（"),IFERROR(OR(ISNUMBER(FIND("|"&amp;$A70&amp;"|",$D$9)),AND(IFERROR(FIND("（",$A70),0)&gt;0,ISNUMBER(FIND("|"&amp;LEFT($A70,FIND("（",$A70)-1)&amp;"*|",$D$9)))),FALSE)))),ROW()-19,999)</f>
        <v>51</v>
      </c>
    </row>
    <row r="71" spans="1:42">
      <c r="A71" t="str">
        <f>人物卡!AG35</f>
        <v>手术</v>
      </c>
      <c r="B71" t="str">
        <f t="shared" si="2"/>
        <v/>
      </c>
      <c r="C71">
        <f ca="1">IF(人物卡!AY35="",N(人物卡!AV35),N(人物卡!AY35))</f>
        <v>0</v>
      </c>
      <c r="D71">
        <f ca="1">IF(AND(A71&lt;&gt;"",COUNTIF($A$20:A71,A71)=1),COUNTIF($H$2:$H$9,A71)*20,0)</f>
        <v>0</v>
      </c>
      <c r="E71">
        <f ca="1" t="shared" si="3"/>
        <v>0</v>
      </c>
      <c r="F71">
        <f ca="1">IF(AND(A71&lt;&gt;"",COUNTIF($A$20:A71,A71)=1),IF(A71="神秘学",IF(人物卡!$DF$46="人类不应知道之事",20,IF(OR(人物卡!$DF$46="极端暴力",人物卡!$DF$46="关押或入狱",人物卡!$DF$46="艰苦经历"),10,0)),0)+IF(人物卡!$DF$46="艰苦经历",COUNTIF($H$12:$H$16,A71)*10,0),0)</f>
        <v>0</v>
      </c>
      <c r="G71">
        <f ca="1">IF(人物卡!$DF$46="艰苦经历",MIN(F71,MAX(0,90-C71-E71)),MIN(F71,MAX(0,99-C71-E71)))</f>
        <v>0</v>
      </c>
      <c r="H71" t="str">
        <f ca="1" t="shared" si="4"/>
        <v/>
      </c>
      <c r="I71" t="str">
        <f ca="1" t="shared" si="5"/>
        <v/>
      </c>
      <c r="J71" t="s">
        <v>2341</v>
      </c>
      <c r="K71" t="s">
        <v>2342</v>
      </c>
      <c r="Y71">
        <f ca="1">IF(AND($A71&lt;&gt;"",COUNTIF($A$20:A71,A71)=1,$A71&lt;&gt;"非自然知识"),ROW()-19,999)</f>
        <v>52</v>
      </c>
      <c r="Z71" t="str">
        <f ca="1">IFERROR(INDEX($A$20:$A$78,SMALL($Y$20:$Y$78,52)),"")</f>
        <v/>
      </c>
      <c r="AA71" t="str">
        <f ca="1">IFERROR(INDEX($A$20:$A$78,SMALL($AB$20:$AB$78,52)),"")</f>
        <v/>
      </c>
      <c r="AB71">
        <f ca="1">IF(AND($A71&lt;&gt;"",COUNTIF($A$20:A71,A71)=1,AND($A71&lt;&gt;"",$A71&lt;&gt;"非自然知识",COUNTIF($A$20:$A$78,$A71)&gt;0,OR($B$2="any",$B$2="fixed",AND($B$2="group",LEFT($A71,LEN($E$2)+1)=$E$2&amp;"（"),IFERROR(OR(ISNUMBER(FIND("|"&amp;$A71&amp;"|",$D$2)),AND(IFERROR(FIND("（",$A71),0)&gt;0,ISNUMBER(FIND("|"&amp;LEFT($A71,FIND("（",$A71)-1)&amp;"*|",$D$2)))),FALSE)))),ROW()-19,999)</f>
        <v>52</v>
      </c>
      <c r="AC71" t="str">
        <f ca="1">IFERROR(INDEX($A$20:$A$78,SMALL($AD$20:$AD$78,52)),"")</f>
        <v/>
      </c>
      <c r="AD71">
        <f ca="1">IF(AND($A71&lt;&gt;"",COUNTIF($A$20:A71,A71)=1,AND($A71&lt;&gt;"",$A71&lt;&gt;"非自然知识",COUNTIF($A$20:$A$78,$A71)&gt;0,OR($B$3="any",$B$3="fixed",AND($B$3="group",LEFT($A71,LEN($E$3)+1)=$E$3&amp;"（"),IFERROR(OR(ISNUMBER(FIND("|"&amp;$A71&amp;"|",$D$3)),AND(IFERROR(FIND("（",$A71),0)&gt;0,ISNUMBER(FIND("|"&amp;LEFT($A71,FIND("（",$A71)-1)&amp;"*|",$D$3)))),FALSE)))),ROW()-19,999)</f>
        <v>52</v>
      </c>
      <c r="AE71" t="str">
        <f ca="1">IFERROR(INDEX($A$20:$A$78,SMALL($AF$20:$AF$78,52)),"")</f>
        <v/>
      </c>
      <c r="AF71">
        <f ca="1">IF(AND($A71&lt;&gt;"",COUNTIF($A$20:A71,A71)=1,AND($A71&lt;&gt;"",$A71&lt;&gt;"非自然知识",COUNTIF($A$20:$A$78,$A71)&gt;0,OR($B$4="any",$B$4="fixed",AND($B$4="group",LEFT($A71,LEN($E$4)+1)=$E$4&amp;"（"),IFERROR(OR(ISNUMBER(FIND("|"&amp;$A71&amp;"|",$D$4)),AND(IFERROR(FIND("（",$A71),0)&gt;0,ISNUMBER(FIND("|"&amp;LEFT($A71,FIND("（",$A71)-1)&amp;"*|",$D$4)))),FALSE)))),ROW()-19,999)</f>
        <v>52</v>
      </c>
      <c r="AG71" t="str">
        <f ca="1">IFERROR(INDEX($A$20:$A$78,SMALL($AH$20:$AH$78,52)),"")</f>
        <v/>
      </c>
      <c r="AH71">
        <f ca="1">IF(AND($A71&lt;&gt;"",COUNTIF($A$20:A71,A71)=1,AND($A71&lt;&gt;"",$A71&lt;&gt;"非自然知识",COUNTIF($A$20:$A$78,$A71)&gt;0,OR($B$5="any",$B$5="fixed",AND($B$5="group",LEFT($A71,LEN($E$5)+1)=$E$5&amp;"（"),IFERROR(OR(ISNUMBER(FIND("|"&amp;$A71&amp;"|",$D$5)),AND(IFERROR(FIND("（",$A71),0)&gt;0,ISNUMBER(FIND("|"&amp;LEFT($A71,FIND("（",$A71)-1)&amp;"*|",$D$5)))),FALSE)))),ROW()-19,999)</f>
        <v>52</v>
      </c>
      <c r="AI71" t="str">
        <f ca="1">IFERROR(INDEX($A$20:$A$78,SMALL($AJ$20:$AJ$78,52)),"")</f>
        <v/>
      </c>
      <c r="AJ71">
        <f ca="1">IF(AND($A71&lt;&gt;"",COUNTIF($A$20:A71,A71)=1,AND($A71&lt;&gt;"",$A71&lt;&gt;"非自然知识",COUNTIF($A$20:$A$78,$A71)&gt;0,OR($B$6="any",$B$6="fixed",AND($B$6="group",LEFT($A71,LEN($E$6)+1)=$E$6&amp;"（"),IFERROR(OR(ISNUMBER(FIND("|"&amp;$A71&amp;"|",$D$6)),AND(IFERROR(FIND("（",$A71),0)&gt;0,ISNUMBER(FIND("|"&amp;LEFT($A71,FIND("（",$A71)-1)&amp;"*|",$D$6)))),FALSE)))),ROW()-19,999)</f>
        <v>52</v>
      </c>
      <c r="AK71" t="str">
        <f ca="1">IFERROR(INDEX($A$20:$A$78,SMALL($AL$20:$AL$78,52)),"")</f>
        <v/>
      </c>
      <c r="AL71">
        <f ca="1">IF(AND($A71&lt;&gt;"",COUNTIF($A$20:A71,A71)=1,AND($A71&lt;&gt;"",$A71&lt;&gt;"非自然知识",COUNTIF($A$20:$A$78,$A71)&gt;0,OR($B$7="any",$B$7="fixed",AND($B$7="group",LEFT($A71,LEN($E$7)+1)=$E$7&amp;"（"),IFERROR(OR(ISNUMBER(FIND("|"&amp;$A71&amp;"|",$D$7)),AND(IFERROR(FIND("（",$A71),0)&gt;0,ISNUMBER(FIND("|"&amp;LEFT($A71,FIND("（",$A71)-1)&amp;"*|",$D$7)))),FALSE)))),ROW()-19,999)</f>
        <v>52</v>
      </c>
      <c r="AM71" t="str">
        <f ca="1">IFERROR(INDEX($A$20:$A$78,SMALL($AN$20:$AN$78,52)),"")</f>
        <v/>
      </c>
      <c r="AN71">
        <f ca="1">IF(AND($A71&lt;&gt;"",COUNTIF($A$20:A71,A71)=1,AND($A71&lt;&gt;"",$A71&lt;&gt;"非自然知识",COUNTIF($A$20:$A$78,$A71)&gt;0,OR($B$8="any",$B$8="fixed",AND($B$8="group",LEFT($A71,LEN($E$8)+1)=$E$8&amp;"（"),IFERROR(OR(ISNUMBER(FIND("|"&amp;$A71&amp;"|",$D$8)),AND(IFERROR(FIND("（",$A71),0)&gt;0,ISNUMBER(FIND("|"&amp;LEFT($A71,FIND("（",$A71)-1)&amp;"*|",$D$8)))),FALSE)))),ROW()-19,999)</f>
        <v>52</v>
      </c>
      <c r="AO71" t="str">
        <f ca="1">IFERROR(INDEX($A$20:$A$78,SMALL($AP$20:$AP$78,52)),"")</f>
        <v/>
      </c>
      <c r="AP71">
        <f ca="1">IF(AND($A71&lt;&gt;"",COUNTIF($A$20:A71,A71)=1,AND($A71&lt;&gt;"",$A71&lt;&gt;"非自然知识",COUNTIF($A$20:$A$78,$A71)&gt;0,OR($B$9="any",$B$9="fixed",AND($B$9="group",LEFT($A71,LEN($E$9)+1)=$E$9&amp;"（"),IFERROR(OR(ISNUMBER(FIND("|"&amp;$A71&amp;"|",$D$9)),AND(IFERROR(FIND("（",$A71),0)&gt;0,ISNUMBER(FIND("|"&amp;LEFT($A71,FIND("（",$A71)-1)&amp;"*|",$D$9)))),FALSE)))),ROW()-19,999)</f>
        <v>52</v>
      </c>
    </row>
    <row r="72" spans="1:42">
      <c r="A72" t="str">
        <f>人物卡!AG36</f>
        <v>生存</v>
      </c>
      <c r="B72" t="str">
        <f t="shared" si="2"/>
        <v/>
      </c>
      <c r="C72">
        <f ca="1">IF(人物卡!AY36="",N(人物卡!AV36),N(人物卡!AY36))</f>
        <v>10</v>
      </c>
      <c r="D72">
        <f ca="1">IF(AND(A72&lt;&gt;"",COUNTIF($A$20:A72,A72)=1),COUNTIF($H$2:$H$9,A72)*20,0)</f>
        <v>0</v>
      </c>
      <c r="E72">
        <f ca="1" t="shared" si="3"/>
        <v>0</v>
      </c>
      <c r="F72">
        <f ca="1">IF(AND(A72&lt;&gt;"",COUNTIF($A$20:A72,A72)=1),IF(A72="神秘学",IF(人物卡!$DF$46="人类不应知道之事",20,IF(OR(人物卡!$DF$46="极端暴力",人物卡!$DF$46="关押或入狱",人物卡!$DF$46="艰苦经历"),10,0)),0)+IF(人物卡!$DF$46="艰苦经历",COUNTIF($H$12:$H$16,A72)*10,0),0)</f>
        <v>0</v>
      </c>
      <c r="G72">
        <f ca="1">IF(人物卡!$DF$46="艰苦经历",MIN(F72,MAX(0,90-C72-E72)),MIN(F72,MAX(0,99-C72-E72)))</f>
        <v>0</v>
      </c>
      <c r="H72" t="str">
        <f ca="1" t="shared" si="4"/>
        <v/>
      </c>
      <c r="I72" t="str">
        <f ca="1" t="shared" si="5"/>
        <v/>
      </c>
      <c r="J72" t="s">
        <v>2343</v>
      </c>
      <c r="K72" t="s">
        <v>2344</v>
      </c>
      <c r="Y72">
        <f ca="1">IF(AND($A72&lt;&gt;"",COUNTIF($A$20:A72,A72)=1,$A72&lt;&gt;"非自然知识"),ROW()-19,999)</f>
        <v>53</v>
      </c>
      <c r="Z72" t="str">
        <f ca="1">IFERROR(INDEX($A$20:$A$78,SMALL($Y$20:$Y$78,53)),"")</f>
        <v/>
      </c>
      <c r="AA72" t="str">
        <f ca="1">IFERROR(INDEX($A$20:$A$78,SMALL($AB$20:$AB$78,53)),"")</f>
        <v/>
      </c>
      <c r="AB72">
        <f ca="1">IF(AND($A72&lt;&gt;"",COUNTIF($A$20:A72,A72)=1,AND($A72&lt;&gt;"",$A72&lt;&gt;"非自然知识",COUNTIF($A$20:$A$78,$A72)&gt;0,OR($B$2="any",$B$2="fixed",AND($B$2="group",LEFT($A72,LEN($E$2)+1)=$E$2&amp;"（"),IFERROR(OR(ISNUMBER(FIND("|"&amp;$A72&amp;"|",$D$2)),AND(IFERROR(FIND("（",$A72),0)&gt;0,ISNUMBER(FIND("|"&amp;LEFT($A72,FIND("（",$A72)-1)&amp;"*|",$D$2)))),FALSE)))),ROW()-19,999)</f>
        <v>53</v>
      </c>
      <c r="AC72" t="str">
        <f ca="1">IFERROR(INDEX($A$20:$A$78,SMALL($AD$20:$AD$78,53)),"")</f>
        <v/>
      </c>
      <c r="AD72">
        <f ca="1">IF(AND($A72&lt;&gt;"",COUNTIF($A$20:A72,A72)=1,AND($A72&lt;&gt;"",$A72&lt;&gt;"非自然知识",COUNTIF($A$20:$A$78,$A72)&gt;0,OR($B$3="any",$B$3="fixed",AND($B$3="group",LEFT($A72,LEN($E$3)+1)=$E$3&amp;"（"),IFERROR(OR(ISNUMBER(FIND("|"&amp;$A72&amp;"|",$D$3)),AND(IFERROR(FIND("（",$A72),0)&gt;0,ISNUMBER(FIND("|"&amp;LEFT($A72,FIND("（",$A72)-1)&amp;"*|",$D$3)))),FALSE)))),ROW()-19,999)</f>
        <v>53</v>
      </c>
      <c r="AE72" t="str">
        <f ca="1">IFERROR(INDEX($A$20:$A$78,SMALL($AF$20:$AF$78,53)),"")</f>
        <v/>
      </c>
      <c r="AF72">
        <f ca="1">IF(AND($A72&lt;&gt;"",COUNTIF($A$20:A72,A72)=1,AND($A72&lt;&gt;"",$A72&lt;&gt;"非自然知识",COUNTIF($A$20:$A$78,$A72)&gt;0,OR($B$4="any",$B$4="fixed",AND($B$4="group",LEFT($A72,LEN($E$4)+1)=$E$4&amp;"（"),IFERROR(OR(ISNUMBER(FIND("|"&amp;$A72&amp;"|",$D$4)),AND(IFERROR(FIND("（",$A72),0)&gt;0,ISNUMBER(FIND("|"&amp;LEFT($A72,FIND("（",$A72)-1)&amp;"*|",$D$4)))),FALSE)))),ROW()-19,999)</f>
        <v>53</v>
      </c>
      <c r="AG72" t="str">
        <f ca="1">IFERROR(INDEX($A$20:$A$78,SMALL($AH$20:$AH$78,53)),"")</f>
        <v/>
      </c>
      <c r="AH72">
        <f ca="1">IF(AND($A72&lt;&gt;"",COUNTIF($A$20:A72,A72)=1,AND($A72&lt;&gt;"",$A72&lt;&gt;"非自然知识",COUNTIF($A$20:$A$78,$A72)&gt;0,OR($B$5="any",$B$5="fixed",AND($B$5="group",LEFT($A72,LEN($E$5)+1)=$E$5&amp;"（"),IFERROR(OR(ISNUMBER(FIND("|"&amp;$A72&amp;"|",$D$5)),AND(IFERROR(FIND("（",$A72),0)&gt;0,ISNUMBER(FIND("|"&amp;LEFT($A72,FIND("（",$A72)-1)&amp;"*|",$D$5)))),FALSE)))),ROW()-19,999)</f>
        <v>53</v>
      </c>
      <c r="AI72" t="str">
        <f ca="1">IFERROR(INDEX($A$20:$A$78,SMALL($AJ$20:$AJ$78,53)),"")</f>
        <v/>
      </c>
      <c r="AJ72">
        <f ca="1">IF(AND($A72&lt;&gt;"",COUNTIF($A$20:A72,A72)=1,AND($A72&lt;&gt;"",$A72&lt;&gt;"非自然知识",COUNTIF($A$20:$A$78,$A72)&gt;0,OR($B$6="any",$B$6="fixed",AND($B$6="group",LEFT($A72,LEN($E$6)+1)=$E$6&amp;"（"),IFERROR(OR(ISNUMBER(FIND("|"&amp;$A72&amp;"|",$D$6)),AND(IFERROR(FIND("（",$A72),0)&gt;0,ISNUMBER(FIND("|"&amp;LEFT($A72,FIND("（",$A72)-1)&amp;"*|",$D$6)))),FALSE)))),ROW()-19,999)</f>
        <v>53</v>
      </c>
      <c r="AK72" t="str">
        <f ca="1">IFERROR(INDEX($A$20:$A$78,SMALL($AL$20:$AL$78,53)),"")</f>
        <v/>
      </c>
      <c r="AL72">
        <f ca="1">IF(AND($A72&lt;&gt;"",COUNTIF($A$20:A72,A72)=1,AND($A72&lt;&gt;"",$A72&lt;&gt;"非自然知识",COUNTIF($A$20:$A$78,$A72)&gt;0,OR($B$7="any",$B$7="fixed",AND($B$7="group",LEFT($A72,LEN($E$7)+1)=$E$7&amp;"（"),IFERROR(OR(ISNUMBER(FIND("|"&amp;$A72&amp;"|",$D$7)),AND(IFERROR(FIND("（",$A72),0)&gt;0,ISNUMBER(FIND("|"&amp;LEFT($A72,FIND("（",$A72)-1)&amp;"*|",$D$7)))),FALSE)))),ROW()-19,999)</f>
        <v>53</v>
      </c>
      <c r="AM72" t="str">
        <f ca="1">IFERROR(INDEX($A$20:$A$78,SMALL($AN$20:$AN$78,53)),"")</f>
        <v/>
      </c>
      <c r="AN72">
        <f ca="1">IF(AND($A72&lt;&gt;"",COUNTIF($A$20:A72,A72)=1,AND($A72&lt;&gt;"",$A72&lt;&gt;"非自然知识",COUNTIF($A$20:$A$78,$A72)&gt;0,OR($B$8="any",$B$8="fixed",AND($B$8="group",LEFT($A72,LEN($E$8)+1)=$E$8&amp;"（"),IFERROR(OR(ISNUMBER(FIND("|"&amp;$A72&amp;"|",$D$8)),AND(IFERROR(FIND("（",$A72),0)&gt;0,ISNUMBER(FIND("|"&amp;LEFT($A72,FIND("（",$A72)-1)&amp;"*|",$D$8)))),FALSE)))),ROW()-19,999)</f>
        <v>53</v>
      </c>
      <c r="AO72" t="str">
        <f ca="1">IFERROR(INDEX($A$20:$A$78,SMALL($AP$20:$AP$78,53)),"")</f>
        <v/>
      </c>
      <c r="AP72">
        <f ca="1">IF(AND($A72&lt;&gt;"",COUNTIF($A$20:A72,A72)=1,AND($A72&lt;&gt;"",$A72&lt;&gt;"非自然知识",COUNTIF($A$20:$A$78,$A72)&gt;0,OR($B$9="any",$B$9="fixed",AND($B$9="group",LEFT($A72,LEN($E$9)+1)=$E$9&amp;"（"),IFERROR(OR(ISNUMBER(FIND("|"&amp;$A72&amp;"|",$D$9)),AND(IFERROR(FIND("（",$A72),0)&gt;0,ISNUMBER(FIND("|"&amp;LEFT($A72,FIND("（",$A72)-1)&amp;"*|",$D$9)))),FALSE)))),ROW()-19,999)</f>
        <v>53</v>
      </c>
    </row>
    <row r="73" spans="1:42">
      <c r="A73" t="str">
        <f>人物卡!AG37</f>
        <v>游泳</v>
      </c>
      <c r="B73" t="str">
        <f t="shared" si="2"/>
        <v/>
      </c>
      <c r="C73">
        <f ca="1">IF(人物卡!AY37="",N(人物卡!AV37),N(人物卡!AY37))</f>
        <v>20</v>
      </c>
      <c r="D73">
        <f ca="1">IF(AND(A73&lt;&gt;"",COUNTIF($A$20:A73,A73)=1),COUNTIF($H$2:$H$9,A73)*20,0)</f>
        <v>0</v>
      </c>
      <c r="E73">
        <f ca="1" t="shared" si="3"/>
        <v>0</v>
      </c>
      <c r="F73">
        <f ca="1">IF(AND(A73&lt;&gt;"",COUNTIF($A$20:A73,A73)=1),IF(A73="神秘学",IF(人物卡!$DF$46="人类不应知道之事",20,IF(OR(人物卡!$DF$46="极端暴力",人物卡!$DF$46="关押或入狱",人物卡!$DF$46="艰苦经历"),10,0)),0)+IF(人物卡!$DF$46="艰苦经历",COUNTIF($H$12:$H$16,A73)*10,0),0)</f>
        <v>0</v>
      </c>
      <c r="G73">
        <f ca="1">IF(人物卡!$DF$46="艰苦经历",MIN(F73,MAX(0,90-C73-E73)),MIN(F73,MAX(0,99-C73-E73)))</f>
        <v>0</v>
      </c>
      <c r="H73" t="str">
        <f ca="1" t="shared" si="4"/>
        <v/>
      </c>
      <c r="I73" t="str">
        <f ca="1" t="shared" si="5"/>
        <v/>
      </c>
      <c r="J73" t="s">
        <v>2345</v>
      </c>
      <c r="K73" t="s">
        <v>2346</v>
      </c>
      <c r="Y73">
        <f ca="1">IF(AND($A73&lt;&gt;"",COUNTIF($A$20:A73,A73)=1,$A73&lt;&gt;"非自然知识"),ROW()-19,999)</f>
        <v>54</v>
      </c>
      <c r="Z73" t="str">
        <f ca="1">IFERROR(INDEX($A$20:$A$78,SMALL($Y$20:$Y$78,54)),"")</f>
        <v/>
      </c>
      <c r="AA73" t="str">
        <f ca="1">IFERROR(INDEX($A$20:$A$78,SMALL($AB$20:$AB$78,54)),"")</f>
        <v/>
      </c>
      <c r="AB73">
        <f ca="1">IF(AND($A73&lt;&gt;"",COUNTIF($A$20:A73,A73)=1,AND($A73&lt;&gt;"",$A73&lt;&gt;"非自然知识",COUNTIF($A$20:$A$78,$A73)&gt;0,OR($B$2="any",$B$2="fixed",AND($B$2="group",LEFT($A73,LEN($E$2)+1)=$E$2&amp;"（"),IFERROR(OR(ISNUMBER(FIND("|"&amp;$A73&amp;"|",$D$2)),AND(IFERROR(FIND("（",$A73),0)&gt;0,ISNUMBER(FIND("|"&amp;LEFT($A73,FIND("（",$A73)-1)&amp;"*|",$D$2)))),FALSE)))),ROW()-19,999)</f>
        <v>54</v>
      </c>
      <c r="AC73" t="str">
        <f ca="1">IFERROR(INDEX($A$20:$A$78,SMALL($AD$20:$AD$78,54)),"")</f>
        <v/>
      </c>
      <c r="AD73">
        <f ca="1">IF(AND($A73&lt;&gt;"",COUNTIF($A$20:A73,A73)=1,AND($A73&lt;&gt;"",$A73&lt;&gt;"非自然知识",COUNTIF($A$20:$A$78,$A73)&gt;0,OR($B$3="any",$B$3="fixed",AND($B$3="group",LEFT($A73,LEN($E$3)+1)=$E$3&amp;"（"),IFERROR(OR(ISNUMBER(FIND("|"&amp;$A73&amp;"|",$D$3)),AND(IFERROR(FIND("（",$A73),0)&gt;0,ISNUMBER(FIND("|"&amp;LEFT($A73,FIND("（",$A73)-1)&amp;"*|",$D$3)))),FALSE)))),ROW()-19,999)</f>
        <v>54</v>
      </c>
      <c r="AE73" t="str">
        <f ca="1">IFERROR(INDEX($A$20:$A$78,SMALL($AF$20:$AF$78,54)),"")</f>
        <v/>
      </c>
      <c r="AF73">
        <f ca="1">IF(AND($A73&lt;&gt;"",COUNTIF($A$20:A73,A73)=1,AND($A73&lt;&gt;"",$A73&lt;&gt;"非自然知识",COUNTIF($A$20:$A$78,$A73)&gt;0,OR($B$4="any",$B$4="fixed",AND($B$4="group",LEFT($A73,LEN($E$4)+1)=$E$4&amp;"（"),IFERROR(OR(ISNUMBER(FIND("|"&amp;$A73&amp;"|",$D$4)),AND(IFERROR(FIND("（",$A73),0)&gt;0,ISNUMBER(FIND("|"&amp;LEFT($A73,FIND("（",$A73)-1)&amp;"*|",$D$4)))),FALSE)))),ROW()-19,999)</f>
        <v>54</v>
      </c>
      <c r="AG73" t="str">
        <f ca="1">IFERROR(INDEX($A$20:$A$78,SMALL($AH$20:$AH$78,54)),"")</f>
        <v/>
      </c>
      <c r="AH73">
        <f ca="1">IF(AND($A73&lt;&gt;"",COUNTIF($A$20:A73,A73)=1,AND($A73&lt;&gt;"",$A73&lt;&gt;"非自然知识",COUNTIF($A$20:$A$78,$A73)&gt;0,OR($B$5="any",$B$5="fixed",AND($B$5="group",LEFT($A73,LEN($E$5)+1)=$E$5&amp;"（"),IFERROR(OR(ISNUMBER(FIND("|"&amp;$A73&amp;"|",$D$5)),AND(IFERROR(FIND("（",$A73),0)&gt;0,ISNUMBER(FIND("|"&amp;LEFT($A73,FIND("（",$A73)-1)&amp;"*|",$D$5)))),FALSE)))),ROW()-19,999)</f>
        <v>54</v>
      </c>
      <c r="AI73" t="str">
        <f ca="1">IFERROR(INDEX($A$20:$A$78,SMALL($AJ$20:$AJ$78,54)),"")</f>
        <v/>
      </c>
      <c r="AJ73">
        <f ca="1">IF(AND($A73&lt;&gt;"",COUNTIF($A$20:A73,A73)=1,AND($A73&lt;&gt;"",$A73&lt;&gt;"非自然知识",COUNTIF($A$20:$A$78,$A73)&gt;0,OR($B$6="any",$B$6="fixed",AND($B$6="group",LEFT($A73,LEN($E$6)+1)=$E$6&amp;"（"),IFERROR(OR(ISNUMBER(FIND("|"&amp;$A73&amp;"|",$D$6)),AND(IFERROR(FIND("（",$A73),0)&gt;0,ISNUMBER(FIND("|"&amp;LEFT($A73,FIND("（",$A73)-1)&amp;"*|",$D$6)))),FALSE)))),ROW()-19,999)</f>
        <v>54</v>
      </c>
      <c r="AK73" t="str">
        <f ca="1">IFERROR(INDEX($A$20:$A$78,SMALL($AL$20:$AL$78,54)),"")</f>
        <v/>
      </c>
      <c r="AL73">
        <f ca="1">IF(AND($A73&lt;&gt;"",COUNTIF($A$20:A73,A73)=1,AND($A73&lt;&gt;"",$A73&lt;&gt;"非自然知识",COUNTIF($A$20:$A$78,$A73)&gt;0,OR($B$7="any",$B$7="fixed",AND($B$7="group",LEFT($A73,LEN($E$7)+1)=$E$7&amp;"（"),IFERROR(OR(ISNUMBER(FIND("|"&amp;$A73&amp;"|",$D$7)),AND(IFERROR(FIND("（",$A73),0)&gt;0,ISNUMBER(FIND("|"&amp;LEFT($A73,FIND("（",$A73)-1)&amp;"*|",$D$7)))),FALSE)))),ROW()-19,999)</f>
        <v>54</v>
      </c>
      <c r="AM73" t="str">
        <f ca="1">IFERROR(INDEX($A$20:$A$78,SMALL($AN$20:$AN$78,54)),"")</f>
        <v/>
      </c>
      <c r="AN73">
        <f ca="1">IF(AND($A73&lt;&gt;"",COUNTIF($A$20:A73,A73)=1,AND($A73&lt;&gt;"",$A73&lt;&gt;"非自然知识",COUNTIF($A$20:$A$78,$A73)&gt;0,OR($B$8="any",$B$8="fixed",AND($B$8="group",LEFT($A73,LEN($E$8)+1)=$E$8&amp;"（"),IFERROR(OR(ISNUMBER(FIND("|"&amp;$A73&amp;"|",$D$8)),AND(IFERROR(FIND("（",$A73),0)&gt;0,ISNUMBER(FIND("|"&amp;LEFT($A73,FIND("（",$A73)-1)&amp;"*|",$D$8)))),FALSE)))),ROW()-19,999)</f>
        <v>54</v>
      </c>
      <c r="AO73" t="str">
        <f ca="1">IFERROR(INDEX($A$20:$A$78,SMALL($AP$20:$AP$78,54)),"")</f>
        <v/>
      </c>
      <c r="AP73">
        <f ca="1">IF(AND($A73&lt;&gt;"",COUNTIF($A$20:A73,A73)=1,AND($A73&lt;&gt;"",$A73&lt;&gt;"非自然知识",COUNTIF($A$20:$A$78,$A73)&gt;0,OR($B$9="any",$B$9="fixed",AND($B$9="group",LEFT($A73,LEN($E$9)+1)=$E$9&amp;"（"),IFERROR(OR(ISNUMBER(FIND("|"&amp;$A73&amp;"|",$D$9)),AND(IFERROR(FIND("（",$A73),0)&gt;0,ISNUMBER(FIND("|"&amp;LEFT($A73,FIND("（",$A73)-1)&amp;"*|",$D$9)))),FALSE)))),ROW()-19,999)</f>
        <v>54</v>
      </c>
    </row>
    <row r="74" spans="1:42">
      <c r="A74" t="str">
        <f>人物卡!AG38</f>
        <v>徒手搏斗</v>
      </c>
      <c r="B74" t="str">
        <f t="shared" si="2"/>
        <v/>
      </c>
      <c r="C74">
        <f ca="1">IF(人物卡!AY38="",N(人物卡!AV38),N(人物卡!AY38))</f>
        <v>40</v>
      </c>
      <c r="D74">
        <f ca="1">IF(AND(A74&lt;&gt;"",COUNTIF($A$20:A74,A74)=1),COUNTIF($H$2:$H$9,A74)*20,0)</f>
        <v>0</v>
      </c>
      <c r="E74">
        <f ca="1" t="shared" si="3"/>
        <v>0</v>
      </c>
      <c r="F74">
        <f ca="1">IF(AND(A74&lt;&gt;"",COUNTIF($A$20:A74,A74)=1),IF(A74="神秘学",IF(人物卡!$DF$46="人类不应知道之事",20,IF(OR(人物卡!$DF$46="极端暴力",人物卡!$DF$46="关押或入狱",人物卡!$DF$46="艰苦经历"),10,0)),0)+IF(人物卡!$DF$46="艰苦经历",COUNTIF($H$12:$H$16,A74)*10,0),0)</f>
        <v>0</v>
      </c>
      <c r="G74">
        <f ca="1">IF(人物卡!$DF$46="艰苦经历",MIN(F74,MAX(0,90-C74-E74)),MIN(F74,MAX(0,99-C74-E74)))</f>
        <v>0</v>
      </c>
      <c r="H74" t="str">
        <f ca="1" t="shared" si="4"/>
        <v/>
      </c>
      <c r="I74" t="str">
        <f ca="1" t="shared" si="5"/>
        <v/>
      </c>
      <c r="J74" t="s">
        <v>2347</v>
      </c>
      <c r="K74" t="s">
        <v>2348</v>
      </c>
      <c r="Y74">
        <f ca="1">IF(AND($A74&lt;&gt;"",COUNTIF($A$20:A74,A74)=1,$A74&lt;&gt;"非自然知识"),ROW()-19,999)</f>
        <v>55</v>
      </c>
      <c r="Z74" t="str">
        <f ca="1">IFERROR(INDEX($A$20:$A$78,SMALL($Y$20:$Y$78,55)),"")</f>
        <v/>
      </c>
      <c r="AA74" t="str">
        <f ca="1">IFERROR(INDEX($A$20:$A$78,SMALL($AB$20:$AB$78,55)),"")</f>
        <v/>
      </c>
      <c r="AB74">
        <f ca="1">IF(AND($A74&lt;&gt;"",COUNTIF($A$20:A74,A74)=1,AND($A74&lt;&gt;"",$A74&lt;&gt;"非自然知识",COUNTIF($A$20:$A$78,$A74)&gt;0,OR($B$2="any",$B$2="fixed",AND($B$2="group",LEFT($A74,LEN($E$2)+1)=$E$2&amp;"（"),IFERROR(OR(ISNUMBER(FIND("|"&amp;$A74&amp;"|",$D$2)),AND(IFERROR(FIND("（",$A74),0)&gt;0,ISNUMBER(FIND("|"&amp;LEFT($A74,FIND("（",$A74)-1)&amp;"*|",$D$2)))),FALSE)))),ROW()-19,999)</f>
        <v>55</v>
      </c>
      <c r="AC74" t="str">
        <f ca="1">IFERROR(INDEX($A$20:$A$78,SMALL($AD$20:$AD$78,55)),"")</f>
        <v/>
      </c>
      <c r="AD74">
        <f ca="1">IF(AND($A74&lt;&gt;"",COUNTIF($A$20:A74,A74)=1,AND($A74&lt;&gt;"",$A74&lt;&gt;"非自然知识",COUNTIF($A$20:$A$78,$A74)&gt;0,OR($B$3="any",$B$3="fixed",AND($B$3="group",LEFT($A74,LEN($E$3)+1)=$E$3&amp;"（"),IFERROR(OR(ISNUMBER(FIND("|"&amp;$A74&amp;"|",$D$3)),AND(IFERROR(FIND("（",$A74),0)&gt;0,ISNUMBER(FIND("|"&amp;LEFT($A74,FIND("（",$A74)-1)&amp;"*|",$D$3)))),FALSE)))),ROW()-19,999)</f>
        <v>55</v>
      </c>
      <c r="AE74" t="str">
        <f ca="1">IFERROR(INDEX($A$20:$A$78,SMALL($AF$20:$AF$78,55)),"")</f>
        <v/>
      </c>
      <c r="AF74">
        <f ca="1">IF(AND($A74&lt;&gt;"",COUNTIF($A$20:A74,A74)=1,AND($A74&lt;&gt;"",$A74&lt;&gt;"非自然知识",COUNTIF($A$20:$A$78,$A74)&gt;0,OR($B$4="any",$B$4="fixed",AND($B$4="group",LEFT($A74,LEN($E$4)+1)=$E$4&amp;"（"),IFERROR(OR(ISNUMBER(FIND("|"&amp;$A74&amp;"|",$D$4)),AND(IFERROR(FIND("（",$A74),0)&gt;0,ISNUMBER(FIND("|"&amp;LEFT($A74,FIND("（",$A74)-1)&amp;"*|",$D$4)))),FALSE)))),ROW()-19,999)</f>
        <v>55</v>
      </c>
      <c r="AG74" t="str">
        <f ca="1">IFERROR(INDEX($A$20:$A$78,SMALL($AH$20:$AH$78,55)),"")</f>
        <v/>
      </c>
      <c r="AH74">
        <f ca="1">IF(AND($A74&lt;&gt;"",COUNTIF($A$20:A74,A74)=1,AND($A74&lt;&gt;"",$A74&lt;&gt;"非自然知识",COUNTIF($A$20:$A$78,$A74)&gt;0,OR($B$5="any",$B$5="fixed",AND($B$5="group",LEFT($A74,LEN($E$5)+1)=$E$5&amp;"（"),IFERROR(OR(ISNUMBER(FIND("|"&amp;$A74&amp;"|",$D$5)),AND(IFERROR(FIND("（",$A74),0)&gt;0,ISNUMBER(FIND("|"&amp;LEFT($A74,FIND("（",$A74)-1)&amp;"*|",$D$5)))),FALSE)))),ROW()-19,999)</f>
        <v>55</v>
      </c>
      <c r="AI74" t="str">
        <f ca="1">IFERROR(INDEX($A$20:$A$78,SMALL($AJ$20:$AJ$78,55)),"")</f>
        <v/>
      </c>
      <c r="AJ74">
        <f ca="1">IF(AND($A74&lt;&gt;"",COUNTIF($A$20:A74,A74)=1,AND($A74&lt;&gt;"",$A74&lt;&gt;"非自然知识",COUNTIF($A$20:$A$78,$A74)&gt;0,OR($B$6="any",$B$6="fixed",AND($B$6="group",LEFT($A74,LEN($E$6)+1)=$E$6&amp;"（"),IFERROR(OR(ISNUMBER(FIND("|"&amp;$A74&amp;"|",$D$6)),AND(IFERROR(FIND("（",$A74),0)&gt;0,ISNUMBER(FIND("|"&amp;LEFT($A74,FIND("（",$A74)-1)&amp;"*|",$D$6)))),FALSE)))),ROW()-19,999)</f>
        <v>55</v>
      </c>
      <c r="AK74" t="str">
        <f ca="1">IFERROR(INDEX($A$20:$A$78,SMALL($AL$20:$AL$78,55)),"")</f>
        <v/>
      </c>
      <c r="AL74">
        <f ca="1">IF(AND($A74&lt;&gt;"",COUNTIF($A$20:A74,A74)=1,AND($A74&lt;&gt;"",$A74&lt;&gt;"非自然知识",COUNTIF($A$20:$A$78,$A74)&gt;0,OR($B$7="any",$B$7="fixed",AND($B$7="group",LEFT($A74,LEN($E$7)+1)=$E$7&amp;"（"),IFERROR(OR(ISNUMBER(FIND("|"&amp;$A74&amp;"|",$D$7)),AND(IFERROR(FIND("（",$A74),0)&gt;0,ISNUMBER(FIND("|"&amp;LEFT($A74,FIND("（",$A74)-1)&amp;"*|",$D$7)))),FALSE)))),ROW()-19,999)</f>
        <v>55</v>
      </c>
      <c r="AM74" t="str">
        <f ca="1">IFERROR(INDEX($A$20:$A$78,SMALL($AN$20:$AN$78,55)),"")</f>
        <v/>
      </c>
      <c r="AN74">
        <f ca="1">IF(AND($A74&lt;&gt;"",COUNTIF($A$20:A74,A74)=1,AND($A74&lt;&gt;"",$A74&lt;&gt;"非自然知识",COUNTIF($A$20:$A$78,$A74)&gt;0,OR($B$8="any",$B$8="fixed",AND($B$8="group",LEFT($A74,LEN($E$8)+1)=$E$8&amp;"（"),IFERROR(OR(ISNUMBER(FIND("|"&amp;$A74&amp;"|",$D$8)),AND(IFERROR(FIND("（",$A74),0)&gt;0,ISNUMBER(FIND("|"&amp;LEFT($A74,FIND("（",$A74)-1)&amp;"*|",$D$8)))),FALSE)))),ROW()-19,999)</f>
        <v>55</v>
      </c>
      <c r="AO74" t="str">
        <f ca="1">IFERROR(INDEX($A$20:$A$78,SMALL($AP$20:$AP$78,55)),"")</f>
        <v/>
      </c>
      <c r="AP74">
        <f ca="1">IF(AND($A74&lt;&gt;"",COUNTIF($A$20:A74,A74)=1,AND($A74&lt;&gt;"",$A74&lt;&gt;"非自然知识",COUNTIF($A$20:$A$78,$A74)&gt;0,OR($B$9="any",$B$9="fixed",AND($B$9="group",LEFT($A74,LEN($E$9)+1)=$E$9&amp;"（"),IFERROR(OR(ISNUMBER(FIND("|"&amp;$A74&amp;"|",$D$9)),AND(IFERROR(FIND("（",$A74),0)&gt;0,ISNUMBER(FIND("|"&amp;LEFT($A74,FIND("（",$A74)-1)&amp;"*|",$D$9)))),FALSE)))),ROW()-19,999)</f>
        <v>55</v>
      </c>
    </row>
    <row r="75" spans="1:42">
      <c r="A75" t="str">
        <f ca="1">TRIM(人物卡!AG40)</f>
        <v/>
      </c>
      <c r="B75" t="str">
        <f ca="1" t="shared" si="2"/>
        <v/>
      </c>
      <c r="C75">
        <f>IF(人物卡!AY40="",N(人物卡!AV40),N(人物卡!AY40))</f>
        <v>0</v>
      </c>
      <c r="D75">
        <f ca="1">IF(AND(A75&lt;&gt;"",COUNTIF($A$20:A75,A75)=1),COUNTIF($H$2:$H$9,A75)*20,0)</f>
        <v>0</v>
      </c>
      <c r="E75">
        <f ca="1" t="shared" si="3"/>
        <v>0</v>
      </c>
      <c r="F75">
        <f ca="1">IF(AND(A75&lt;&gt;"",COUNTIF($A$20:A75,A75)=1),IF(A75="神秘学",IF(人物卡!$DF$46="人类不应知道之事",20,IF(OR(人物卡!$DF$46="极端暴力",人物卡!$DF$46="关押或入狱",人物卡!$DF$46="艰苦经历"),10,0)),0)+IF(人物卡!$DF$46="艰苦经历",COUNTIF($H$12:$H$16,A75)*10,0),0)</f>
        <v>0</v>
      </c>
      <c r="G75">
        <f ca="1">IF(人物卡!$DF$46="艰苦经历",MIN(F75,MAX(0,90-C75-E75)),MIN(F75,MAX(0,99-C75-E75)))</f>
        <v>0</v>
      </c>
      <c r="H75" t="str">
        <f ca="1" t="shared" si="4"/>
        <v/>
      </c>
      <c r="I75" t="str">
        <f ca="1" t="shared" si="5"/>
        <v/>
      </c>
      <c r="J75" t="s">
        <v>2349</v>
      </c>
      <c r="K75" t="s">
        <v>2350</v>
      </c>
      <c r="Y75">
        <f ca="1">IF(AND($A75&lt;&gt;"",COUNTIF($A$20:A75,A75)=1,$A75&lt;&gt;"非自然知识"),ROW()-19,999)</f>
        <v>999</v>
      </c>
      <c r="Z75" t="str">
        <f ca="1">IFERROR(INDEX($A$20:$A$78,SMALL($Y$20:$Y$78,56)),"")</f>
        <v/>
      </c>
      <c r="AA75" t="str">
        <f ca="1">IFERROR(INDEX($A$20:$A$78,SMALL($AB$20:$AB$78,56)),"")</f>
        <v/>
      </c>
      <c r="AB75">
        <f ca="1">IF(AND($A75&lt;&gt;"",COUNTIF($A$20:A75,A75)=1,AND($A75&lt;&gt;"",$A75&lt;&gt;"非自然知识",COUNTIF($A$20:$A$78,$A75)&gt;0,OR($B$2="any",$B$2="fixed",AND($B$2="group",LEFT($A75,LEN($E$2)+1)=$E$2&amp;"（"),IFERROR(OR(ISNUMBER(FIND("|"&amp;$A75&amp;"|",$D$2)),AND(IFERROR(FIND("（",$A75),0)&gt;0,ISNUMBER(FIND("|"&amp;LEFT($A75,FIND("（",$A75)-1)&amp;"*|",$D$2)))),FALSE)))),ROW()-19,999)</f>
        <v>999</v>
      </c>
      <c r="AC75" t="str">
        <f ca="1">IFERROR(INDEX($A$20:$A$78,SMALL($AD$20:$AD$78,56)),"")</f>
        <v/>
      </c>
      <c r="AD75">
        <f ca="1">IF(AND($A75&lt;&gt;"",COUNTIF($A$20:A75,A75)=1,AND($A75&lt;&gt;"",$A75&lt;&gt;"非自然知识",COUNTIF($A$20:$A$78,$A75)&gt;0,OR($B$3="any",$B$3="fixed",AND($B$3="group",LEFT($A75,LEN($E$3)+1)=$E$3&amp;"（"),IFERROR(OR(ISNUMBER(FIND("|"&amp;$A75&amp;"|",$D$3)),AND(IFERROR(FIND("（",$A75),0)&gt;0,ISNUMBER(FIND("|"&amp;LEFT($A75,FIND("（",$A75)-1)&amp;"*|",$D$3)))),FALSE)))),ROW()-19,999)</f>
        <v>999</v>
      </c>
      <c r="AE75" t="str">
        <f ca="1">IFERROR(INDEX($A$20:$A$78,SMALL($AF$20:$AF$78,56)),"")</f>
        <v/>
      </c>
      <c r="AF75">
        <f ca="1">IF(AND($A75&lt;&gt;"",COUNTIF($A$20:A75,A75)=1,AND($A75&lt;&gt;"",$A75&lt;&gt;"非自然知识",COUNTIF($A$20:$A$78,$A75)&gt;0,OR($B$4="any",$B$4="fixed",AND($B$4="group",LEFT($A75,LEN($E$4)+1)=$E$4&amp;"（"),IFERROR(OR(ISNUMBER(FIND("|"&amp;$A75&amp;"|",$D$4)),AND(IFERROR(FIND("（",$A75),0)&gt;0,ISNUMBER(FIND("|"&amp;LEFT($A75,FIND("（",$A75)-1)&amp;"*|",$D$4)))),FALSE)))),ROW()-19,999)</f>
        <v>999</v>
      </c>
      <c r="AG75" t="str">
        <f ca="1">IFERROR(INDEX($A$20:$A$78,SMALL($AH$20:$AH$78,56)),"")</f>
        <v/>
      </c>
      <c r="AH75">
        <f ca="1">IF(AND($A75&lt;&gt;"",COUNTIF($A$20:A75,A75)=1,AND($A75&lt;&gt;"",$A75&lt;&gt;"非自然知识",COUNTIF($A$20:$A$78,$A75)&gt;0,OR($B$5="any",$B$5="fixed",AND($B$5="group",LEFT($A75,LEN($E$5)+1)=$E$5&amp;"（"),IFERROR(OR(ISNUMBER(FIND("|"&amp;$A75&amp;"|",$D$5)),AND(IFERROR(FIND("（",$A75),0)&gt;0,ISNUMBER(FIND("|"&amp;LEFT($A75,FIND("（",$A75)-1)&amp;"*|",$D$5)))),FALSE)))),ROW()-19,999)</f>
        <v>999</v>
      </c>
      <c r="AI75" t="str">
        <f ca="1">IFERROR(INDEX($A$20:$A$78,SMALL($AJ$20:$AJ$78,56)),"")</f>
        <v/>
      </c>
      <c r="AJ75">
        <f ca="1">IF(AND($A75&lt;&gt;"",COUNTIF($A$20:A75,A75)=1,AND($A75&lt;&gt;"",$A75&lt;&gt;"非自然知识",COUNTIF($A$20:$A$78,$A75)&gt;0,OR($B$6="any",$B$6="fixed",AND($B$6="group",LEFT($A75,LEN($E$6)+1)=$E$6&amp;"（"),IFERROR(OR(ISNUMBER(FIND("|"&amp;$A75&amp;"|",$D$6)),AND(IFERROR(FIND("（",$A75),0)&gt;0,ISNUMBER(FIND("|"&amp;LEFT($A75,FIND("（",$A75)-1)&amp;"*|",$D$6)))),FALSE)))),ROW()-19,999)</f>
        <v>999</v>
      </c>
      <c r="AK75" t="str">
        <f ca="1">IFERROR(INDEX($A$20:$A$78,SMALL($AL$20:$AL$78,56)),"")</f>
        <v/>
      </c>
      <c r="AL75">
        <f ca="1">IF(AND($A75&lt;&gt;"",COUNTIF($A$20:A75,A75)=1,AND($A75&lt;&gt;"",$A75&lt;&gt;"非自然知识",COUNTIF($A$20:$A$78,$A75)&gt;0,OR($B$7="any",$B$7="fixed",AND($B$7="group",LEFT($A75,LEN($E$7)+1)=$E$7&amp;"（"),IFERROR(OR(ISNUMBER(FIND("|"&amp;$A75&amp;"|",$D$7)),AND(IFERROR(FIND("（",$A75),0)&gt;0,ISNUMBER(FIND("|"&amp;LEFT($A75,FIND("（",$A75)-1)&amp;"*|",$D$7)))),FALSE)))),ROW()-19,999)</f>
        <v>999</v>
      </c>
      <c r="AM75" t="str">
        <f ca="1">IFERROR(INDEX($A$20:$A$78,SMALL($AN$20:$AN$78,56)),"")</f>
        <v/>
      </c>
      <c r="AN75">
        <f ca="1">IF(AND($A75&lt;&gt;"",COUNTIF($A$20:A75,A75)=1,AND($A75&lt;&gt;"",$A75&lt;&gt;"非自然知识",COUNTIF($A$20:$A$78,$A75)&gt;0,OR($B$8="any",$B$8="fixed",AND($B$8="group",LEFT($A75,LEN($E$8)+1)=$E$8&amp;"（"),IFERROR(OR(ISNUMBER(FIND("|"&amp;$A75&amp;"|",$D$8)),AND(IFERROR(FIND("（",$A75),0)&gt;0,ISNUMBER(FIND("|"&amp;LEFT($A75,FIND("（",$A75)-1)&amp;"*|",$D$8)))),FALSE)))),ROW()-19,999)</f>
        <v>999</v>
      </c>
      <c r="AO75" t="str">
        <f ca="1">IFERROR(INDEX($A$20:$A$78,SMALL($AP$20:$AP$78,56)),"")</f>
        <v/>
      </c>
      <c r="AP75">
        <f ca="1">IF(AND($A75&lt;&gt;"",COUNTIF($A$20:A75,A75)=1,AND($A75&lt;&gt;"",$A75&lt;&gt;"非自然知识",COUNTIF($A$20:$A$78,$A75)&gt;0,OR($B$9="any",$B$9="fixed",AND($B$9="group",LEFT($A75,LEN($E$9)+1)=$E$9&amp;"（"),IFERROR(OR(ISNUMBER(FIND("|"&amp;$A75&amp;"|",$D$9)),AND(IFERROR(FIND("（",$A75),0)&gt;0,ISNUMBER(FIND("|"&amp;LEFT($A75,FIND("（",$A75)-1)&amp;"*|",$D$9)))),FALSE)))),ROW()-19,999)</f>
        <v>999</v>
      </c>
    </row>
    <row r="76" spans="1:42">
      <c r="A76" t="str">
        <f ca="1">TRIM(人物卡!AG41)</f>
        <v/>
      </c>
      <c r="B76" t="str">
        <f ca="1" t="shared" si="2"/>
        <v/>
      </c>
      <c r="C76">
        <f>IF(人物卡!AY41="",N(人物卡!AV41),N(人物卡!AY41))</f>
        <v>0</v>
      </c>
      <c r="D76">
        <f ca="1">IF(AND(A76&lt;&gt;"",COUNTIF($A$20:A76,A76)=1),COUNTIF($H$2:$H$9,A76)*20,0)</f>
        <v>0</v>
      </c>
      <c r="E76">
        <f ca="1" t="shared" si="3"/>
        <v>0</v>
      </c>
      <c r="F76">
        <f ca="1">IF(AND(A76&lt;&gt;"",COUNTIF($A$20:A76,A76)=1),IF(A76="神秘学",IF(人物卡!$DF$46="人类不应知道之事",20,IF(OR(人物卡!$DF$46="极端暴力",人物卡!$DF$46="关押或入狱",人物卡!$DF$46="艰苦经历"),10,0)),0)+IF(人物卡!$DF$46="艰苦经历",COUNTIF($H$12:$H$16,A76)*10,0),0)</f>
        <v>0</v>
      </c>
      <c r="G76">
        <f ca="1">IF(人物卡!$DF$46="艰苦经历",MIN(F76,MAX(0,90-C76-E76)),MIN(F76,MAX(0,99-C76-E76)))</f>
        <v>0</v>
      </c>
      <c r="H76" t="str">
        <f ca="1" t="shared" si="4"/>
        <v/>
      </c>
      <c r="I76" t="str">
        <f ca="1" t="shared" si="5"/>
        <v/>
      </c>
      <c r="J76" t="s">
        <v>2351</v>
      </c>
      <c r="K76" t="s">
        <v>2352</v>
      </c>
      <c r="Y76">
        <f ca="1">IF(AND($A76&lt;&gt;"",COUNTIF($A$20:A76,A76)=1,$A76&lt;&gt;"非自然知识"),ROW()-19,999)</f>
        <v>999</v>
      </c>
      <c r="Z76" t="str">
        <f ca="1">IFERROR(INDEX($A$20:$A$78,SMALL($Y$20:$Y$78,57)),"")</f>
        <v/>
      </c>
      <c r="AA76" t="str">
        <f ca="1">IFERROR(INDEX($A$20:$A$78,SMALL($AB$20:$AB$78,57)),"")</f>
        <v/>
      </c>
      <c r="AB76">
        <f ca="1">IF(AND($A76&lt;&gt;"",COUNTIF($A$20:A76,A76)=1,AND($A76&lt;&gt;"",$A76&lt;&gt;"非自然知识",COUNTIF($A$20:$A$78,$A76)&gt;0,OR($B$2="any",$B$2="fixed",AND($B$2="group",LEFT($A76,LEN($E$2)+1)=$E$2&amp;"（"),IFERROR(OR(ISNUMBER(FIND("|"&amp;$A76&amp;"|",$D$2)),AND(IFERROR(FIND("（",$A76),0)&gt;0,ISNUMBER(FIND("|"&amp;LEFT($A76,FIND("（",$A76)-1)&amp;"*|",$D$2)))),FALSE)))),ROW()-19,999)</f>
        <v>999</v>
      </c>
      <c r="AC76" t="str">
        <f ca="1">IFERROR(INDEX($A$20:$A$78,SMALL($AD$20:$AD$78,57)),"")</f>
        <v/>
      </c>
      <c r="AD76">
        <f ca="1">IF(AND($A76&lt;&gt;"",COUNTIF($A$20:A76,A76)=1,AND($A76&lt;&gt;"",$A76&lt;&gt;"非自然知识",COUNTIF($A$20:$A$78,$A76)&gt;0,OR($B$3="any",$B$3="fixed",AND($B$3="group",LEFT($A76,LEN($E$3)+1)=$E$3&amp;"（"),IFERROR(OR(ISNUMBER(FIND("|"&amp;$A76&amp;"|",$D$3)),AND(IFERROR(FIND("（",$A76),0)&gt;0,ISNUMBER(FIND("|"&amp;LEFT($A76,FIND("（",$A76)-1)&amp;"*|",$D$3)))),FALSE)))),ROW()-19,999)</f>
        <v>999</v>
      </c>
      <c r="AE76" t="str">
        <f ca="1">IFERROR(INDEX($A$20:$A$78,SMALL($AF$20:$AF$78,57)),"")</f>
        <v/>
      </c>
      <c r="AF76">
        <f ca="1">IF(AND($A76&lt;&gt;"",COUNTIF($A$20:A76,A76)=1,AND($A76&lt;&gt;"",$A76&lt;&gt;"非自然知识",COUNTIF($A$20:$A$78,$A76)&gt;0,OR($B$4="any",$B$4="fixed",AND($B$4="group",LEFT($A76,LEN($E$4)+1)=$E$4&amp;"（"),IFERROR(OR(ISNUMBER(FIND("|"&amp;$A76&amp;"|",$D$4)),AND(IFERROR(FIND("（",$A76),0)&gt;0,ISNUMBER(FIND("|"&amp;LEFT($A76,FIND("（",$A76)-1)&amp;"*|",$D$4)))),FALSE)))),ROW()-19,999)</f>
        <v>999</v>
      </c>
      <c r="AG76" t="str">
        <f ca="1">IFERROR(INDEX($A$20:$A$78,SMALL($AH$20:$AH$78,57)),"")</f>
        <v/>
      </c>
      <c r="AH76">
        <f ca="1">IF(AND($A76&lt;&gt;"",COUNTIF($A$20:A76,A76)=1,AND($A76&lt;&gt;"",$A76&lt;&gt;"非自然知识",COUNTIF($A$20:$A$78,$A76)&gt;0,OR($B$5="any",$B$5="fixed",AND($B$5="group",LEFT($A76,LEN($E$5)+1)=$E$5&amp;"（"),IFERROR(OR(ISNUMBER(FIND("|"&amp;$A76&amp;"|",$D$5)),AND(IFERROR(FIND("（",$A76),0)&gt;0,ISNUMBER(FIND("|"&amp;LEFT($A76,FIND("（",$A76)-1)&amp;"*|",$D$5)))),FALSE)))),ROW()-19,999)</f>
        <v>999</v>
      </c>
      <c r="AI76" t="str">
        <f ca="1">IFERROR(INDEX($A$20:$A$78,SMALL($AJ$20:$AJ$78,57)),"")</f>
        <v/>
      </c>
      <c r="AJ76">
        <f ca="1">IF(AND($A76&lt;&gt;"",COUNTIF($A$20:A76,A76)=1,AND($A76&lt;&gt;"",$A76&lt;&gt;"非自然知识",COUNTIF($A$20:$A$78,$A76)&gt;0,OR($B$6="any",$B$6="fixed",AND($B$6="group",LEFT($A76,LEN($E$6)+1)=$E$6&amp;"（"),IFERROR(OR(ISNUMBER(FIND("|"&amp;$A76&amp;"|",$D$6)),AND(IFERROR(FIND("（",$A76),0)&gt;0,ISNUMBER(FIND("|"&amp;LEFT($A76,FIND("（",$A76)-1)&amp;"*|",$D$6)))),FALSE)))),ROW()-19,999)</f>
        <v>999</v>
      </c>
      <c r="AK76" t="str">
        <f ca="1">IFERROR(INDEX($A$20:$A$78,SMALL($AL$20:$AL$78,57)),"")</f>
        <v/>
      </c>
      <c r="AL76">
        <f ca="1">IF(AND($A76&lt;&gt;"",COUNTIF($A$20:A76,A76)=1,AND($A76&lt;&gt;"",$A76&lt;&gt;"非自然知识",COUNTIF($A$20:$A$78,$A76)&gt;0,OR($B$7="any",$B$7="fixed",AND($B$7="group",LEFT($A76,LEN($E$7)+1)=$E$7&amp;"（"),IFERROR(OR(ISNUMBER(FIND("|"&amp;$A76&amp;"|",$D$7)),AND(IFERROR(FIND("（",$A76),0)&gt;0,ISNUMBER(FIND("|"&amp;LEFT($A76,FIND("（",$A76)-1)&amp;"*|",$D$7)))),FALSE)))),ROW()-19,999)</f>
        <v>999</v>
      </c>
      <c r="AM76" t="str">
        <f ca="1">IFERROR(INDEX($A$20:$A$78,SMALL($AN$20:$AN$78,57)),"")</f>
        <v/>
      </c>
      <c r="AN76">
        <f ca="1">IF(AND($A76&lt;&gt;"",COUNTIF($A$20:A76,A76)=1,AND($A76&lt;&gt;"",$A76&lt;&gt;"非自然知识",COUNTIF($A$20:$A$78,$A76)&gt;0,OR($B$8="any",$B$8="fixed",AND($B$8="group",LEFT($A76,LEN($E$8)+1)=$E$8&amp;"（"),IFERROR(OR(ISNUMBER(FIND("|"&amp;$A76&amp;"|",$D$8)),AND(IFERROR(FIND("（",$A76),0)&gt;0,ISNUMBER(FIND("|"&amp;LEFT($A76,FIND("（",$A76)-1)&amp;"*|",$D$8)))),FALSE)))),ROW()-19,999)</f>
        <v>999</v>
      </c>
      <c r="AO76" t="str">
        <f ca="1">IFERROR(INDEX($A$20:$A$78,SMALL($AP$20:$AP$78,57)),"")</f>
        <v/>
      </c>
      <c r="AP76">
        <f ca="1">IF(AND($A76&lt;&gt;"",COUNTIF($A$20:A76,A76)=1,AND($A76&lt;&gt;"",$A76&lt;&gt;"非自然知识",COUNTIF($A$20:$A$78,$A76)&gt;0,OR($B$9="any",$B$9="fixed",AND($B$9="group",LEFT($A76,LEN($E$9)+1)=$E$9&amp;"（"),IFERROR(OR(ISNUMBER(FIND("|"&amp;$A76&amp;"|",$D$9)),AND(IFERROR(FIND("（",$A76),0)&gt;0,ISNUMBER(FIND("|"&amp;LEFT($A76,FIND("（",$A76)-1)&amp;"*|",$D$9)))),FALSE)))),ROW()-19,999)</f>
        <v>999</v>
      </c>
    </row>
    <row r="77" spans="1:42">
      <c r="A77" t="str">
        <f ca="1">TRIM(人物卡!AG42)</f>
        <v/>
      </c>
      <c r="B77" t="str">
        <f ca="1" t="shared" si="2"/>
        <v/>
      </c>
      <c r="C77">
        <f>IF(人物卡!AY42="",N(人物卡!AV42),N(人物卡!AY42))</f>
        <v>0</v>
      </c>
      <c r="D77">
        <f ca="1">IF(AND(A77&lt;&gt;"",COUNTIF($A$20:A77,A77)=1),COUNTIF($H$2:$H$9,A77)*20,0)</f>
        <v>0</v>
      </c>
      <c r="E77">
        <f ca="1" t="shared" si="3"/>
        <v>0</v>
      </c>
      <c r="F77">
        <f ca="1">IF(AND(A77&lt;&gt;"",COUNTIF($A$20:A77,A77)=1),IF(A77="神秘学",IF(人物卡!$DF$46="人类不应知道之事",20,IF(OR(人物卡!$DF$46="极端暴力",人物卡!$DF$46="关押或入狱",人物卡!$DF$46="艰苦经历"),10,0)),0)+IF(人物卡!$DF$46="艰苦经历",COUNTIF($H$12:$H$16,A77)*10,0),0)</f>
        <v>0</v>
      </c>
      <c r="G77">
        <f ca="1">IF(人物卡!$DF$46="艰苦经历",MIN(F77,MAX(0,90-C77-E77)),MIN(F77,MAX(0,99-C77-E77)))</f>
        <v>0</v>
      </c>
      <c r="H77" t="str">
        <f ca="1" t="shared" si="4"/>
        <v/>
      </c>
      <c r="I77" t="str">
        <f ca="1" t="shared" si="5"/>
        <v/>
      </c>
      <c r="J77" t="s">
        <v>2353</v>
      </c>
      <c r="K77" t="s">
        <v>2354</v>
      </c>
      <c r="Y77">
        <f ca="1">IF(AND($A77&lt;&gt;"",COUNTIF($A$20:A77,A77)=1,$A77&lt;&gt;"非自然知识"),ROW()-19,999)</f>
        <v>999</v>
      </c>
      <c r="Z77" t="str">
        <f ca="1">IFERROR(INDEX($A$20:$A$78,SMALL($Y$20:$Y$78,58)),"")</f>
        <v/>
      </c>
      <c r="AA77" t="str">
        <f ca="1">IFERROR(INDEX($A$20:$A$78,SMALL($AB$20:$AB$78,58)),"")</f>
        <v/>
      </c>
      <c r="AB77">
        <f ca="1">IF(AND($A77&lt;&gt;"",COUNTIF($A$20:A77,A77)=1,AND($A77&lt;&gt;"",$A77&lt;&gt;"非自然知识",COUNTIF($A$20:$A$78,$A77)&gt;0,OR($B$2="any",$B$2="fixed",AND($B$2="group",LEFT($A77,LEN($E$2)+1)=$E$2&amp;"（"),IFERROR(OR(ISNUMBER(FIND("|"&amp;$A77&amp;"|",$D$2)),AND(IFERROR(FIND("（",$A77),0)&gt;0,ISNUMBER(FIND("|"&amp;LEFT($A77,FIND("（",$A77)-1)&amp;"*|",$D$2)))),FALSE)))),ROW()-19,999)</f>
        <v>999</v>
      </c>
      <c r="AC77" t="str">
        <f ca="1">IFERROR(INDEX($A$20:$A$78,SMALL($AD$20:$AD$78,58)),"")</f>
        <v/>
      </c>
      <c r="AD77">
        <f ca="1">IF(AND($A77&lt;&gt;"",COUNTIF($A$20:A77,A77)=1,AND($A77&lt;&gt;"",$A77&lt;&gt;"非自然知识",COUNTIF($A$20:$A$78,$A77)&gt;0,OR($B$3="any",$B$3="fixed",AND($B$3="group",LEFT($A77,LEN($E$3)+1)=$E$3&amp;"（"),IFERROR(OR(ISNUMBER(FIND("|"&amp;$A77&amp;"|",$D$3)),AND(IFERROR(FIND("（",$A77),0)&gt;0,ISNUMBER(FIND("|"&amp;LEFT($A77,FIND("（",$A77)-1)&amp;"*|",$D$3)))),FALSE)))),ROW()-19,999)</f>
        <v>999</v>
      </c>
      <c r="AE77" t="str">
        <f ca="1">IFERROR(INDEX($A$20:$A$78,SMALL($AF$20:$AF$78,58)),"")</f>
        <v/>
      </c>
      <c r="AF77">
        <f ca="1">IF(AND($A77&lt;&gt;"",COUNTIF($A$20:A77,A77)=1,AND($A77&lt;&gt;"",$A77&lt;&gt;"非自然知识",COUNTIF($A$20:$A$78,$A77)&gt;0,OR($B$4="any",$B$4="fixed",AND($B$4="group",LEFT($A77,LEN($E$4)+1)=$E$4&amp;"（"),IFERROR(OR(ISNUMBER(FIND("|"&amp;$A77&amp;"|",$D$4)),AND(IFERROR(FIND("（",$A77),0)&gt;0,ISNUMBER(FIND("|"&amp;LEFT($A77,FIND("（",$A77)-1)&amp;"*|",$D$4)))),FALSE)))),ROW()-19,999)</f>
        <v>999</v>
      </c>
      <c r="AG77" t="str">
        <f ca="1">IFERROR(INDEX($A$20:$A$78,SMALL($AH$20:$AH$78,58)),"")</f>
        <v/>
      </c>
      <c r="AH77">
        <f ca="1">IF(AND($A77&lt;&gt;"",COUNTIF($A$20:A77,A77)=1,AND($A77&lt;&gt;"",$A77&lt;&gt;"非自然知识",COUNTIF($A$20:$A$78,$A77)&gt;0,OR($B$5="any",$B$5="fixed",AND($B$5="group",LEFT($A77,LEN($E$5)+1)=$E$5&amp;"（"),IFERROR(OR(ISNUMBER(FIND("|"&amp;$A77&amp;"|",$D$5)),AND(IFERROR(FIND("（",$A77),0)&gt;0,ISNUMBER(FIND("|"&amp;LEFT($A77,FIND("（",$A77)-1)&amp;"*|",$D$5)))),FALSE)))),ROW()-19,999)</f>
        <v>999</v>
      </c>
      <c r="AI77" t="str">
        <f ca="1">IFERROR(INDEX($A$20:$A$78,SMALL($AJ$20:$AJ$78,58)),"")</f>
        <v/>
      </c>
      <c r="AJ77">
        <f ca="1">IF(AND($A77&lt;&gt;"",COUNTIF($A$20:A77,A77)=1,AND($A77&lt;&gt;"",$A77&lt;&gt;"非自然知识",COUNTIF($A$20:$A$78,$A77)&gt;0,OR($B$6="any",$B$6="fixed",AND($B$6="group",LEFT($A77,LEN($E$6)+1)=$E$6&amp;"（"),IFERROR(OR(ISNUMBER(FIND("|"&amp;$A77&amp;"|",$D$6)),AND(IFERROR(FIND("（",$A77),0)&gt;0,ISNUMBER(FIND("|"&amp;LEFT($A77,FIND("（",$A77)-1)&amp;"*|",$D$6)))),FALSE)))),ROW()-19,999)</f>
        <v>999</v>
      </c>
      <c r="AK77" t="str">
        <f ca="1">IFERROR(INDEX($A$20:$A$78,SMALL($AL$20:$AL$78,58)),"")</f>
        <v/>
      </c>
      <c r="AL77">
        <f ca="1">IF(AND($A77&lt;&gt;"",COUNTIF($A$20:A77,A77)=1,AND($A77&lt;&gt;"",$A77&lt;&gt;"非自然知识",COUNTIF($A$20:$A$78,$A77)&gt;0,OR($B$7="any",$B$7="fixed",AND($B$7="group",LEFT($A77,LEN($E$7)+1)=$E$7&amp;"（"),IFERROR(OR(ISNUMBER(FIND("|"&amp;$A77&amp;"|",$D$7)),AND(IFERROR(FIND("（",$A77),0)&gt;0,ISNUMBER(FIND("|"&amp;LEFT($A77,FIND("（",$A77)-1)&amp;"*|",$D$7)))),FALSE)))),ROW()-19,999)</f>
        <v>999</v>
      </c>
      <c r="AM77" t="str">
        <f ca="1">IFERROR(INDEX($A$20:$A$78,SMALL($AN$20:$AN$78,58)),"")</f>
        <v/>
      </c>
      <c r="AN77">
        <f ca="1">IF(AND($A77&lt;&gt;"",COUNTIF($A$20:A77,A77)=1,AND($A77&lt;&gt;"",$A77&lt;&gt;"非自然知识",COUNTIF($A$20:$A$78,$A77)&gt;0,OR($B$8="any",$B$8="fixed",AND($B$8="group",LEFT($A77,LEN($E$8)+1)=$E$8&amp;"（"),IFERROR(OR(ISNUMBER(FIND("|"&amp;$A77&amp;"|",$D$8)),AND(IFERROR(FIND("（",$A77),0)&gt;0,ISNUMBER(FIND("|"&amp;LEFT($A77,FIND("（",$A77)-1)&amp;"*|",$D$8)))),FALSE)))),ROW()-19,999)</f>
        <v>999</v>
      </c>
      <c r="AO77" t="str">
        <f ca="1">IFERROR(INDEX($A$20:$A$78,SMALL($AP$20:$AP$78,58)),"")</f>
        <v/>
      </c>
      <c r="AP77">
        <f ca="1">IF(AND($A77&lt;&gt;"",COUNTIF($A$20:A77,A77)=1,AND($A77&lt;&gt;"",$A77&lt;&gt;"非自然知识",COUNTIF($A$20:$A$78,$A77)&gt;0,OR($B$9="any",$B$9="fixed",AND($B$9="group",LEFT($A77,LEN($E$9)+1)=$E$9&amp;"（"),IFERROR(OR(ISNUMBER(FIND("|"&amp;$A77&amp;"|",$D$9)),AND(IFERROR(FIND("（",$A77),0)&gt;0,ISNUMBER(FIND("|"&amp;LEFT($A77,FIND("（",$A77)-1)&amp;"*|",$D$9)))),FALSE)))),ROW()-19,999)</f>
        <v>999</v>
      </c>
    </row>
    <row r="78" spans="1:42">
      <c r="A78" t="str">
        <f ca="1">TRIM(人物卡!AG43)</f>
        <v/>
      </c>
      <c r="B78" t="str">
        <f ca="1" t="shared" si="2"/>
        <v/>
      </c>
      <c r="C78">
        <f>IF(人物卡!AY43="",N(人物卡!AV43),N(人物卡!AY43))</f>
        <v>0</v>
      </c>
      <c r="D78">
        <f ca="1">IF(AND(A78&lt;&gt;"",COUNTIF($A$20:A78,A78)=1),COUNTIF($H$2:$H$9,A78)*20,0)</f>
        <v>0</v>
      </c>
      <c r="E78">
        <f ca="1" t="shared" si="3"/>
        <v>0</v>
      </c>
      <c r="F78">
        <f ca="1">IF(AND(A78&lt;&gt;"",COUNTIF($A$20:A78,A78)=1),IF(A78="神秘学",IF(人物卡!$DF$46="人类不应知道之事",20,IF(OR(人物卡!$DF$46="极端暴力",人物卡!$DF$46="关押或入狱",人物卡!$DF$46="艰苦经历"),10,0)),0)+IF(人物卡!$DF$46="艰苦经历",COUNTIF($H$12:$H$16,A78)*10,0),0)</f>
        <v>0</v>
      </c>
      <c r="G78">
        <f ca="1">IF(人物卡!$DF$46="艰苦经历",MIN(F78,MAX(0,90-C78-E78)),MIN(F78,MAX(0,99-C78-E78)))</f>
        <v>0</v>
      </c>
      <c r="H78" t="str">
        <f ca="1" t="shared" si="4"/>
        <v/>
      </c>
      <c r="I78" t="str">
        <f ca="1" t="shared" si="5"/>
        <v/>
      </c>
      <c r="J78" t="s">
        <v>2355</v>
      </c>
      <c r="K78" t="s">
        <v>2356</v>
      </c>
      <c r="Y78">
        <f ca="1">IF(AND($A78&lt;&gt;"",COUNTIF($A$20:A78,A78)=1,$A78&lt;&gt;"非自然知识"),ROW()-19,999)</f>
        <v>999</v>
      </c>
      <c r="Z78" t="str">
        <f ca="1">IFERROR(INDEX($A$20:$A$78,SMALL($Y$20:$Y$78,59)),"")</f>
        <v/>
      </c>
      <c r="AA78" t="str">
        <f ca="1">IFERROR(INDEX($A$20:$A$78,SMALL($AB$20:$AB$78,59)),"")</f>
        <v/>
      </c>
      <c r="AB78">
        <f ca="1">IF(AND($A78&lt;&gt;"",COUNTIF($A$20:A78,A78)=1,AND($A78&lt;&gt;"",$A78&lt;&gt;"非自然知识",COUNTIF($A$20:$A$78,$A78)&gt;0,OR($B$2="any",$B$2="fixed",AND($B$2="group",LEFT($A78,LEN($E$2)+1)=$E$2&amp;"（"),IFERROR(OR(ISNUMBER(FIND("|"&amp;$A78&amp;"|",$D$2)),AND(IFERROR(FIND("（",$A78),0)&gt;0,ISNUMBER(FIND("|"&amp;LEFT($A78,FIND("（",$A78)-1)&amp;"*|",$D$2)))),FALSE)))),ROW()-19,999)</f>
        <v>999</v>
      </c>
      <c r="AC78" t="str">
        <f ca="1">IFERROR(INDEX($A$20:$A$78,SMALL($AD$20:$AD$78,59)),"")</f>
        <v/>
      </c>
      <c r="AD78">
        <f ca="1">IF(AND($A78&lt;&gt;"",COUNTIF($A$20:A78,A78)=1,AND($A78&lt;&gt;"",$A78&lt;&gt;"非自然知识",COUNTIF($A$20:$A$78,$A78)&gt;0,OR($B$3="any",$B$3="fixed",AND($B$3="group",LEFT($A78,LEN($E$3)+1)=$E$3&amp;"（"),IFERROR(OR(ISNUMBER(FIND("|"&amp;$A78&amp;"|",$D$3)),AND(IFERROR(FIND("（",$A78),0)&gt;0,ISNUMBER(FIND("|"&amp;LEFT($A78,FIND("（",$A78)-1)&amp;"*|",$D$3)))),FALSE)))),ROW()-19,999)</f>
        <v>999</v>
      </c>
      <c r="AE78" t="str">
        <f ca="1">IFERROR(INDEX($A$20:$A$78,SMALL($AF$20:$AF$78,59)),"")</f>
        <v/>
      </c>
      <c r="AF78">
        <f ca="1">IF(AND($A78&lt;&gt;"",COUNTIF($A$20:A78,A78)=1,AND($A78&lt;&gt;"",$A78&lt;&gt;"非自然知识",COUNTIF($A$20:$A$78,$A78)&gt;0,OR($B$4="any",$B$4="fixed",AND($B$4="group",LEFT($A78,LEN($E$4)+1)=$E$4&amp;"（"),IFERROR(OR(ISNUMBER(FIND("|"&amp;$A78&amp;"|",$D$4)),AND(IFERROR(FIND("（",$A78),0)&gt;0,ISNUMBER(FIND("|"&amp;LEFT($A78,FIND("（",$A78)-1)&amp;"*|",$D$4)))),FALSE)))),ROW()-19,999)</f>
        <v>999</v>
      </c>
      <c r="AG78" t="str">
        <f ca="1">IFERROR(INDEX($A$20:$A$78,SMALL($AH$20:$AH$78,59)),"")</f>
        <v/>
      </c>
      <c r="AH78">
        <f ca="1">IF(AND($A78&lt;&gt;"",COUNTIF($A$20:A78,A78)=1,AND($A78&lt;&gt;"",$A78&lt;&gt;"非自然知识",COUNTIF($A$20:$A$78,$A78)&gt;0,OR($B$5="any",$B$5="fixed",AND($B$5="group",LEFT($A78,LEN($E$5)+1)=$E$5&amp;"（"),IFERROR(OR(ISNUMBER(FIND("|"&amp;$A78&amp;"|",$D$5)),AND(IFERROR(FIND("（",$A78),0)&gt;0,ISNUMBER(FIND("|"&amp;LEFT($A78,FIND("（",$A78)-1)&amp;"*|",$D$5)))),FALSE)))),ROW()-19,999)</f>
        <v>999</v>
      </c>
      <c r="AI78" t="str">
        <f ca="1">IFERROR(INDEX($A$20:$A$78,SMALL($AJ$20:$AJ$78,59)),"")</f>
        <v/>
      </c>
      <c r="AJ78">
        <f ca="1">IF(AND($A78&lt;&gt;"",COUNTIF($A$20:A78,A78)=1,AND($A78&lt;&gt;"",$A78&lt;&gt;"非自然知识",COUNTIF($A$20:$A$78,$A78)&gt;0,OR($B$6="any",$B$6="fixed",AND($B$6="group",LEFT($A78,LEN($E$6)+1)=$E$6&amp;"（"),IFERROR(OR(ISNUMBER(FIND("|"&amp;$A78&amp;"|",$D$6)),AND(IFERROR(FIND("（",$A78),0)&gt;0,ISNUMBER(FIND("|"&amp;LEFT($A78,FIND("（",$A78)-1)&amp;"*|",$D$6)))),FALSE)))),ROW()-19,999)</f>
        <v>999</v>
      </c>
      <c r="AK78" t="str">
        <f ca="1">IFERROR(INDEX($A$20:$A$78,SMALL($AL$20:$AL$78,59)),"")</f>
        <v/>
      </c>
      <c r="AL78">
        <f ca="1">IF(AND($A78&lt;&gt;"",COUNTIF($A$20:A78,A78)=1,AND($A78&lt;&gt;"",$A78&lt;&gt;"非自然知识",COUNTIF($A$20:$A$78,$A78)&gt;0,OR($B$7="any",$B$7="fixed",AND($B$7="group",LEFT($A78,LEN($E$7)+1)=$E$7&amp;"（"),IFERROR(OR(ISNUMBER(FIND("|"&amp;$A78&amp;"|",$D$7)),AND(IFERROR(FIND("（",$A78),0)&gt;0,ISNUMBER(FIND("|"&amp;LEFT($A78,FIND("（",$A78)-1)&amp;"*|",$D$7)))),FALSE)))),ROW()-19,999)</f>
        <v>999</v>
      </c>
      <c r="AM78" t="str">
        <f ca="1">IFERROR(INDEX($A$20:$A$78,SMALL($AN$20:$AN$78,59)),"")</f>
        <v/>
      </c>
      <c r="AN78">
        <f ca="1">IF(AND($A78&lt;&gt;"",COUNTIF($A$20:A78,A78)=1,AND($A78&lt;&gt;"",$A78&lt;&gt;"非自然知识",COUNTIF($A$20:$A$78,$A78)&gt;0,OR($B$8="any",$B$8="fixed",AND($B$8="group",LEFT($A78,LEN($E$8)+1)=$E$8&amp;"（"),IFERROR(OR(ISNUMBER(FIND("|"&amp;$A78&amp;"|",$D$8)),AND(IFERROR(FIND("（",$A78),0)&gt;0,ISNUMBER(FIND("|"&amp;LEFT($A78,FIND("（",$A78)-1)&amp;"*|",$D$8)))),FALSE)))),ROW()-19,999)</f>
        <v>999</v>
      </c>
      <c r="AO78" t="str">
        <f ca="1">IFERROR(INDEX($A$20:$A$78,SMALL($AP$20:$AP$78,59)),"")</f>
        <v/>
      </c>
      <c r="AP78">
        <f ca="1">IF(AND($A78&lt;&gt;"",COUNTIF($A$20:A78,A78)=1,AND($A78&lt;&gt;"",$A78&lt;&gt;"非自然知识",COUNTIF($A$20:$A$78,$A78)&gt;0,OR($B$9="any",$B$9="fixed",AND($B$9="group",LEFT($A78,LEN($E$9)+1)=$E$9&amp;"（"),IFERROR(OR(ISNUMBER(FIND("|"&amp;$A78&amp;"|",$D$9)),AND(IFERROR(FIND("（",$A78),0)&gt;0,ISNUMBER(FIND("|"&amp;LEFT($A78,FIND("（",$A78)-1)&amp;"*|",$D$9)))),FALSE)))),ROW()-19,999)</f>
        <v>999</v>
      </c>
    </row>
    <row r="100" spans="1:7">
      <c r="A100" t="s">
        <v>502</v>
      </c>
      <c r="B100">
        <v>1</v>
      </c>
      <c r="C100" t="s">
        <v>2357</v>
      </c>
      <c r="D100" t="s">
        <v>760</v>
      </c>
      <c r="E100" t="s">
        <v>126</v>
      </c>
      <c r="F100" t="s">
        <v>126</v>
      </c>
      <c r="G100" t="s">
        <v>126</v>
      </c>
    </row>
    <row r="101" spans="1:7">
      <c r="A101" t="s">
        <v>502</v>
      </c>
      <c r="B101">
        <v>2</v>
      </c>
      <c r="C101" t="s">
        <v>2358</v>
      </c>
      <c r="D101" t="s">
        <v>760</v>
      </c>
      <c r="E101" t="s">
        <v>126</v>
      </c>
      <c r="F101" t="s">
        <v>126</v>
      </c>
      <c r="G101" t="s">
        <v>126</v>
      </c>
    </row>
    <row r="102" spans="1:7">
      <c r="A102" t="s">
        <v>502</v>
      </c>
      <c r="B102">
        <v>3</v>
      </c>
      <c r="C102" t="s">
        <v>2359</v>
      </c>
      <c r="D102" t="s">
        <v>760</v>
      </c>
      <c r="E102" t="s">
        <v>126</v>
      </c>
      <c r="F102" t="s">
        <v>126</v>
      </c>
      <c r="G102" t="s">
        <v>126</v>
      </c>
    </row>
    <row r="103" spans="1:7">
      <c r="A103" t="s">
        <v>502</v>
      </c>
      <c r="B103">
        <v>4</v>
      </c>
      <c r="C103" t="s">
        <v>2360</v>
      </c>
      <c r="D103" t="s">
        <v>760</v>
      </c>
      <c r="E103" t="s">
        <v>126</v>
      </c>
      <c r="F103" t="s">
        <v>126</v>
      </c>
      <c r="G103" t="s">
        <v>126</v>
      </c>
    </row>
    <row r="104" spans="1:7">
      <c r="A104" t="s">
        <v>502</v>
      </c>
      <c r="B104">
        <v>5</v>
      </c>
      <c r="C104" t="s">
        <v>2361</v>
      </c>
      <c r="D104" t="s">
        <v>760</v>
      </c>
      <c r="E104" t="s">
        <v>126</v>
      </c>
      <c r="F104" t="s">
        <v>126</v>
      </c>
      <c r="G104" t="s">
        <v>126</v>
      </c>
    </row>
    <row r="105" spans="1:7">
      <c r="A105" t="s">
        <v>502</v>
      </c>
      <c r="B105">
        <v>6</v>
      </c>
      <c r="C105" t="s">
        <v>2362</v>
      </c>
      <c r="D105" t="s">
        <v>760</v>
      </c>
      <c r="E105" t="s">
        <v>126</v>
      </c>
      <c r="F105" t="s">
        <v>126</v>
      </c>
      <c r="G105" t="s">
        <v>126</v>
      </c>
    </row>
    <row r="106" spans="1:7">
      <c r="A106" t="s">
        <v>502</v>
      </c>
      <c r="B106">
        <v>7</v>
      </c>
      <c r="C106" t="s">
        <v>2363</v>
      </c>
      <c r="D106" t="s">
        <v>760</v>
      </c>
      <c r="E106" t="s">
        <v>126</v>
      </c>
      <c r="F106" t="s">
        <v>126</v>
      </c>
      <c r="G106" t="s">
        <v>126</v>
      </c>
    </row>
    <row r="107" spans="1:7">
      <c r="A107" t="s">
        <v>502</v>
      </c>
      <c r="B107">
        <v>8</v>
      </c>
      <c r="C107" t="s">
        <v>2364</v>
      </c>
      <c r="D107" t="s">
        <v>760</v>
      </c>
      <c r="E107" t="s">
        <v>126</v>
      </c>
      <c r="F107" t="s">
        <v>126</v>
      </c>
      <c r="G107" t="s">
        <v>126</v>
      </c>
    </row>
    <row r="108" spans="1:7">
      <c r="A108" t="s">
        <v>503</v>
      </c>
      <c r="B108">
        <v>1</v>
      </c>
      <c r="C108" t="s">
        <v>65</v>
      </c>
      <c r="D108" t="s">
        <v>724</v>
      </c>
      <c r="E108" t="s">
        <v>65</v>
      </c>
      <c r="F108" t="s">
        <v>126</v>
      </c>
      <c r="G108" t="s">
        <v>126</v>
      </c>
    </row>
    <row r="109" spans="1:7">
      <c r="A109" t="s">
        <v>503</v>
      </c>
      <c r="B109">
        <v>2</v>
      </c>
      <c r="C109" t="s">
        <v>504</v>
      </c>
      <c r="D109" t="s">
        <v>2365</v>
      </c>
      <c r="E109" t="s">
        <v>126</v>
      </c>
      <c r="F109" t="s">
        <v>2366</v>
      </c>
      <c r="G109" t="s">
        <v>544</v>
      </c>
    </row>
    <row r="110" spans="1:7">
      <c r="A110" t="s">
        <v>503</v>
      </c>
      <c r="B110">
        <v>3</v>
      </c>
      <c r="C110" t="s">
        <v>96</v>
      </c>
      <c r="D110" t="s">
        <v>724</v>
      </c>
      <c r="E110" t="s">
        <v>96</v>
      </c>
      <c r="F110" t="s">
        <v>126</v>
      </c>
      <c r="G110" t="s">
        <v>126</v>
      </c>
    </row>
    <row r="111" spans="1:7">
      <c r="A111" t="s">
        <v>503</v>
      </c>
      <c r="B111">
        <v>4</v>
      </c>
      <c r="C111" t="s">
        <v>78</v>
      </c>
      <c r="D111" t="s">
        <v>724</v>
      </c>
      <c r="E111" t="s">
        <v>78</v>
      </c>
      <c r="F111" t="s">
        <v>126</v>
      </c>
      <c r="G111" t="s">
        <v>126</v>
      </c>
    </row>
    <row r="112" spans="1:7">
      <c r="A112" t="s">
        <v>503</v>
      </c>
      <c r="B112">
        <v>5</v>
      </c>
      <c r="C112" t="s">
        <v>505</v>
      </c>
      <c r="D112" t="s">
        <v>2365</v>
      </c>
      <c r="E112" t="s">
        <v>126</v>
      </c>
      <c r="F112" t="s">
        <v>2367</v>
      </c>
      <c r="G112" t="s">
        <v>543</v>
      </c>
    </row>
    <row r="113" spans="1:7">
      <c r="A113" t="s">
        <v>503</v>
      </c>
      <c r="B113">
        <v>6</v>
      </c>
      <c r="C113" t="s">
        <v>505</v>
      </c>
      <c r="D113" t="s">
        <v>2365</v>
      </c>
      <c r="E113" t="s">
        <v>126</v>
      </c>
      <c r="F113" t="s">
        <v>2367</v>
      </c>
      <c r="G113" t="s">
        <v>543</v>
      </c>
    </row>
    <row r="114" spans="1:7">
      <c r="A114" t="s">
        <v>503</v>
      </c>
      <c r="B114">
        <v>7</v>
      </c>
      <c r="C114" t="s">
        <v>505</v>
      </c>
      <c r="D114" t="s">
        <v>2365</v>
      </c>
      <c r="E114" t="s">
        <v>126</v>
      </c>
      <c r="F114" t="s">
        <v>2367</v>
      </c>
      <c r="G114" t="s">
        <v>543</v>
      </c>
    </row>
    <row r="115" spans="1:7">
      <c r="A115" t="s">
        <v>503</v>
      </c>
      <c r="B115">
        <v>8</v>
      </c>
      <c r="C115" t="s">
        <v>115</v>
      </c>
      <c r="D115" t="s">
        <v>724</v>
      </c>
      <c r="E115" t="s">
        <v>115</v>
      </c>
      <c r="F115" t="s">
        <v>126</v>
      </c>
      <c r="G115" t="s">
        <v>126</v>
      </c>
    </row>
    <row r="116" spans="1:7">
      <c r="A116" t="s">
        <v>119</v>
      </c>
      <c r="B116">
        <v>1</v>
      </c>
      <c r="C116" t="s">
        <v>65</v>
      </c>
      <c r="D116" t="s">
        <v>724</v>
      </c>
      <c r="E116" t="s">
        <v>65</v>
      </c>
      <c r="F116" t="s">
        <v>126</v>
      </c>
      <c r="G116" t="s">
        <v>126</v>
      </c>
    </row>
    <row r="117" spans="1:7">
      <c r="A117" t="s">
        <v>119</v>
      </c>
      <c r="B117">
        <v>2</v>
      </c>
      <c r="C117" t="s">
        <v>77</v>
      </c>
      <c r="D117" t="s">
        <v>724</v>
      </c>
      <c r="E117" t="s">
        <v>77</v>
      </c>
      <c r="F117" t="s">
        <v>126</v>
      </c>
      <c r="G117" t="s">
        <v>126</v>
      </c>
    </row>
    <row r="118" spans="1:7">
      <c r="A118" t="s">
        <v>119</v>
      </c>
      <c r="B118">
        <v>3</v>
      </c>
      <c r="C118" t="s">
        <v>97</v>
      </c>
      <c r="D118" t="s">
        <v>724</v>
      </c>
      <c r="E118" t="s">
        <v>97</v>
      </c>
      <c r="F118" t="s">
        <v>126</v>
      </c>
      <c r="G118" t="s">
        <v>126</v>
      </c>
    </row>
    <row r="119" spans="1:7">
      <c r="A119" t="s">
        <v>119</v>
      </c>
      <c r="B119">
        <v>4</v>
      </c>
      <c r="C119" t="s">
        <v>103</v>
      </c>
      <c r="D119" t="s">
        <v>724</v>
      </c>
      <c r="E119" t="s">
        <v>103</v>
      </c>
      <c r="F119" t="s">
        <v>126</v>
      </c>
      <c r="G119" t="s">
        <v>126</v>
      </c>
    </row>
    <row r="120" spans="1:7">
      <c r="A120" t="s">
        <v>119</v>
      </c>
      <c r="B120">
        <v>5</v>
      </c>
      <c r="C120" t="s">
        <v>115</v>
      </c>
      <c r="D120" t="s">
        <v>724</v>
      </c>
      <c r="E120" t="s">
        <v>115</v>
      </c>
      <c r="F120" t="s">
        <v>126</v>
      </c>
      <c r="G120" t="s">
        <v>126</v>
      </c>
    </row>
    <row r="121" spans="1:7">
      <c r="A121" t="s">
        <v>119</v>
      </c>
      <c r="B121">
        <v>6</v>
      </c>
      <c r="C121" t="s">
        <v>78</v>
      </c>
      <c r="D121" t="s">
        <v>724</v>
      </c>
      <c r="E121" t="s">
        <v>78</v>
      </c>
      <c r="F121" t="s">
        <v>126</v>
      </c>
      <c r="G121" t="s">
        <v>126</v>
      </c>
    </row>
    <row r="122" spans="1:7">
      <c r="A122" t="s">
        <v>119</v>
      </c>
      <c r="B122">
        <v>7</v>
      </c>
      <c r="C122" t="s">
        <v>107</v>
      </c>
      <c r="D122" t="s">
        <v>724</v>
      </c>
      <c r="E122" t="s">
        <v>107</v>
      </c>
      <c r="F122" t="s">
        <v>126</v>
      </c>
      <c r="G122" t="s">
        <v>126</v>
      </c>
    </row>
    <row r="123" spans="1:7">
      <c r="A123" t="s">
        <v>119</v>
      </c>
      <c r="B123">
        <v>8</v>
      </c>
      <c r="C123" t="s">
        <v>108</v>
      </c>
      <c r="D123" t="s">
        <v>724</v>
      </c>
      <c r="E123" t="s">
        <v>108</v>
      </c>
      <c r="F123" t="s">
        <v>126</v>
      </c>
      <c r="G123" t="s">
        <v>126</v>
      </c>
    </row>
    <row r="124" spans="1:7">
      <c r="A124" t="s">
        <v>506</v>
      </c>
      <c r="B124">
        <v>1</v>
      </c>
      <c r="C124" t="s">
        <v>505</v>
      </c>
      <c r="D124" t="s">
        <v>2365</v>
      </c>
      <c r="E124" t="s">
        <v>126</v>
      </c>
      <c r="F124" t="s">
        <v>2367</v>
      </c>
      <c r="G124" t="s">
        <v>543</v>
      </c>
    </row>
    <row r="125" spans="1:7">
      <c r="A125" t="s">
        <v>506</v>
      </c>
      <c r="B125">
        <v>2</v>
      </c>
      <c r="C125" t="s">
        <v>67</v>
      </c>
      <c r="D125" t="s">
        <v>724</v>
      </c>
      <c r="E125" t="s">
        <v>67</v>
      </c>
      <c r="F125" t="s">
        <v>126</v>
      </c>
      <c r="G125" t="s">
        <v>126</v>
      </c>
    </row>
    <row r="126" spans="1:7">
      <c r="A126" t="s">
        <v>506</v>
      </c>
      <c r="B126">
        <v>3</v>
      </c>
      <c r="C126" t="s">
        <v>83</v>
      </c>
      <c r="D126" t="s">
        <v>724</v>
      </c>
      <c r="E126" t="s">
        <v>83</v>
      </c>
      <c r="F126" t="s">
        <v>126</v>
      </c>
      <c r="G126" t="s">
        <v>126</v>
      </c>
    </row>
    <row r="127" spans="1:7">
      <c r="A127" t="s">
        <v>506</v>
      </c>
      <c r="B127">
        <v>4</v>
      </c>
      <c r="C127" t="s">
        <v>114</v>
      </c>
      <c r="D127" t="s">
        <v>724</v>
      </c>
      <c r="E127" t="s">
        <v>114</v>
      </c>
      <c r="F127" t="s">
        <v>126</v>
      </c>
      <c r="G127" t="s">
        <v>126</v>
      </c>
    </row>
    <row r="128" spans="1:7">
      <c r="A128" t="s">
        <v>506</v>
      </c>
      <c r="B128">
        <v>5</v>
      </c>
      <c r="C128" t="s">
        <v>61</v>
      </c>
      <c r="D128" t="s">
        <v>724</v>
      </c>
      <c r="E128" t="s">
        <v>61</v>
      </c>
      <c r="F128" t="s">
        <v>126</v>
      </c>
      <c r="G128" t="s">
        <v>126</v>
      </c>
    </row>
    <row r="129" spans="1:7">
      <c r="A129" t="s">
        <v>506</v>
      </c>
      <c r="B129">
        <v>6</v>
      </c>
      <c r="C129" t="s">
        <v>76</v>
      </c>
      <c r="D129" t="s">
        <v>724</v>
      </c>
      <c r="E129" t="s">
        <v>76</v>
      </c>
      <c r="F129" t="s">
        <v>126</v>
      </c>
      <c r="G129" t="s">
        <v>126</v>
      </c>
    </row>
    <row r="130" spans="1:7">
      <c r="A130" t="s">
        <v>506</v>
      </c>
      <c r="B130">
        <v>7</v>
      </c>
      <c r="C130" t="s">
        <v>78</v>
      </c>
      <c r="D130" t="s">
        <v>724</v>
      </c>
      <c r="E130" t="s">
        <v>78</v>
      </c>
      <c r="F130" t="s">
        <v>126</v>
      </c>
      <c r="G130" t="s">
        <v>126</v>
      </c>
    </row>
    <row r="131" spans="1:7">
      <c r="A131" t="s">
        <v>506</v>
      </c>
      <c r="B131">
        <v>8</v>
      </c>
      <c r="C131" t="s">
        <v>115</v>
      </c>
      <c r="D131" t="s">
        <v>724</v>
      </c>
      <c r="E131" t="s">
        <v>115</v>
      </c>
      <c r="F131" t="s">
        <v>126</v>
      </c>
      <c r="G131" t="s">
        <v>126</v>
      </c>
    </row>
    <row r="132" spans="1:7">
      <c r="A132" t="s">
        <v>507</v>
      </c>
      <c r="B132">
        <v>1</v>
      </c>
      <c r="C132" t="s">
        <v>65</v>
      </c>
      <c r="D132" t="s">
        <v>724</v>
      </c>
      <c r="E132" t="s">
        <v>65</v>
      </c>
      <c r="F132" t="s">
        <v>126</v>
      </c>
      <c r="G132" t="s">
        <v>126</v>
      </c>
    </row>
    <row r="133" spans="1:7">
      <c r="A133" t="s">
        <v>507</v>
      </c>
      <c r="B133">
        <v>2</v>
      </c>
      <c r="C133" t="s">
        <v>77</v>
      </c>
      <c r="D133" t="s">
        <v>724</v>
      </c>
      <c r="E133" t="s">
        <v>77</v>
      </c>
      <c r="F133" t="s">
        <v>126</v>
      </c>
      <c r="G133" t="s">
        <v>126</v>
      </c>
    </row>
    <row r="134" spans="1:7">
      <c r="A134" t="s">
        <v>507</v>
      </c>
      <c r="B134">
        <v>3</v>
      </c>
      <c r="C134" t="s">
        <v>508</v>
      </c>
      <c r="D134" t="s">
        <v>724</v>
      </c>
      <c r="E134" t="s">
        <v>508</v>
      </c>
      <c r="F134" t="s">
        <v>126</v>
      </c>
      <c r="G134" t="s">
        <v>544</v>
      </c>
    </row>
    <row r="135" spans="1:7">
      <c r="A135" t="s">
        <v>507</v>
      </c>
      <c r="B135">
        <v>4</v>
      </c>
      <c r="C135" t="s">
        <v>509</v>
      </c>
      <c r="D135" t="s">
        <v>724</v>
      </c>
      <c r="E135" t="s">
        <v>509</v>
      </c>
      <c r="F135" t="s">
        <v>126</v>
      </c>
      <c r="G135" t="s">
        <v>544</v>
      </c>
    </row>
    <row r="136" spans="1:7">
      <c r="A136" t="s">
        <v>507</v>
      </c>
      <c r="B136">
        <v>5</v>
      </c>
      <c r="C136" t="s">
        <v>93</v>
      </c>
      <c r="D136" t="s">
        <v>724</v>
      </c>
      <c r="E136" t="s">
        <v>93</v>
      </c>
      <c r="F136" t="s">
        <v>126</v>
      </c>
      <c r="G136" t="s">
        <v>126</v>
      </c>
    </row>
    <row r="137" spans="1:7">
      <c r="A137" t="s">
        <v>507</v>
      </c>
      <c r="B137">
        <v>6</v>
      </c>
      <c r="C137" t="s">
        <v>96</v>
      </c>
      <c r="D137" t="s">
        <v>724</v>
      </c>
      <c r="E137" t="s">
        <v>96</v>
      </c>
      <c r="F137" t="s">
        <v>126</v>
      </c>
      <c r="G137" t="s">
        <v>126</v>
      </c>
    </row>
    <row r="138" spans="1:7">
      <c r="A138" t="s">
        <v>507</v>
      </c>
      <c r="B138">
        <v>7</v>
      </c>
      <c r="C138" t="s">
        <v>98</v>
      </c>
      <c r="D138" t="s">
        <v>724</v>
      </c>
      <c r="E138" t="s">
        <v>98</v>
      </c>
      <c r="F138" t="s">
        <v>126</v>
      </c>
      <c r="G138" t="s">
        <v>126</v>
      </c>
    </row>
    <row r="139" spans="1:7">
      <c r="A139" t="s">
        <v>507</v>
      </c>
      <c r="B139">
        <v>8</v>
      </c>
      <c r="C139" t="s">
        <v>102</v>
      </c>
      <c r="D139" t="s">
        <v>724</v>
      </c>
      <c r="E139" t="s">
        <v>102</v>
      </c>
      <c r="F139" t="s">
        <v>126</v>
      </c>
      <c r="G139" t="s">
        <v>126</v>
      </c>
    </row>
    <row r="140" spans="1:7">
      <c r="A140" t="s">
        <v>510</v>
      </c>
      <c r="B140">
        <v>1</v>
      </c>
      <c r="C140" t="s">
        <v>65</v>
      </c>
      <c r="D140" t="s">
        <v>724</v>
      </c>
      <c r="E140" t="s">
        <v>65</v>
      </c>
      <c r="F140" t="s">
        <v>126</v>
      </c>
      <c r="G140" t="s">
        <v>126</v>
      </c>
    </row>
    <row r="141" spans="1:7">
      <c r="A141" t="s">
        <v>510</v>
      </c>
      <c r="B141">
        <v>2</v>
      </c>
      <c r="C141" t="s">
        <v>504</v>
      </c>
      <c r="D141" t="s">
        <v>2365</v>
      </c>
      <c r="E141" t="s">
        <v>126</v>
      </c>
      <c r="F141" t="s">
        <v>2366</v>
      </c>
      <c r="G141" t="s">
        <v>544</v>
      </c>
    </row>
    <row r="142" spans="1:7">
      <c r="A142" t="s">
        <v>510</v>
      </c>
      <c r="B142">
        <v>3</v>
      </c>
      <c r="C142" t="s">
        <v>504</v>
      </c>
      <c r="D142" t="s">
        <v>2365</v>
      </c>
      <c r="E142" t="s">
        <v>126</v>
      </c>
      <c r="F142" t="s">
        <v>2366</v>
      </c>
      <c r="G142" t="s">
        <v>544</v>
      </c>
    </row>
    <row r="143" spans="1:7">
      <c r="A143" t="s">
        <v>510</v>
      </c>
      <c r="B143">
        <v>4</v>
      </c>
      <c r="C143" t="s">
        <v>99</v>
      </c>
      <c r="D143" t="s">
        <v>724</v>
      </c>
      <c r="E143" t="s">
        <v>99</v>
      </c>
      <c r="F143" t="s">
        <v>126</v>
      </c>
      <c r="G143" t="s">
        <v>126</v>
      </c>
    </row>
    <row r="144" spans="1:7">
      <c r="A144" t="s">
        <v>510</v>
      </c>
      <c r="B144">
        <v>5</v>
      </c>
      <c r="C144" t="s">
        <v>103</v>
      </c>
      <c r="D144" t="s">
        <v>724</v>
      </c>
      <c r="E144" t="s">
        <v>103</v>
      </c>
      <c r="F144" t="s">
        <v>126</v>
      </c>
      <c r="G144" t="s">
        <v>126</v>
      </c>
    </row>
    <row r="145" spans="1:7">
      <c r="A145" t="s">
        <v>510</v>
      </c>
      <c r="B145">
        <v>6</v>
      </c>
      <c r="C145" t="s">
        <v>112</v>
      </c>
      <c r="D145" t="s">
        <v>724</v>
      </c>
      <c r="E145" t="s">
        <v>112</v>
      </c>
      <c r="F145" t="s">
        <v>126</v>
      </c>
      <c r="G145" t="s">
        <v>126</v>
      </c>
    </row>
    <row r="146" spans="1:7">
      <c r="A146" t="s">
        <v>510</v>
      </c>
      <c r="B146">
        <v>7</v>
      </c>
      <c r="C146" t="s">
        <v>74</v>
      </c>
      <c r="D146" t="s">
        <v>724</v>
      </c>
      <c r="E146" t="s">
        <v>74</v>
      </c>
      <c r="F146" t="s">
        <v>126</v>
      </c>
      <c r="G146" t="s">
        <v>126</v>
      </c>
    </row>
    <row r="147" spans="1:7">
      <c r="A147" t="s">
        <v>510</v>
      </c>
      <c r="B147">
        <v>8</v>
      </c>
      <c r="C147" t="s">
        <v>98</v>
      </c>
      <c r="D147" t="s">
        <v>724</v>
      </c>
      <c r="E147" t="s">
        <v>98</v>
      </c>
      <c r="F147" t="s">
        <v>126</v>
      </c>
      <c r="G147" t="s">
        <v>126</v>
      </c>
    </row>
    <row r="148" spans="1:7">
      <c r="A148" t="s">
        <v>511</v>
      </c>
      <c r="B148">
        <v>1</v>
      </c>
      <c r="C148" t="s">
        <v>60</v>
      </c>
      <c r="D148" t="s">
        <v>724</v>
      </c>
      <c r="E148" t="s">
        <v>60</v>
      </c>
      <c r="F148" t="s">
        <v>126</v>
      </c>
      <c r="G148" t="s">
        <v>126</v>
      </c>
    </row>
    <row r="149" spans="1:7">
      <c r="A149" t="s">
        <v>511</v>
      </c>
      <c r="B149">
        <v>2</v>
      </c>
      <c r="C149" t="s">
        <v>83</v>
      </c>
      <c r="D149" t="s">
        <v>724</v>
      </c>
      <c r="E149" t="s">
        <v>83</v>
      </c>
      <c r="F149" t="s">
        <v>126</v>
      </c>
      <c r="G149" t="s">
        <v>126</v>
      </c>
    </row>
    <row r="150" spans="1:7">
      <c r="A150" t="s">
        <v>511</v>
      </c>
      <c r="B150">
        <v>3</v>
      </c>
      <c r="C150" t="s">
        <v>87</v>
      </c>
      <c r="D150" t="s">
        <v>724</v>
      </c>
      <c r="E150" t="s">
        <v>87</v>
      </c>
      <c r="F150" t="s">
        <v>126</v>
      </c>
      <c r="G150" t="s">
        <v>126</v>
      </c>
    </row>
    <row r="151" spans="1:7">
      <c r="A151" t="s">
        <v>511</v>
      </c>
      <c r="B151">
        <v>4</v>
      </c>
      <c r="C151" t="s">
        <v>93</v>
      </c>
      <c r="D151" t="s">
        <v>724</v>
      </c>
      <c r="E151" t="s">
        <v>93</v>
      </c>
      <c r="F151" t="s">
        <v>126</v>
      </c>
      <c r="G151" t="s">
        <v>126</v>
      </c>
    </row>
    <row r="152" spans="1:7">
      <c r="A152" t="s">
        <v>511</v>
      </c>
      <c r="B152">
        <v>5</v>
      </c>
      <c r="C152" t="s">
        <v>115</v>
      </c>
      <c r="D152" t="s">
        <v>724</v>
      </c>
      <c r="E152" t="s">
        <v>115</v>
      </c>
      <c r="F152" t="s">
        <v>126</v>
      </c>
      <c r="G152" t="s">
        <v>126</v>
      </c>
    </row>
    <row r="153" spans="1:7">
      <c r="A153" t="s">
        <v>511</v>
      </c>
      <c r="B153">
        <v>6</v>
      </c>
      <c r="C153" t="s">
        <v>61</v>
      </c>
      <c r="D153" t="s">
        <v>724</v>
      </c>
      <c r="E153" t="s">
        <v>61</v>
      </c>
      <c r="F153" t="s">
        <v>126</v>
      </c>
      <c r="G153" t="s">
        <v>126</v>
      </c>
    </row>
    <row r="154" spans="1:7">
      <c r="A154" t="s">
        <v>511</v>
      </c>
      <c r="B154">
        <v>7</v>
      </c>
      <c r="C154" t="s">
        <v>78</v>
      </c>
      <c r="D154" t="s">
        <v>724</v>
      </c>
      <c r="E154" t="s">
        <v>78</v>
      </c>
      <c r="F154" t="s">
        <v>126</v>
      </c>
      <c r="G154" t="s">
        <v>126</v>
      </c>
    </row>
    <row r="155" spans="1:7">
      <c r="A155" t="s">
        <v>511</v>
      </c>
      <c r="B155">
        <v>8</v>
      </c>
      <c r="C155" t="s">
        <v>2368</v>
      </c>
      <c r="D155" t="s">
        <v>760</v>
      </c>
      <c r="E155" t="s">
        <v>126</v>
      </c>
      <c r="F155" t="s">
        <v>126</v>
      </c>
      <c r="G155" t="s">
        <v>126</v>
      </c>
    </row>
    <row r="156" spans="1:7">
      <c r="A156" t="s">
        <v>513</v>
      </c>
      <c r="B156">
        <v>1</v>
      </c>
      <c r="C156" t="s">
        <v>336</v>
      </c>
      <c r="D156" t="s">
        <v>2365</v>
      </c>
      <c r="E156" t="s">
        <v>126</v>
      </c>
      <c r="F156" t="s">
        <v>2369</v>
      </c>
      <c r="G156" t="s">
        <v>297</v>
      </c>
    </row>
    <row r="157" spans="1:7">
      <c r="A157" t="s">
        <v>513</v>
      </c>
      <c r="B157">
        <v>2</v>
      </c>
      <c r="C157" t="s">
        <v>336</v>
      </c>
      <c r="D157" t="s">
        <v>2365</v>
      </c>
      <c r="E157" t="s">
        <v>126</v>
      </c>
      <c r="F157" t="s">
        <v>2369</v>
      </c>
      <c r="G157" t="s">
        <v>297</v>
      </c>
    </row>
    <row r="158" spans="1:7">
      <c r="A158" t="s">
        <v>513</v>
      </c>
      <c r="B158">
        <v>3</v>
      </c>
      <c r="C158" t="s">
        <v>336</v>
      </c>
      <c r="D158" t="s">
        <v>2365</v>
      </c>
      <c r="E158" t="s">
        <v>126</v>
      </c>
      <c r="F158" t="s">
        <v>2369</v>
      </c>
      <c r="G158" t="s">
        <v>297</v>
      </c>
    </row>
    <row r="159" spans="1:7">
      <c r="A159" t="s">
        <v>513</v>
      </c>
      <c r="B159">
        <v>4</v>
      </c>
      <c r="C159" t="s">
        <v>114</v>
      </c>
      <c r="D159" t="s">
        <v>724</v>
      </c>
      <c r="E159" t="s">
        <v>114</v>
      </c>
      <c r="F159" t="s">
        <v>126</v>
      </c>
      <c r="G159" t="s">
        <v>126</v>
      </c>
    </row>
    <row r="160" spans="1:7">
      <c r="A160" t="s">
        <v>513</v>
      </c>
      <c r="B160">
        <v>5</v>
      </c>
      <c r="C160" t="s">
        <v>115</v>
      </c>
      <c r="D160" t="s">
        <v>724</v>
      </c>
      <c r="E160" t="s">
        <v>115</v>
      </c>
      <c r="F160" t="s">
        <v>126</v>
      </c>
      <c r="G160" t="s">
        <v>126</v>
      </c>
    </row>
    <row r="161" spans="1:7">
      <c r="A161" t="s">
        <v>513</v>
      </c>
      <c r="B161">
        <v>6</v>
      </c>
      <c r="C161" t="s">
        <v>76</v>
      </c>
      <c r="D161" t="s">
        <v>724</v>
      </c>
      <c r="E161" t="s">
        <v>76</v>
      </c>
      <c r="F161" t="s">
        <v>126</v>
      </c>
      <c r="G161" t="s">
        <v>126</v>
      </c>
    </row>
    <row r="162" spans="1:7">
      <c r="A162" t="s">
        <v>513</v>
      </c>
      <c r="B162">
        <v>7</v>
      </c>
      <c r="C162" t="s">
        <v>78</v>
      </c>
      <c r="D162" t="s">
        <v>724</v>
      </c>
      <c r="E162" t="s">
        <v>78</v>
      </c>
      <c r="F162" t="s">
        <v>126</v>
      </c>
      <c r="G162" t="s">
        <v>126</v>
      </c>
    </row>
    <row r="163" spans="1:7">
      <c r="A163" t="s">
        <v>513</v>
      </c>
      <c r="B163">
        <v>8</v>
      </c>
      <c r="C163" t="s">
        <v>91</v>
      </c>
      <c r="D163" t="s">
        <v>724</v>
      </c>
      <c r="E163" t="s">
        <v>91</v>
      </c>
      <c r="F163" t="s">
        <v>126</v>
      </c>
      <c r="G163" t="s">
        <v>126</v>
      </c>
    </row>
    <row r="164" spans="1:7">
      <c r="A164" t="s">
        <v>515</v>
      </c>
      <c r="B164">
        <v>1</v>
      </c>
      <c r="C164" t="s">
        <v>65</v>
      </c>
      <c r="D164" t="s">
        <v>724</v>
      </c>
      <c r="E164" t="s">
        <v>65</v>
      </c>
      <c r="F164" t="s">
        <v>126</v>
      </c>
      <c r="G164" t="s">
        <v>126</v>
      </c>
    </row>
    <row r="165" spans="1:7">
      <c r="A165" t="s">
        <v>515</v>
      </c>
      <c r="B165">
        <v>2</v>
      </c>
      <c r="C165" t="s">
        <v>97</v>
      </c>
      <c r="D165" t="s">
        <v>724</v>
      </c>
      <c r="E165" t="s">
        <v>97</v>
      </c>
      <c r="F165" t="s">
        <v>126</v>
      </c>
      <c r="G165" t="s">
        <v>126</v>
      </c>
    </row>
    <row r="166" spans="1:7">
      <c r="A166" t="s">
        <v>515</v>
      </c>
      <c r="B166">
        <v>3</v>
      </c>
      <c r="C166" t="s">
        <v>101</v>
      </c>
      <c r="D166" t="s">
        <v>724</v>
      </c>
      <c r="E166" t="s">
        <v>101</v>
      </c>
      <c r="F166" t="s">
        <v>126</v>
      </c>
      <c r="G166" t="s">
        <v>126</v>
      </c>
    </row>
    <row r="167" spans="1:7">
      <c r="A167" t="s">
        <v>515</v>
      </c>
      <c r="B167">
        <v>4</v>
      </c>
      <c r="C167" t="s">
        <v>103</v>
      </c>
      <c r="D167" t="s">
        <v>724</v>
      </c>
      <c r="E167" t="s">
        <v>103</v>
      </c>
      <c r="F167" t="s">
        <v>126</v>
      </c>
      <c r="G167" t="s">
        <v>126</v>
      </c>
    </row>
    <row r="168" spans="1:7">
      <c r="A168" t="s">
        <v>515</v>
      </c>
      <c r="B168">
        <v>5</v>
      </c>
      <c r="C168" t="s">
        <v>113</v>
      </c>
      <c r="D168" t="s">
        <v>724</v>
      </c>
      <c r="E168" t="s">
        <v>113</v>
      </c>
      <c r="F168" t="s">
        <v>126</v>
      </c>
      <c r="G168" t="s">
        <v>126</v>
      </c>
    </row>
    <row r="169" spans="1:7">
      <c r="A169" t="s">
        <v>515</v>
      </c>
      <c r="B169">
        <v>6</v>
      </c>
      <c r="C169" t="s">
        <v>68</v>
      </c>
      <c r="D169" t="s">
        <v>724</v>
      </c>
      <c r="E169" t="s">
        <v>68</v>
      </c>
      <c r="F169" t="s">
        <v>126</v>
      </c>
      <c r="G169" t="s">
        <v>126</v>
      </c>
    </row>
    <row r="170" spans="1:7">
      <c r="A170" t="s">
        <v>515</v>
      </c>
      <c r="B170">
        <v>7</v>
      </c>
      <c r="C170" t="s">
        <v>102</v>
      </c>
      <c r="D170" t="s">
        <v>724</v>
      </c>
      <c r="E170" t="s">
        <v>102</v>
      </c>
      <c r="F170" t="s">
        <v>126</v>
      </c>
      <c r="G170" t="s">
        <v>126</v>
      </c>
    </row>
    <row r="171" spans="1:7">
      <c r="A171" t="s">
        <v>515</v>
      </c>
      <c r="B171">
        <v>8</v>
      </c>
      <c r="C171" t="s">
        <v>108</v>
      </c>
      <c r="D171" t="s">
        <v>724</v>
      </c>
      <c r="E171" t="s">
        <v>108</v>
      </c>
      <c r="F171" t="s">
        <v>126</v>
      </c>
      <c r="G171" t="s">
        <v>126</v>
      </c>
    </row>
    <row r="172" spans="1:7">
      <c r="A172" t="s">
        <v>516</v>
      </c>
      <c r="B172">
        <v>1</v>
      </c>
      <c r="C172" t="s">
        <v>87</v>
      </c>
      <c r="D172" t="s">
        <v>724</v>
      </c>
      <c r="E172" t="s">
        <v>87</v>
      </c>
      <c r="F172" t="s">
        <v>126</v>
      </c>
      <c r="G172" t="s">
        <v>126</v>
      </c>
    </row>
    <row r="173" spans="1:7">
      <c r="A173" t="s">
        <v>516</v>
      </c>
      <c r="B173">
        <v>2</v>
      </c>
      <c r="C173" t="s">
        <v>366</v>
      </c>
      <c r="D173" t="s">
        <v>724</v>
      </c>
      <c r="E173" t="s">
        <v>366</v>
      </c>
      <c r="F173" t="s">
        <v>126</v>
      </c>
      <c r="G173" t="s">
        <v>544</v>
      </c>
    </row>
    <row r="174" spans="1:7">
      <c r="A174" t="s">
        <v>516</v>
      </c>
      <c r="B174">
        <v>3</v>
      </c>
      <c r="C174" t="s">
        <v>373</v>
      </c>
      <c r="D174" t="s">
        <v>724</v>
      </c>
      <c r="E174" t="s">
        <v>373</v>
      </c>
      <c r="F174" t="s">
        <v>126</v>
      </c>
      <c r="G174" t="s">
        <v>545</v>
      </c>
    </row>
    <row r="175" spans="1:7">
      <c r="A175" t="s">
        <v>516</v>
      </c>
      <c r="B175">
        <v>4</v>
      </c>
      <c r="C175" t="s">
        <v>100</v>
      </c>
      <c r="D175" t="s">
        <v>724</v>
      </c>
      <c r="E175" t="s">
        <v>100</v>
      </c>
      <c r="F175" t="s">
        <v>126</v>
      </c>
      <c r="G175" t="s">
        <v>126</v>
      </c>
    </row>
    <row r="176" spans="1:7">
      <c r="A176" t="s">
        <v>516</v>
      </c>
      <c r="B176">
        <v>5</v>
      </c>
      <c r="C176" t="s">
        <v>2368</v>
      </c>
      <c r="D176" t="s">
        <v>760</v>
      </c>
      <c r="E176" t="s">
        <v>126</v>
      </c>
      <c r="F176" t="s">
        <v>126</v>
      </c>
      <c r="G176" t="s">
        <v>126</v>
      </c>
    </row>
    <row r="177" spans="1:7">
      <c r="A177" t="s">
        <v>516</v>
      </c>
      <c r="B177">
        <v>6</v>
      </c>
      <c r="C177" t="s">
        <v>2368</v>
      </c>
      <c r="D177" t="s">
        <v>760</v>
      </c>
      <c r="E177" t="s">
        <v>126</v>
      </c>
      <c r="F177" t="s">
        <v>126</v>
      </c>
      <c r="G177" t="s">
        <v>126</v>
      </c>
    </row>
    <row r="178" spans="1:7">
      <c r="A178" t="s">
        <v>516</v>
      </c>
      <c r="B178">
        <v>7</v>
      </c>
      <c r="C178" t="s">
        <v>2368</v>
      </c>
      <c r="D178" t="s">
        <v>760</v>
      </c>
      <c r="E178" t="s">
        <v>126</v>
      </c>
      <c r="F178" t="s">
        <v>126</v>
      </c>
      <c r="G178" t="s">
        <v>126</v>
      </c>
    </row>
    <row r="179" spans="1:7">
      <c r="A179" t="s">
        <v>516</v>
      </c>
      <c r="B179">
        <v>8</v>
      </c>
      <c r="C179" t="s">
        <v>2368</v>
      </c>
      <c r="D179" t="s">
        <v>760</v>
      </c>
      <c r="E179" t="s">
        <v>126</v>
      </c>
      <c r="F179" t="s">
        <v>126</v>
      </c>
      <c r="G179" t="s">
        <v>126</v>
      </c>
    </row>
    <row r="180" spans="1:7">
      <c r="A180" t="s">
        <v>518</v>
      </c>
      <c r="B180">
        <v>1</v>
      </c>
      <c r="C180" t="s">
        <v>83</v>
      </c>
      <c r="D180" t="s">
        <v>724</v>
      </c>
      <c r="E180" t="s">
        <v>83</v>
      </c>
      <c r="F180" t="s">
        <v>126</v>
      </c>
      <c r="G180" t="s">
        <v>126</v>
      </c>
    </row>
    <row r="181" spans="1:7">
      <c r="A181" t="s">
        <v>518</v>
      </c>
      <c r="B181">
        <v>2</v>
      </c>
      <c r="C181" t="s">
        <v>103</v>
      </c>
      <c r="D181" t="s">
        <v>724</v>
      </c>
      <c r="E181" t="s">
        <v>103</v>
      </c>
      <c r="F181" t="s">
        <v>126</v>
      </c>
      <c r="G181" t="s">
        <v>126</v>
      </c>
    </row>
    <row r="182" spans="1:7">
      <c r="A182" t="s">
        <v>518</v>
      </c>
      <c r="B182">
        <v>3</v>
      </c>
      <c r="C182" t="s">
        <v>336</v>
      </c>
      <c r="D182" t="s">
        <v>2365</v>
      </c>
      <c r="E182" t="s">
        <v>126</v>
      </c>
      <c r="F182" t="s">
        <v>2369</v>
      </c>
      <c r="G182" t="s">
        <v>297</v>
      </c>
    </row>
    <row r="183" spans="1:7">
      <c r="A183" t="s">
        <v>518</v>
      </c>
      <c r="B183">
        <v>4</v>
      </c>
      <c r="C183" t="s">
        <v>115</v>
      </c>
      <c r="D183" t="s">
        <v>724</v>
      </c>
      <c r="E183" t="s">
        <v>115</v>
      </c>
      <c r="F183" t="s">
        <v>126</v>
      </c>
      <c r="G183" t="s">
        <v>126</v>
      </c>
    </row>
    <row r="184" spans="1:7">
      <c r="A184" t="s">
        <v>518</v>
      </c>
      <c r="B184">
        <v>5</v>
      </c>
      <c r="C184" t="s">
        <v>61</v>
      </c>
      <c r="D184" t="s">
        <v>724</v>
      </c>
      <c r="E184" t="s">
        <v>61</v>
      </c>
      <c r="F184" t="s">
        <v>126</v>
      </c>
      <c r="G184" t="s">
        <v>126</v>
      </c>
    </row>
    <row r="185" spans="1:7">
      <c r="A185" t="s">
        <v>518</v>
      </c>
      <c r="B185">
        <v>6</v>
      </c>
      <c r="C185" t="s">
        <v>78</v>
      </c>
      <c r="D185" t="s">
        <v>724</v>
      </c>
      <c r="E185" t="s">
        <v>78</v>
      </c>
      <c r="F185" t="s">
        <v>126</v>
      </c>
      <c r="G185" t="s">
        <v>126</v>
      </c>
    </row>
    <row r="186" spans="1:7">
      <c r="A186" t="s">
        <v>518</v>
      </c>
      <c r="B186">
        <v>7</v>
      </c>
      <c r="C186" t="s">
        <v>91</v>
      </c>
      <c r="D186" t="s">
        <v>724</v>
      </c>
      <c r="E186" t="s">
        <v>91</v>
      </c>
      <c r="F186" t="s">
        <v>126</v>
      </c>
      <c r="G186" t="s">
        <v>126</v>
      </c>
    </row>
    <row r="187" spans="1:7">
      <c r="A187" t="s">
        <v>518</v>
      </c>
      <c r="B187">
        <v>8</v>
      </c>
      <c r="C187" t="s">
        <v>98</v>
      </c>
      <c r="D187" t="s">
        <v>724</v>
      </c>
      <c r="E187" t="s">
        <v>98</v>
      </c>
      <c r="F187" t="s">
        <v>126</v>
      </c>
      <c r="G187" t="s">
        <v>126</v>
      </c>
    </row>
    <row r="188" spans="1:7">
      <c r="A188" t="s">
        <v>519</v>
      </c>
      <c r="B188">
        <v>1</v>
      </c>
      <c r="C188" t="s">
        <v>60</v>
      </c>
      <c r="D188" t="s">
        <v>724</v>
      </c>
      <c r="E188" t="s">
        <v>60</v>
      </c>
      <c r="F188" t="s">
        <v>126</v>
      </c>
      <c r="G188" t="s">
        <v>126</v>
      </c>
    </row>
    <row r="189" spans="1:7">
      <c r="A189" t="s">
        <v>519</v>
      </c>
      <c r="B189">
        <v>2</v>
      </c>
      <c r="C189" t="s">
        <v>83</v>
      </c>
      <c r="D189" t="s">
        <v>724</v>
      </c>
      <c r="E189" t="s">
        <v>83</v>
      </c>
      <c r="F189" t="s">
        <v>126</v>
      </c>
      <c r="G189" t="s">
        <v>126</v>
      </c>
    </row>
    <row r="190" spans="1:7">
      <c r="A190" t="s">
        <v>519</v>
      </c>
      <c r="B190">
        <v>3</v>
      </c>
      <c r="C190" t="s">
        <v>87</v>
      </c>
      <c r="D190" t="s">
        <v>724</v>
      </c>
      <c r="E190" t="s">
        <v>87</v>
      </c>
      <c r="F190" t="s">
        <v>126</v>
      </c>
      <c r="G190" t="s">
        <v>126</v>
      </c>
    </row>
    <row r="191" spans="1:7">
      <c r="A191" t="s">
        <v>519</v>
      </c>
      <c r="B191">
        <v>4</v>
      </c>
      <c r="C191" t="s">
        <v>93</v>
      </c>
      <c r="D191" t="s">
        <v>724</v>
      </c>
      <c r="E191" t="s">
        <v>93</v>
      </c>
      <c r="F191" t="s">
        <v>126</v>
      </c>
      <c r="G191" t="s">
        <v>126</v>
      </c>
    </row>
    <row r="192" spans="1:7">
      <c r="A192" t="s">
        <v>519</v>
      </c>
      <c r="B192">
        <v>5</v>
      </c>
      <c r="C192" t="s">
        <v>109</v>
      </c>
      <c r="D192" t="s">
        <v>724</v>
      </c>
      <c r="E192" t="s">
        <v>109</v>
      </c>
      <c r="F192" t="s">
        <v>126</v>
      </c>
      <c r="G192" t="s">
        <v>126</v>
      </c>
    </row>
    <row r="193" spans="1:7">
      <c r="A193" t="s">
        <v>519</v>
      </c>
      <c r="B193">
        <v>6</v>
      </c>
      <c r="C193" t="s">
        <v>61</v>
      </c>
      <c r="D193" t="s">
        <v>724</v>
      </c>
      <c r="E193" t="s">
        <v>61</v>
      </c>
      <c r="F193" t="s">
        <v>126</v>
      </c>
      <c r="G193" t="s">
        <v>126</v>
      </c>
    </row>
    <row r="194" spans="1:7">
      <c r="A194" t="s">
        <v>519</v>
      </c>
      <c r="B194">
        <v>7</v>
      </c>
      <c r="C194" t="s">
        <v>84</v>
      </c>
      <c r="D194" t="s">
        <v>724</v>
      </c>
      <c r="E194" t="s">
        <v>84</v>
      </c>
      <c r="F194" t="s">
        <v>126</v>
      </c>
      <c r="G194" t="s">
        <v>126</v>
      </c>
    </row>
    <row r="195" spans="1:7">
      <c r="A195" t="s">
        <v>519</v>
      </c>
      <c r="B195">
        <v>8</v>
      </c>
      <c r="C195" t="s">
        <v>98</v>
      </c>
      <c r="D195" t="s">
        <v>724</v>
      </c>
      <c r="E195" t="s">
        <v>98</v>
      </c>
      <c r="F195" t="s">
        <v>126</v>
      </c>
      <c r="G195" t="s">
        <v>126</v>
      </c>
    </row>
    <row r="196" spans="1:7">
      <c r="A196" t="s">
        <v>520</v>
      </c>
      <c r="B196">
        <v>1</v>
      </c>
      <c r="C196" t="s">
        <v>65</v>
      </c>
      <c r="D196" t="s">
        <v>724</v>
      </c>
      <c r="E196" t="s">
        <v>65</v>
      </c>
      <c r="F196" t="s">
        <v>126</v>
      </c>
      <c r="G196" t="s">
        <v>126</v>
      </c>
    </row>
    <row r="197" spans="1:7">
      <c r="A197" t="s">
        <v>520</v>
      </c>
      <c r="B197">
        <v>2</v>
      </c>
      <c r="C197" t="s">
        <v>95</v>
      </c>
      <c r="D197" t="s">
        <v>724</v>
      </c>
      <c r="E197" t="s">
        <v>95</v>
      </c>
      <c r="F197" t="s">
        <v>126</v>
      </c>
      <c r="G197" t="s">
        <v>126</v>
      </c>
    </row>
    <row r="198" spans="1:7">
      <c r="A198" t="s">
        <v>520</v>
      </c>
      <c r="B198">
        <v>3</v>
      </c>
      <c r="C198" t="s">
        <v>99</v>
      </c>
      <c r="D198" t="s">
        <v>724</v>
      </c>
      <c r="E198" t="s">
        <v>99</v>
      </c>
      <c r="F198" t="s">
        <v>126</v>
      </c>
      <c r="G198" t="s">
        <v>126</v>
      </c>
    </row>
    <row r="199" spans="1:7">
      <c r="A199" t="s">
        <v>520</v>
      </c>
      <c r="B199">
        <v>4</v>
      </c>
      <c r="C199" t="s">
        <v>103</v>
      </c>
      <c r="D199" t="s">
        <v>724</v>
      </c>
      <c r="E199" t="s">
        <v>103</v>
      </c>
      <c r="F199" t="s">
        <v>126</v>
      </c>
      <c r="G199" t="s">
        <v>126</v>
      </c>
    </row>
    <row r="200" spans="1:7">
      <c r="A200" t="s">
        <v>520</v>
      </c>
      <c r="B200">
        <v>5</v>
      </c>
      <c r="C200" t="s">
        <v>109</v>
      </c>
      <c r="D200" t="s">
        <v>724</v>
      </c>
      <c r="E200" t="s">
        <v>109</v>
      </c>
      <c r="F200" t="s">
        <v>126</v>
      </c>
      <c r="G200" t="s">
        <v>126</v>
      </c>
    </row>
    <row r="201" spans="1:7">
      <c r="A201" t="s">
        <v>520</v>
      </c>
      <c r="B201">
        <v>6</v>
      </c>
      <c r="C201" t="s">
        <v>112</v>
      </c>
      <c r="D201" t="s">
        <v>724</v>
      </c>
      <c r="E201" t="s">
        <v>112</v>
      </c>
      <c r="F201" t="s">
        <v>126</v>
      </c>
      <c r="G201" t="s">
        <v>126</v>
      </c>
    </row>
    <row r="202" spans="1:7">
      <c r="A202" t="s">
        <v>520</v>
      </c>
      <c r="B202">
        <v>7</v>
      </c>
      <c r="C202" t="s">
        <v>74</v>
      </c>
      <c r="D202" t="s">
        <v>724</v>
      </c>
      <c r="E202" t="s">
        <v>74</v>
      </c>
      <c r="F202" t="s">
        <v>126</v>
      </c>
      <c r="G202" t="s">
        <v>126</v>
      </c>
    </row>
    <row r="203" spans="1:7">
      <c r="A203" t="s">
        <v>520</v>
      </c>
      <c r="B203">
        <v>8</v>
      </c>
      <c r="C203" t="s">
        <v>98</v>
      </c>
      <c r="D203" t="s">
        <v>724</v>
      </c>
      <c r="E203" t="s">
        <v>98</v>
      </c>
      <c r="F203" t="s">
        <v>126</v>
      </c>
      <c r="G203" t="s">
        <v>126</v>
      </c>
    </row>
    <row r="204" spans="1:7">
      <c r="A204" t="s">
        <v>521</v>
      </c>
      <c r="B204">
        <v>1</v>
      </c>
      <c r="C204" t="s">
        <v>65</v>
      </c>
      <c r="D204" t="s">
        <v>724</v>
      </c>
      <c r="E204" t="s">
        <v>65</v>
      </c>
      <c r="F204" t="s">
        <v>126</v>
      </c>
      <c r="G204" t="s">
        <v>126</v>
      </c>
    </row>
    <row r="205" spans="1:7">
      <c r="A205" t="s">
        <v>521</v>
      </c>
      <c r="B205">
        <v>2</v>
      </c>
      <c r="C205" t="s">
        <v>93</v>
      </c>
      <c r="D205" t="s">
        <v>724</v>
      </c>
      <c r="E205" t="s">
        <v>93</v>
      </c>
      <c r="F205" t="s">
        <v>126</v>
      </c>
      <c r="G205" t="s">
        <v>126</v>
      </c>
    </row>
    <row r="206" spans="1:7">
      <c r="A206" t="s">
        <v>521</v>
      </c>
      <c r="B206">
        <v>3</v>
      </c>
      <c r="C206" t="s">
        <v>97</v>
      </c>
      <c r="D206" t="s">
        <v>724</v>
      </c>
      <c r="E206" t="s">
        <v>97</v>
      </c>
      <c r="F206" t="s">
        <v>126</v>
      </c>
      <c r="G206" t="s">
        <v>126</v>
      </c>
    </row>
    <row r="207" spans="1:7">
      <c r="A207" t="s">
        <v>521</v>
      </c>
      <c r="B207">
        <v>4</v>
      </c>
      <c r="C207" t="s">
        <v>99</v>
      </c>
      <c r="D207" t="s">
        <v>724</v>
      </c>
      <c r="E207" t="s">
        <v>99</v>
      </c>
      <c r="F207" t="s">
        <v>126</v>
      </c>
      <c r="G207" t="s">
        <v>126</v>
      </c>
    </row>
    <row r="208" spans="1:7">
      <c r="A208" t="s">
        <v>521</v>
      </c>
      <c r="B208">
        <v>5</v>
      </c>
      <c r="C208" t="s">
        <v>78</v>
      </c>
      <c r="D208" t="s">
        <v>724</v>
      </c>
      <c r="E208" t="s">
        <v>78</v>
      </c>
      <c r="F208" t="s">
        <v>126</v>
      </c>
      <c r="G208" t="s">
        <v>126</v>
      </c>
    </row>
    <row r="209" spans="1:7">
      <c r="A209" t="s">
        <v>521</v>
      </c>
      <c r="B209">
        <v>6</v>
      </c>
      <c r="C209" t="s">
        <v>102</v>
      </c>
      <c r="D209" t="s">
        <v>724</v>
      </c>
      <c r="E209" t="s">
        <v>102</v>
      </c>
      <c r="F209" t="s">
        <v>126</v>
      </c>
      <c r="G209" t="s">
        <v>126</v>
      </c>
    </row>
    <row r="210" spans="1:7">
      <c r="A210" t="s">
        <v>521</v>
      </c>
      <c r="B210">
        <v>7</v>
      </c>
      <c r="C210" t="s">
        <v>2370</v>
      </c>
      <c r="D210" t="s">
        <v>1669</v>
      </c>
      <c r="E210" t="s">
        <v>126</v>
      </c>
      <c r="F210" t="s">
        <v>2371</v>
      </c>
      <c r="G210" t="s">
        <v>126</v>
      </c>
    </row>
    <row r="211" spans="1:7">
      <c r="A211" t="s">
        <v>521</v>
      </c>
      <c r="B211">
        <v>8</v>
      </c>
      <c r="C211" t="s">
        <v>2372</v>
      </c>
      <c r="D211" t="s">
        <v>1669</v>
      </c>
      <c r="E211" t="s">
        <v>126</v>
      </c>
      <c r="F211" t="s">
        <v>2371</v>
      </c>
      <c r="G211" t="s">
        <v>126</v>
      </c>
    </row>
    <row r="212" spans="1:7">
      <c r="A212" t="s">
        <v>522</v>
      </c>
      <c r="B212">
        <v>1</v>
      </c>
      <c r="C212" t="s">
        <v>93</v>
      </c>
      <c r="D212" t="s">
        <v>724</v>
      </c>
      <c r="E212" t="s">
        <v>93</v>
      </c>
      <c r="F212" t="s">
        <v>126</v>
      </c>
      <c r="G212" t="s">
        <v>126</v>
      </c>
    </row>
    <row r="213" spans="1:7">
      <c r="A213" t="s">
        <v>522</v>
      </c>
      <c r="B213">
        <v>2</v>
      </c>
      <c r="C213" t="s">
        <v>336</v>
      </c>
      <c r="D213" t="s">
        <v>2365</v>
      </c>
      <c r="E213" t="s">
        <v>126</v>
      </c>
      <c r="F213" t="s">
        <v>2369</v>
      </c>
      <c r="G213" t="s">
        <v>297</v>
      </c>
    </row>
    <row r="214" spans="1:7">
      <c r="A214" t="s">
        <v>522</v>
      </c>
      <c r="B214">
        <v>3</v>
      </c>
      <c r="C214" t="s">
        <v>336</v>
      </c>
      <c r="D214" t="s">
        <v>2365</v>
      </c>
      <c r="E214" t="s">
        <v>126</v>
      </c>
      <c r="F214" t="s">
        <v>2369</v>
      </c>
      <c r="G214" t="s">
        <v>297</v>
      </c>
    </row>
    <row r="215" spans="1:7">
      <c r="A215" t="s">
        <v>522</v>
      </c>
      <c r="B215">
        <v>4</v>
      </c>
      <c r="C215" t="s">
        <v>115</v>
      </c>
      <c r="D215" t="s">
        <v>724</v>
      </c>
      <c r="E215" t="s">
        <v>115</v>
      </c>
      <c r="F215" t="s">
        <v>126</v>
      </c>
      <c r="G215" t="s">
        <v>126</v>
      </c>
    </row>
    <row r="216" spans="1:7">
      <c r="A216" t="s">
        <v>522</v>
      </c>
      <c r="B216">
        <v>5</v>
      </c>
      <c r="C216" t="s">
        <v>61</v>
      </c>
      <c r="D216" t="s">
        <v>724</v>
      </c>
      <c r="E216" t="s">
        <v>61</v>
      </c>
      <c r="F216" t="s">
        <v>126</v>
      </c>
      <c r="G216" t="s">
        <v>126</v>
      </c>
    </row>
    <row r="217" spans="1:7">
      <c r="A217" t="s">
        <v>522</v>
      </c>
      <c r="B217">
        <v>6</v>
      </c>
      <c r="C217" t="s">
        <v>78</v>
      </c>
      <c r="D217" t="s">
        <v>724</v>
      </c>
      <c r="E217" t="s">
        <v>78</v>
      </c>
      <c r="F217" t="s">
        <v>126</v>
      </c>
      <c r="G217" t="s">
        <v>126</v>
      </c>
    </row>
    <row r="218" spans="1:7">
      <c r="A218" t="s">
        <v>522</v>
      </c>
      <c r="B218">
        <v>7</v>
      </c>
      <c r="C218" t="s">
        <v>84</v>
      </c>
      <c r="D218" t="s">
        <v>724</v>
      </c>
      <c r="E218" t="s">
        <v>84</v>
      </c>
      <c r="F218" t="s">
        <v>126</v>
      </c>
      <c r="G218" t="s">
        <v>126</v>
      </c>
    </row>
    <row r="219" spans="1:7">
      <c r="A219" t="s">
        <v>522</v>
      </c>
      <c r="B219">
        <v>8</v>
      </c>
      <c r="C219" t="s">
        <v>98</v>
      </c>
      <c r="D219" t="s">
        <v>724</v>
      </c>
      <c r="E219" t="s">
        <v>98</v>
      </c>
      <c r="F219" t="s">
        <v>126</v>
      </c>
      <c r="G219" t="s">
        <v>126</v>
      </c>
    </row>
    <row r="220" spans="1:7">
      <c r="A220" t="s">
        <v>523</v>
      </c>
      <c r="B220">
        <v>1</v>
      </c>
      <c r="C220" t="s">
        <v>524</v>
      </c>
      <c r="D220" t="s">
        <v>1669</v>
      </c>
      <c r="E220" t="s">
        <v>126</v>
      </c>
      <c r="F220" t="s">
        <v>2373</v>
      </c>
      <c r="G220" t="s">
        <v>126</v>
      </c>
    </row>
    <row r="221" spans="1:7">
      <c r="A221" t="s">
        <v>523</v>
      </c>
      <c r="B221">
        <v>2</v>
      </c>
      <c r="C221" t="s">
        <v>505</v>
      </c>
      <c r="D221" t="s">
        <v>2365</v>
      </c>
      <c r="E221" t="s">
        <v>126</v>
      </c>
      <c r="F221" t="s">
        <v>2367</v>
      </c>
      <c r="G221" t="s">
        <v>543</v>
      </c>
    </row>
    <row r="222" spans="1:7">
      <c r="A222" t="s">
        <v>523</v>
      </c>
      <c r="B222">
        <v>3</v>
      </c>
      <c r="C222" t="s">
        <v>336</v>
      </c>
      <c r="D222" t="s">
        <v>2365</v>
      </c>
      <c r="E222" t="s">
        <v>126</v>
      </c>
      <c r="F222" t="s">
        <v>2369</v>
      </c>
      <c r="G222" t="s">
        <v>297</v>
      </c>
    </row>
    <row r="223" spans="1:7">
      <c r="A223" t="s">
        <v>523</v>
      </c>
      <c r="B223">
        <v>4</v>
      </c>
      <c r="C223" t="s">
        <v>114</v>
      </c>
      <c r="D223" t="s">
        <v>724</v>
      </c>
      <c r="E223" t="s">
        <v>114</v>
      </c>
      <c r="F223" t="s">
        <v>126</v>
      </c>
      <c r="G223" t="s">
        <v>126</v>
      </c>
    </row>
    <row r="224" spans="1:7">
      <c r="A224" t="s">
        <v>523</v>
      </c>
      <c r="B224">
        <v>5</v>
      </c>
      <c r="C224" t="s">
        <v>78</v>
      </c>
      <c r="D224" t="s">
        <v>724</v>
      </c>
      <c r="E224" t="s">
        <v>78</v>
      </c>
      <c r="F224" t="s">
        <v>126</v>
      </c>
      <c r="G224" t="s">
        <v>126</v>
      </c>
    </row>
    <row r="225" spans="1:7">
      <c r="A225" t="s">
        <v>523</v>
      </c>
      <c r="B225">
        <v>6</v>
      </c>
      <c r="C225" t="s">
        <v>2368</v>
      </c>
      <c r="D225" t="s">
        <v>760</v>
      </c>
      <c r="E225" t="s">
        <v>126</v>
      </c>
      <c r="F225" t="s">
        <v>126</v>
      </c>
      <c r="G225" t="s">
        <v>126</v>
      </c>
    </row>
    <row r="226" spans="1:7">
      <c r="A226" t="s">
        <v>523</v>
      </c>
      <c r="B226">
        <v>7</v>
      </c>
      <c r="C226" t="s">
        <v>2368</v>
      </c>
      <c r="D226" t="s">
        <v>760</v>
      </c>
      <c r="E226" t="s">
        <v>126</v>
      </c>
      <c r="F226" t="s">
        <v>126</v>
      </c>
      <c r="G226" t="s">
        <v>126</v>
      </c>
    </row>
    <row r="227" spans="1:7">
      <c r="A227" t="s">
        <v>523</v>
      </c>
      <c r="B227">
        <v>8</v>
      </c>
      <c r="C227" t="s">
        <v>2368</v>
      </c>
      <c r="D227" t="s">
        <v>760</v>
      </c>
      <c r="E227" t="s">
        <v>126</v>
      </c>
      <c r="F227" t="s">
        <v>126</v>
      </c>
      <c r="G227" t="s">
        <v>126</v>
      </c>
    </row>
    <row r="228" spans="1:7">
      <c r="A228" t="s">
        <v>526</v>
      </c>
      <c r="B228">
        <v>1</v>
      </c>
      <c r="C228" t="s">
        <v>83</v>
      </c>
      <c r="D228" t="s">
        <v>724</v>
      </c>
      <c r="E228" t="s">
        <v>83</v>
      </c>
      <c r="F228" t="s">
        <v>126</v>
      </c>
      <c r="G228" t="s">
        <v>126</v>
      </c>
    </row>
    <row r="229" spans="1:7">
      <c r="A229" t="s">
        <v>526</v>
      </c>
      <c r="B229">
        <v>2</v>
      </c>
      <c r="C229" t="s">
        <v>101</v>
      </c>
      <c r="D229" t="s">
        <v>724</v>
      </c>
      <c r="E229" t="s">
        <v>101</v>
      </c>
      <c r="F229" t="s">
        <v>126</v>
      </c>
      <c r="G229" t="s">
        <v>126</v>
      </c>
    </row>
    <row r="230" spans="1:7">
      <c r="A230" t="s">
        <v>526</v>
      </c>
      <c r="B230">
        <v>3</v>
      </c>
      <c r="C230" t="s">
        <v>114</v>
      </c>
      <c r="D230" t="s">
        <v>724</v>
      </c>
      <c r="E230" t="s">
        <v>114</v>
      </c>
      <c r="F230" t="s">
        <v>126</v>
      </c>
      <c r="G230" t="s">
        <v>126</v>
      </c>
    </row>
    <row r="231" spans="1:7">
      <c r="A231" t="s">
        <v>526</v>
      </c>
      <c r="B231">
        <v>4</v>
      </c>
      <c r="C231" t="s">
        <v>527</v>
      </c>
      <c r="D231" t="s">
        <v>2365</v>
      </c>
      <c r="E231" t="s">
        <v>126</v>
      </c>
      <c r="F231" t="s">
        <v>2374</v>
      </c>
      <c r="G231" t="s">
        <v>331</v>
      </c>
    </row>
    <row r="232" spans="1:7">
      <c r="A232" t="s">
        <v>526</v>
      </c>
      <c r="B232">
        <v>5</v>
      </c>
      <c r="C232" t="s">
        <v>74</v>
      </c>
      <c r="D232" t="s">
        <v>724</v>
      </c>
      <c r="E232" t="s">
        <v>74</v>
      </c>
      <c r="F232" t="s">
        <v>126</v>
      </c>
      <c r="G232" t="s">
        <v>126</v>
      </c>
    </row>
    <row r="233" spans="1:7">
      <c r="A233" t="s">
        <v>526</v>
      </c>
      <c r="B233">
        <v>6</v>
      </c>
      <c r="C233" t="s">
        <v>78</v>
      </c>
      <c r="D233" t="s">
        <v>724</v>
      </c>
      <c r="E233" t="s">
        <v>78</v>
      </c>
      <c r="F233" t="s">
        <v>126</v>
      </c>
      <c r="G233" t="s">
        <v>126</v>
      </c>
    </row>
    <row r="234" spans="1:7">
      <c r="A234" t="s">
        <v>526</v>
      </c>
      <c r="B234">
        <v>7</v>
      </c>
      <c r="C234" t="s">
        <v>108</v>
      </c>
      <c r="D234" t="s">
        <v>724</v>
      </c>
      <c r="E234" t="s">
        <v>108</v>
      </c>
      <c r="F234" t="s">
        <v>126</v>
      </c>
      <c r="G234" t="s">
        <v>126</v>
      </c>
    </row>
    <row r="235" spans="1:7">
      <c r="A235" t="s">
        <v>526</v>
      </c>
      <c r="B235">
        <v>8</v>
      </c>
      <c r="C235" t="s">
        <v>2370</v>
      </c>
      <c r="D235" t="s">
        <v>1669</v>
      </c>
      <c r="E235" t="s">
        <v>126</v>
      </c>
      <c r="F235" t="s">
        <v>2375</v>
      </c>
      <c r="G235" t="s">
        <v>126</v>
      </c>
    </row>
    <row r="236" spans="1:7">
      <c r="A236" t="s">
        <v>529</v>
      </c>
      <c r="B236">
        <v>1</v>
      </c>
      <c r="C236" t="s">
        <v>60</v>
      </c>
      <c r="D236" t="s">
        <v>724</v>
      </c>
      <c r="E236" t="s">
        <v>60</v>
      </c>
      <c r="F236" t="s">
        <v>126</v>
      </c>
      <c r="G236" t="s">
        <v>126</v>
      </c>
    </row>
    <row r="237" spans="1:7">
      <c r="A237" t="s">
        <v>529</v>
      </c>
      <c r="B237">
        <v>2</v>
      </c>
      <c r="C237" t="s">
        <v>83</v>
      </c>
      <c r="D237" t="s">
        <v>724</v>
      </c>
      <c r="E237" t="s">
        <v>83</v>
      </c>
      <c r="F237" t="s">
        <v>126</v>
      </c>
      <c r="G237" t="s">
        <v>126</v>
      </c>
    </row>
    <row r="238" spans="1:7">
      <c r="A238" t="s">
        <v>529</v>
      </c>
      <c r="B238">
        <v>3</v>
      </c>
      <c r="C238" t="s">
        <v>115</v>
      </c>
      <c r="D238" t="s">
        <v>724</v>
      </c>
      <c r="E238" t="s">
        <v>115</v>
      </c>
      <c r="F238" t="s">
        <v>126</v>
      </c>
      <c r="G238" t="s">
        <v>126</v>
      </c>
    </row>
    <row r="239" spans="1:7">
      <c r="A239" t="s">
        <v>529</v>
      </c>
      <c r="B239">
        <v>4</v>
      </c>
      <c r="C239" t="s">
        <v>61</v>
      </c>
      <c r="D239" t="s">
        <v>724</v>
      </c>
      <c r="E239" t="s">
        <v>61</v>
      </c>
      <c r="F239" t="s">
        <v>126</v>
      </c>
      <c r="G239" t="s">
        <v>126</v>
      </c>
    </row>
    <row r="240" spans="1:7">
      <c r="A240" t="s">
        <v>529</v>
      </c>
      <c r="B240">
        <v>5</v>
      </c>
      <c r="C240" t="s">
        <v>78</v>
      </c>
      <c r="D240" t="s">
        <v>724</v>
      </c>
      <c r="E240" t="s">
        <v>78</v>
      </c>
      <c r="F240" t="s">
        <v>126</v>
      </c>
      <c r="G240" t="s">
        <v>126</v>
      </c>
    </row>
    <row r="241" spans="1:7">
      <c r="A241" t="s">
        <v>529</v>
      </c>
      <c r="B241">
        <v>6</v>
      </c>
      <c r="C241" t="s">
        <v>2368</v>
      </c>
      <c r="D241" t="s">
        <v>760</v>
      </c>
      <c r="E241" t="s">
        <v>126</v>
      </c>
      <c r="F241" t="s">
        <v>126</v>
      </c>
      <c r="G241" t="s">
        <v>126</v>
      </c>
    </row>
    <row r="242" spans="1:7">
      <c r="A242" t="s">
        <v>529</v>
      </c>
      <c r="B242">
        <v>7</v>
      </c>
      <c r="C242" t="s">
        <v>2368</v>
      </c>
      <c r="D242" t="s">
        <v>760</v>
      </c>
      <c r="E242" t="s">
        <v>126</v>
      </c>
      <c r="F242" t="s">
        <v>126</v>
      </c>
      <c r="G242" t="s">
        <v>126</v>
      </c>
    </row>
    <row r="243" spans="1:7">
      <c r="A243" t="s">
        <v>529</v>
      </c>
      <c r="B243">
        <v>8</v>
      </c>
      <c r="C243" t="s">
        <v>2368</v>
      </c>
      <c r="D243" t="s">
        <v>760</v>
      </c>
      <c r="E243" t="s">
        <v>126</v>
      </c>
      <c r="F243" t="s">
        <v>126</v>
      </c>
      <c r="G243" t="s">
        <v>126</v>
      </c>
    </row>
    <row r="244" spans="1:7">
      <c r="A244" t="s">
        <v>530</v>
      </c>
      <c r="B244">
        <v>1</v>
      </c>
      <c r="C244" t="s">
        <v>65</v>
      </c>
      <c r="D244" t="s">
        <v>724</v>
      </c>
      <c r="E244" t="s">
        <v>65</v>
      </c>
      <c r="F244" t="s">
        <v>126</v>
      </c>
      <c r="G244" t="s">
        <v>126</v>
      </c>
    </row>
    <row r="245" spans="1:7">
      <c r="A245" t="s">
        <v>530</v>
      </c>
      <c r="B245">
        <v>2</v>
      </c>
      <c r="C245" t="s">
        <v>103</v>
      </c>
      <c r="D245" t="s">
        <v>724</v>
      </c>
      <c r="E245" t="s">
        <v>103</v>
      </c>
      <c r="F245" t="s">
        <v>126</v>
      </c>
      <c r="G245" t="s">
        <v>126</v>
      </c>
    </row>
    <row r="246" spans="1:7">
      <c r="A246" t="s">
        <v>530</v>
      </c>
      <c r="B246">
        <v>3</v>
      </c>
      <c r="C246" t="s">
        <v>66</v>
      </c>
      <c r="D246" t="s">
        <v>724</v>
      </c>
      <c r="E246" t="s">
        <v>66</v>
      </c>
      <c r="F246" t="s">
        <v>126</v>
      </c>
      <c r="G246" t="s">
        <v>126</v>
      </c>
    </row>
    <row r="247" spans="1:7">
      <c r="A247" t="s">
        <v>530</v>
      </c>
      <c r="B247">
        <v>4</v>
      </c>
      <c r="C247" t="s">
        <v>78</v>
      </c>
      <c r="D247" t="s">
        <v>724</v>
      </c>
      <c r="E247" t="s">
        <v>78</v>
      </c>
      <c r="F247" t="s">
        <v>126</v>
      </c>
      <c r="G247" t="s">
        <v>126</v>
      </c>
    </row>
    <row r="248" spans="1:7">
      <c r="A248" t="s">
        <v>530</v>
      </c>
      <c r="B248">
        <v>5</v>
      </c>
      <c r="C248" t="s">
        <v>84</v>
      </c>
      <c r="D248" t="s">
        <v>724</v>
      </c>
      <c r="E248" t="s">
        <v>84</v>
      </c>
      <c r="F248" t="s">
        <v>126</v>
      </c>
      <c r="G248" t="s">
        <v>126</v>
      </c>
    </row>
    <row r="249" spans="1:7">
      <c r="A249" t="s">
        <v>530</v>
      </c>
      <c r="B249">
        <v>6</v>
      </c>
      <c r="C249" t="s">
        <v>91</v>
      </c>
      <c r="D249" t="s">
        <v>724</v>
      </c>
      <c r="E249" t="s">
        <v>91</v>
      </c>
      <c r="F249" t="s">
        <v>126</v>
      </c>
      <c r="G249" t="s">
        <v>126</v>
      </c>
    </row>
    <row r="250" spans="1:7">
      <c r="A250" t="s">
        <v>530</v>
      </c>
      <c r="B250">
        <v>7</v>
      </c>
      <c r="C250" t="s">
        <v>332</v>
      </c>
      <c r="D250" t="s">
        <v>724</v>
      </c>
      <c r="E250" t="s">
        <v>332</v>
      </c>
      <c r="F250" t="s">
        <v>126</v>
      </c>
      <c r="G250" t="s">
        <v>545</v>
      </c>
    </row>
    <row r="251" spans="1:7">
      <c r="A251" t="s">
        <v>530</v>
      </c>
      <c r="B251">
        <v>8</v>
      </c>
      <c r="C251" t="s">
        <v>98</v>
      </c>
      <c r="D251" t="s">
        <v>724</v>
      </c>
      <c r="E251" t="s">
        <v>98</v>
      </c>
      <c r="F251" t="s">
        <v>126</v>
      </c>
      <c r="G251" t="s">
        <v>126</v>
      </c>
    </row>
    <row r="252" spans="1:7">
      <c r="A252" t="s">
        <v>531</v>
      </c>
      <c r="B252">
        <v>1</v>
      </c>
      <c r="C252" t="s">
        <v>67</v>
      </c>
      <c r="D252" t="s">
        <v>724</v>
      </c>
      <c r="E252" t="s">
        <v>67</v>
      </c>
      <c r="F252" t="s">
        <v>126</v>
      </c>
      <c r="G252" t="s">
        <v>126</v>
      </c>
    </row>
    <row r="253" spans="1:7">
      <c r="A253" t="s">
        <v>531</v>
      </c>
      <c r="B253">
        <v>2</v>
      </c>
      <c r="C253" t="s">
        <v>70</v>
      </c>
      <c r="D253" t="s">
        <v>724</v>
      </c>
      <c r="E253" t="s">
        <v>70</v>
      </c>
      <c r="F253" t="s">
        <v>126</v>
      </c>
      <c r="G253" t="s">
        <v>126</v>
      </c>
    </row>
    <row r="254" spans="1:7">
      <c r="A254" t="s">
        <v>531</v>
      </c>
      <c r="B254">
        <v>3</v>
      </c>
      <c r="C254" t="s">
        <v>87</v>
      </c>
      <c r="D254" t="s">
        <v>724</v>
      </c>
      <c r="E254" t="s">
        <v>87</v>
      </c>
      <c r="F254" t="s">
        <v>126</v>
      </c>
      <c r="G254" t="s">
        <v>126</v>
      </c>
    </row>
    <row r="255" spans="1:7">
      <c r="A255" t="s">
        <v>531</v>
      </c>
      <c r="B255">
        <v>4</v>
      </c>
      <c r="C255" t="s">
        <v>93</v>
      </c>
      <c r="D255" t="s">
        <v>724</v>
      </c>
      <c r="E255" t="s">
        <v>93</v>
      </c>
      <c r="F255" t="s">
        <v>126</v>
      </c>
      <c r="G255" t="s">
        <v>126</v>
      </c>
    </row>
    <row r="256" spans="1:7">
      <c r="A256" t="s">
        <v>531</v>
      </c>
      <c r="B256">
        <v>5</v>
      </c>
      <c r="C256" t="s">
        <v>114</v>
      </c>
      <c r="D256" t="s">
        <v>724</v>
      </c>
      <c r="E256" t="s">
        <v>114</v>
      </c>
      <c r="F256" t="s">
        <v>126</v>
      </c>
      <c r="G256" t="s">
        <v>126</v>
      </c>
    </row>
    <row r="257" spans="1:7">
      <c r="A257" t="s">
        <v>531</v>
      </c>
      <c r="B257">
        <v>6</v>
      </c>
      <c r="C257" t="s">
        <v>76</v>
      </c>
      <c r="D257" t="s">
        <v>724</v>
      </c>
      <c r="E257" t="s">
        <v>76</v>
      </c>
      <c r="F257" t="s">
        <v>126</v>
      </c>
      <c r="G257" t="s">
        <v>126</v>
      </c>
    </row>
    <row r="258" spans="1:7">
      <c r="A258" t="s">
        <v>531</v>
      </c>
      <c r="B258">
        <v>7</v>
      </c>
      <c r="C258" t="s">
        <v>78</v>
      </c>
      <c r="D258" t="s">
        <v>724</v>
      </c>
      <c r="E258" t="s">
        <v>78</v>
      </c>
      <c r="F258" t="s">
        <v>126</v>
      </c>
      <c r="G258" t="s">
        <v>126</v>
      </c>
    </row>
    <row r="259" spans="1:7">
      <c r="A259" t="s">
        <v>531</v>
      </c>
      <c r="B259">
        <v>8</v>
      </c>
      <c r="C259" t="s">
        <v>98</v>
      </c>
      <c r="D259" t="s">
        <v>724</v>
      </c>
      <c r="E259" t="s">
        <v>98</v>
      </c>
      <c r="F259" t="s">
        <v>126</v>
      </c>
      <c r="G259" t="s">
        <v>126</v>
      </c>
    </row>
    <row r="260" spans="1:7">
      <c r="A260" t="s">
        <v>532</v>
      </c>
      <c r="B260">
        <v>1</v>
      </c>
      <c r="C260" t="s">
        <v>65</v>
      </c>
      <c r="D260" t="s">
        <v>724</v>
      </c>
      <c r="E260" t="s">
        <v>65</v>
      </c>
      <c r="F260" t="s">
        <v>126</v>
      </c>
      <c r="G260" t="s">
        <v>126</v>
      </c>
    </row>
    <row r="261" spans="1:7">
      <c r="A261" t="s">
        <v>532</v>
      </c>
      <c r="B261">
        <v>2</v>
      </c>
      <c r="C261" t="s">
        <v>77</v>
      </c>
      <c r="D261" t="s">
        <v>724</v>
      </c>
      <c r="E261" t="s">
        <v>77</v>
      </c>
      <c r="F261" t="s">
        <v>126</v>
      </c>
      <c r="G261" t="s">
        <v>126</v>
      </c>
    </row>
    <row r="262" spans="1:7">
      <c r="A262" t="s">
        <v>532</v>
      </c>
      <c r="B262">
        <v>3</v>
      </c>
      <c r="C262" t="s">
        <v>101</v>
      </c>
      <c r="D262" t="s">
        <v>724</v>
      </c>
      <c r="E262" t="s">
        <v>101</v>
      </c>
      <c r="F262" t="s">
        <v>126</v>
      </c>
      <c r="G262" t="s">
        <v>126</v>
      </c>
    </row>
    <row r="263" spans="1:7">
      <c r="A263" t="s">
        <v>532</v>
      </c>
      <c r="B263">
        <v>4</v>
      </c>
      <c r="C263" t="s">
        <v>74</v>
      </c>
      <c r="D263" t="s">
        <v>724</v>
      </c>
      <c r="E263" t="s">
        <v>74</v>
      </c>
      <c r="F263" t="s">
        <v>126</v>
      </c>
      <c r="G263" t="s">
        <v>126</v>
      </c>
    </row>
    <row r="264" spans="1:7">
      <c r="A264" t="s">
        <v>532</v>
      </c>
      <c r="B264">
        <v>5</v>
      </c>
      <c r="C264" t="s">
        <v>92</v>
      </c>
      <c r="D264" t="s">
        <v>724</v>
      </c>
      <c r="E264" t="s">
        <v>92</v>
      </c>
      <c r="F264" t="s">
        <v>126</v>
      </c>
      <c r="G264" t="s">
        <v>126</v>
      </c>
    </row>
    <row r="265" spans="1:7">
      <c r="A265" t="s">
        <v>532</v>
      </c>
      <c r="B265">
        <v>6</v>
      </c>
      <c r="C265" t="s">
        <v>98</v>
      </c>
      <c r="D265" t="s">
        <v>724</v>
      </c>
      <c r="E265" t="s">
        <v>98</v>
      </c>
      <c r="F265" t="s">
        <v>126</v>
      </c>
      <c r="G265" t="s">
        <v>126</v>
      </c>
    </row>
    <row r="266" spans="1:7">
      <c r="A266" t="s">
        <v>532</v>
      </c>
      <c r="B266">
        <v>7</v>
      </c>
      <c r="C266" t="s">
        <v>102</v>
      </c>
      <c r="D266" t="s">
        <v>724</v>
      </c>
      <c r="E266" t="s">
        <v>102</v>
      </c>
      <c r="F266" t="s">
        <v>126</v>
      </c>
      <c r="G266" t="s">
        <v>126</v>
      </c>
    </row>
    <row r="267" spans="1:7">
      <c r="A267" t="s">
        <v>532</v>
      </c>
      <c r="B267">
        <v>8</v>
      </c>
      <c r="C267" t="s">
        <v>106</v>
      </c>
      <c r="D267" t="s">
        <v>724</v>
      </c>
      <c r="E267" t="s">
        <v>106</v>
      </c>
      <c r="F267" t="s">
        <v>126</v>
      </c>
      <c r="G267" t="s">
        <v>126</v>
      </c>
    </row>
    <row r="268" spans="1:7">
      <c r="A268" t="s">
        <v>533</v>
      </c>
      <c r="B268">
        <v>1</v>
      </c>
      <c r="C268" t="s">
        <v>65</v>
      </c>
      <c r="D268" t="s">
        <v>724</v>
      </c>
      <c r="E268" t="s">
        <v>65</v>
      </c>
      <c r="F268" t="s">
        <v>126</v>
      </c>
      <c r="G268" t="s">
        <v>126</v>
      </c>
    </row>
    <row r="269" spans="1:7">
      <c r="A269" t="s">
        <v>533</v>
      </c>
      <c r="B269">
        <v>2</v>
      </c>
      <c r="C269" t="s">
        <v>534</v>
      </c>
      <c r="D269" t="s">
        <v>724</v>
      </c>
      <c r="E269" t="s">
        <v>534</v>
      </c>
      <c r="F269" t="s">
        <v>126</v>
      </c>
      <c r="G269" t="s">
        <v>543</v>
      </c>
    </row>
    <row r="270" spans="1:7">
      <c r="A270" t="s">
        <v>533</v>
      </c>
      <c r="B270">
        <v>3</v>
      </c>
      <c r="C270" t="s">
        <v>87</v>
      </c>
      <c r="D270" t="s">
        <v>724</v>
      </c>
      <c r="E270" t="s">
        <v>87</v>
      </c>
      <c r="F270" t="s">
        <v>126</v>
      </c>
      <c r="G270" t="s">
        <v>126</v>
      </c>
    </row>
    <row r="271" spans="1:7">
      <c r="A271" t="s">
        <v>533</v>
      </c>
      <c r="B271">
        <v>4</v>
      </c>
      <c r="C271" t="s">
        <v>78</v>
      </c>
      <c r="D271" t="s">
        <v>724</v>
      </c>
      <c r="E271" t="s">
        <v>78</v>
      </c>
      <c r="F271" t="s">
        <v>126</v>
      </c>
      <c r="G271" t="s">
        <v>126</v>
      </c>
    </row>
    <row r="272" spans="1:7">
      <c r="A272" t="s">
        <v>533</v>
      </c>
      <c r="B272">
        <v>5</v>
      </c>
      <c r="C272" t="s">
        <v>98</v>
      </c>
      <c r="D272" t="s">
        <v>724</v>
      </c>
      <c r="E272" t="s">
        <v>98</v>
      </c>
      <c r="F272" t="s">
        <v>126</v>
      </c>
      <c r="G272" t="s">
        <v>126</v>
      </c>
    </row>
    <row r="273" spans="1:7">
      <c r="A273" t="s">
        <v>533</v>
      </c>
      <c r="B273">
        <v>6</v>
      </c>
      <c r="C273" t="s">
        <v>102</v>
      </c>
      <c r="D273" t="s">
        <v>724</v>
      </c>
      <c r="E273" t="s">
        <v>102</v>
      </c>
      <c r="F273" t="s">
        <v>126</v>
      </c>
      <c r="G273" t="s">
        <v>126</v>
      </c>
    </row>
    <row r="274" spans="1:7">
      <c r="A274" t="s">
        <v>533</v>
      </c>
      <c r="B274">
        <v>7</v>
      </c>
      <c r="C274" t="s">
        <v>2368</v>
      </c>
      <c r="D274" t="s">
        <v>760</v>
      </c>
      <c r="E274" t="s">
        <v>126</v>
      </c>
      <c r="F274" t="s">
        <v>126</v>
      </c>
      <c r="G274" t="s">
        <v>126</v>
      </c>
    </row>
    <row r="275" spans="1:7">
      <c r="A275" t="s">
        <v>533</v>
      </c>
      <c r="B275">
        <v>8</v>
      </c>
      <c r="C275" t="s">
        <v>2368</v>
      </c>
      <c r="D275" t="s">
        <v>760</v>
      </c>
      <c r="E275" t="s">
        <v>126</v>
      </c>
      <c r="F275" t="s">
        <v>126</v>
      </c>
      <c r="G275" t="s">
        <v>126</v>
      </c>
    </row>
    <row r="276" spans="1:7">
      <c r="A276" t="s">
        <v>536</v>
      </c>
      <c r="B276">
        <v>1</v>
      </c>
      <c r="C276" t="s">
        <v>65</v>
      </c>
      <c r="D276" t="s">
        <v>724</v>
      </c>
      <c r="E276" t="s">
        <v>65</v>
      </c>
      <c r="F276" t="s">
        <v>126</v>
      </c>
      <c r="G276" t="s">
        <v>126</v>
      </c>
    </row>
    <row r="277" spans="1:7">
      <c r="A277" t="s">
        <v>536</v>
      </c>
      <c r="B277">
        <v>2</v>
      </c>
      <c r="C277" t="s">
        <v>486</v>
      </c>
      <c r="D277" t="s">
        <v>724</v>
      </c>
      <c r="E277" t="s">
        <v>486</v>
      </c>
      <c r="F277" t="s">
        <v>126</v>
      </c>
      <c r="G277" t="s">
        <v>544</v>
      </c>
    </row>
    <row r="278" spans="1:7">
      <c r="A278" t="s">
        <v>536</v>
      </c>
      <c r="B278">
        <v>3</v>
      </c>
      <c r="C278" t="s">
        <v>103</v>
      </c>
      <c r="D278" t="s">
        <v>724</v>
      </c>
      <c r="E278" t="s">
        <v>103</v>
      </c>
      <c r="F278" t="s">
        <v>126</v>
      </c>
      <c r="G278" t="s">
        <v>126</v>
      </c>
    </row>
    <row r="279" spans="1:7">
      <c r="A279" t="s">
        <v>536</v>
      </c>
      <c r="B279">
        <v>4</v>
      </c>
      <c r="C279" t="s">
        <v>336</v>
      </c>
      <c r="D279" t="s">
        <v>2365</v>
      </c>
      <c r="E279" t="s">
        <v>126</v>
      </c>
      <c r="F279" t="s">
        <v>2369</v>
      </c>
      <c r="G279" t="s">
        <v>297</v>
      </c>
    </row>
    <row r="280" spans="1:7">
      <c r="A280" t="s">
        <v>536</v>
      </c>
      <c r="B280">
        <v>5</v>
      </c>
      <c r="C280" t="s">
        <v>74</v>
      </c>
      <c r="D280" t="s">
        <v>724</v>
      </c>
      <c r="E280" t="s">
        <v>74</v>
      </c>
      <c r="F280" t="s">
        <v>126</v>
      </c>
      <c r="G280" t="s">
        <v>126</v>
      </c>
    </row>
    <row r="281" spans="1:7">
      <c r="A281" t="s">
        <v>536</v>
      </c>
      <c r="B281">
        <v>6</v>
      </c>
      <c r="C281" t="s">
        <v>528</v>
      </c>
      <c r="D281" t="s">
        <v>2365</v>
      </c>
      <c r="E281" t="s">
        <v>126</v>
      </c>
      <c r="F281" t="s">
        <v>2376</v>
      </c>
      <c r="G281" t="s">
        <v>358</v>
      </c>
    </row>
    <row r="282" spans="1:7">
      <c r="A282" t="s">
        <v>536</v>
      </c>
      <c r="B282">
        <v>7</v>
      </c>
      <c r="C282" t="s">
        <v>106</v>
      </c>
      <c r="D282" t="s">
        <v>724</v>
      </c>
      <c r="E282" t="s">
        <v>106</v>
      </c>
      <c r="F282" t="s">
        <v>126</v>
      </c>
      <c r="G282" t="s">
        <v>126</v>
      </c>
    </row>
    <row r="283" spans="1:7">
      <c r="A283" t="s">
        <v>536</v>
      </c>
      <c r="B283">
        <v>8</v>
      </c>
      <c r="C283" t="s">
        <v>107</v>
      </c>
      <c r="D283" t="s">
        <v>724</v>
      </c>
      <c r="E283" t="s">
        <v>107</v>
      </c>
      <c r="F283" t="s">
        <v>126</v>
      </c>
      <c r="G283" t="s">
        <v>126</v>
      </c>
    </row>
    <row r="284" spans="1:7">
      <c r="A284" t="s">
        <v>537</v>
      </c>
      <c r="B284">
        <v>1</v>
      </c>
      <c r="C284" t="s">
        <v>65</v>
      </c>
      <c r="D284" t="s">
        <v>724</v>
      </c>
      <c r="E284" t="s">
        <v>65</v>
      </c>
      <c r="F284" t="s">
        <v>126</v>
      </c>
      <c r="G284" t="s">
        <v>126</v>
      </c>
    </row>
    <row r="285" spans="1:7">
      <c r="A285" t="s">
        <v>537</v>
      </c>
      <c r="B285">
        <v>2</v>
      </c>
      <c r="C285" t="s">
        <v>93</v>
      </c>
      <c r="D285" t="s">
        <v>724</v>
      </c>
      <c r="E285" t="s">
        <v>93</v>
      </c>
      <c r="F285" t="s">
        <v>126</v>
      </c>
      <c r="G285" t="s">
        <v>126</v>
      </c>
    </row>
    <row r="286" spans="1:7">
      <c r="A286" t="s">
        <v>537</v>
      </c>
      <c r="B286">
        <v>3</v>
      </c>
      <c r="C286" t="s">
        <v>99</v>
      </c>
      <c r="D286" t="s">
        <v>724</v>
      </c>
      <c r="E286" t="s">
        <v>99</v>
      </c>
      <c r="F286" t="s">
        <v>126</v>
      </c>
      <c r="G286" t="s">
        <v>126</v>
      </c>
    </row>
    <row r="287" spans="1:7">
      <c r="A287" t="s">
        <v>537</v>
      </c>
      <c r="B287">
        <v>4</v>
      </c>
      <c r="C287" t="s">
        <v>101</v>
      </c>
      <c r="D287" t="s">
        <v>724</v>
      </c>
      <c r="E287" t="s">
        <v>101</v>
      </c>
      <c r="F287" t="s">
        <v>126</v>
      </c>
      <c r="G287" t="s">
        <v>126</v>
      </c>
    </row>
    <row r="288" spans="1:7">
      <c r="A288" t="s">
        <v>537</v>
      </c>
      <c r="B288">
        <v>5</v>
      </c>
      <c r="C288" t="s">
        <v>115</v>
      </c>
      <c r="D288" t="s">
        <v>724</v>
      </c>
      <c r="E288" t="s">
        <v>115</v>
      </c>
      <c r="F288" t="s">
        <v>126</v>
      </c>
      <c r="G288" t="s">
        <v>126</v>
      </c>
    </row>
    <row r="289" spans="1:7">
      <c r="A289" t="s">
        <v>537</v>
      </c>
      <c r="B289">
        <v>6</v>
      </c>
      <c r="C289" t="s">
        <v>61</v>
      </c>
      <c r="D289" t="s">
        <v>724</v>
      </c>
      <c r="E289" t="s">
        <v>61</v>
      </c>
      <c r="F289" t="s">
        <v>126</v>
      </c>
      <c r="G289" t="s">
        <v>126</v>
      </c>
    </row>
    <row r="290" spans="1:7">
      <c r="A290" t="s">
        <v>537</v>
      </c>
      <c r="B290">
        <v>7</v>
      </c>
      <c r="C290" t="s">
        <v>68</v>
      </c>
      <c r="D290" t="s">
        <v>724</v>
      </c>
      <c r="E290" t="s">
        <v>68</v>
      </c>
      <c r="F290" t="s">
        <v>126</v>
      </c>
      <c r="G290" t="s">
        <v>126</v>
      </c>
    </row>
    <row r="291" spans="1:7">
      <c r="A291" t="s">
        <v>537</v>
      </c>
      <c r="B291">
        <v>8</v>
      </c>
      <c r="C291" t="s">
        <v>108</v>
      </c>
      <c r="D291" t="s">
        <v>724</v>
      </c>
      <c r="E291" t="s">
        <v>108</v>
      </c>
      <c r="F291" t="s">
        <v>126</v>
      </c>
      <c r="G291" t="s">
        <v>126</v>
      </c>
    </row>
    <row r="292" spans="1:7">
      <c r="A292" t="s">
        <v>538</v>
      </c>
      <c r="B292">
        <v>1</v>
      </c>
      <c r="C292" t="s">
        <v>83</v>
      </c>
      <c r="D292" t="s">
        <v>724</v>
      </c>
      <c r="E292" t="s">
        <v>83</v>
      </c>
      <c r="F292" t="s">
        <v>126</v>
      </c>
      <c r="G292" t="s">
        <v>126</v>
      </c>
    </row>
    <row r="293" spans="1:7">
      <c r="A293" t="s">
        <v>538</v>
      </c>
      <c r="B293">
        <v>2</v>
      </c>
      <c r="C293" t="s">
        <v>87</v>
      </c>
      <c r="D293" t="s">
        <v>724</v>
      </c>
      <c r="E293" t="s">
        <v>87</v>
      </c>
      <c r="F293" t="s">
        <v>126</v>
      </c>
      <c r="G293" t="s">
        <v>126</v>
      </c>
    </row>
    <row r="294" spans="1:7">
      <c r="A294" t="s">
        <v>538</v>
      </c>
      <c r="B294">
        <v>3</v>
      </c>
      <c r="C294" t="s">
        <v>504</v>
      </c>
      <c r="D294" t="s">
        <v>2365</v>
      </c>
      <c r="E294" t="s">
        <v>126</v>
      </c>
      <c r="F294" t="s">
        <v>2366</v>
      </c>
      <c r="G294" t="s">
        <v>544</v>
      </c>
    </row>
    <row r="295" spans="1:7">
      <c r="A295" t="s">
        <v>538</v>
      </c>
      <c r="B295">
        <v>4</v>
      </c>
      <c r="C295" t="s">
        <v>336</v>
      </c>
      <c r="D295" t="s">
        <v>2365</v>
      </c>
      <c r="E295" t="s">
        <v>126</v>
      </c>
      <c r="F295" t="s">
        <v>2369</v>
      </c>
      <c r="G295" t="s">
        <v>297</v>
      </c>
    </row>
    <row r="296" spans="1:7">
      <c r="A296" t="s">
        <v>538</v>
      </c>
      <c r="B296">
        <v>5</v>
      </c>
      <c r="C296" t="s">
        <v>300</v>
      </c>
      <c r="D296" t="s">
        <v>2365</v>
      </c>
      <c r="E296" t="s">
        <v>126</v>
      </c>
      <c r="F296" t="s">
        <v>2377</v>
      </c>
      <c r="G296" t="s">
        <v>545</v>
      </c>
    </row>
    <row r="297" spans="1:7">
      <c r="A297" t="s">
        <v>538</v>
      </c>
      <c r="B297">
        <v>6</v>
      </c>
      <c r="C297" t="s">
        <v>300</v>
      </c>
      <c r="D297" t="s">
        <v>2365</v>
      </c>
      <c r="E297" t="s">
        <v>126</v>
      </c>
      <c r="F297" t="s">
        <v>2377</v>
      </c>
      <c r="G297" t="s">
        <v>545</v>
      </c>
    </row>
    <row r="298" spans="1:7">
      <c r="A298" t="s">
        <v>538</v>
      </c>
      <c r="B298">
        <v>7</v>
      </c>
      <c r="C298" t="s">
        <v>300</v>
      </c>
      <c r="D298" t="s">
        <v>2365</v>
      </c>
      <c r="E298" t="s">
        <v>126</v>
      </c>
      <c r="F298" t="s">
        <v>2377</v>
      </c>
      <c r="G298" t="s">
        <v>545</v>
      </c>
    </row>
    <row r="299" spans="1:7">
      <c r="A299" t="s">
        <v>538</v>
      </c>
      <c r="B299">
        <v>8</v>
      </c>
      <c r="C299" t="s">
        <v>2370</v>
      </c>
      <c r="D299" t="s">
        <v>1669</v>
      </c>
      <c r="E299" t="s">
        <v>126</v>
      </c>
      <c r="F299" t="s">
        <v>2378</v>
      </c>
      <c r="G299" t="s">
        <v>126</v>
      </c>
    </row>
    <row r="300" spans="1:7">
      <c r="A300" t="s">
        <v>539</v>
      </c>
      <c r="B300">
        <v>1</v>
      </c>
      <c r="C300" t="s">
        <v>83</v>
      </c>
      <c r="D300" t="s">
        <v>724</v>
      </c>
      <c r="E300" t="s">
        <v>83</v>
      </c>
      <c r="F300" t="s">
        <v>126</v>
      </c>
      <c r="G300" t="s">
        <v>126</v>
      </c>
    </row>
    <row r="301" spans="1:7">
      <c r="A301" t="s">
        <v>539</v>
      </c>
      <c r="B301">
        <v>2</v>
      </c>
      <c r="C301" t="s">
        <v>93</v>
      </c>
      <c r="D301" t="s">
        <v>724</v>
      </c>
      <c r="E301" t="s">
        <v>93</v>
      </c>
      <c r="F301" t="s">
        <v>126</v>
      </c>
      <c r="G301" t="s">
        <v>126</v>
      </c>
    </row>
    <row r="302" spans="1:7">
      <c r="A302" t="s">
        <v>539</v>
      </c>
      <c r="B302">
        <v>3</v>
      </c>
      <c r="C302" t="s">
        <v>109</v>
      </c>
      <c r="D302" t="s">
        <v>724</v>
      </c>
      <c r="E302" t="s">
        <v>109</v>
      </c>
      <c r="F302" t="s">
        <v>126</v>
      </c>
      <c r="G302" t="s">
        <v>126</v>
      </c>
    </row>
    <row r="303" spans="1:7">
      <c r="A303" t="s">
        <v>539</v>
      </c>
      <c r="B303">
        <v>4</v>
      </c>
      <c r="C303" t="s">
        <v>336</v>
      </c>
      <c r="D303" t="s">
        <v>2365</v>
      </c>
      <c r="E303" t="s">
        <v>126</v>
      </c>
      <c r="F303" t="s">
        <v>2369</v>
      </c>
      <c r="G303" t="s">
        <v>297</v>
      </c>
    </row>
    <row r="304" spans="1:7">
      <c r="A304" t="s">
        <v>539</v>
      </c>
      <c r="B304">
        <v>5</v>
      </c>
      <c r="C304" t="s">
        <v>115</v>
      </c>
      <c r="D304" t="s">
        <v>724</v>
      </c>
      <c r="E304" t="s">
        <v>115</v>
      </c>
      <c r="F304" t="s">
        <v>126</v>
      </c>
      <c r="G304" t="s">
        <v>126</v>
      </c>
    </row>
    <row r="305" spans="1:7">
      <c r="A305" t="s">
        <v>539</v>
      </c>
      <c r="B305">
        <v>6</v>
      </c>
      <c r="C305" t="s">
        <v>61</v>
      </c>
      <c r="D305" t="s">
        <v>724</v>
      </c>
      <c r="E305" t="s">
        <v>61</v>
      </c>
      <c r="F305" t="s">
        <v>126</v>
      </c>
      <c r="G305" t="s">
        <v>126</v>
      </c>
    </row>
    <row r="306" spans="1:7">
      <c r="A306" t="s">
        <v>539</v>
      </c>
      <c r="B306">
        <v>7</v>
      </c>
      <c r="C306" t="s">
        <v>78</v>
      </c>
      <c r="D306" t="s">
        <v>724</v>
      </c>
      <c r="E306" t="s">
        <v>78</v>
      </c>
      <c r="F306" t="s">
        <v>126</v>
      </c>
      <c r="G306" t="s">
        <v>126</v>
      </c>
    </row>
    <row r="307" spans="1:7">
      <c r="A307" t="s">
        <v>539</v>
      </c>
      <c r="B307">
        <v>8</v>
      </c>
      <c r="C307" t="s">
        <v>98</v>
      </c>
      <c r="D307" t="s">
        <v>724</v>
      </c>
      <c r="E307" t="s">
        <v>98</v>
      </c>
      <c r="F307" t="s">
        <v>126</v>
      </c>
      <c r="G307" t="s">
        <v>126</v>
      </c>
    </row>
    <row r="308" spans="1:7">
      <c r="A308" t="s">
        <v>540</v>
      </c>
      <c r="B308">
        <v>1</v>
      </c>
      <c r="C308" t="s">
        <v>65</v>
      </c>
      <c r="D308" t="s">
        <v>724</v>
      </c>
      <c r="E308" t="s">
        <v>65</v>
      </c>
      <c r="F308" t="s">
        <v>126</v>
      </c>
      <c r="G308" t="s">
        <v>126</v>
      </c>
    </row>
    <row r="309" spans="1:7">
      <c r="A309" t="s">
        <v>540</v>
      </c>
      <c r="B309">
        <v>2</v>
      </c>
      <c r="C309" t="s">
        <v>75</v>
      </c>
      <c r="D309" t="s">
        <v>724</v>
      </c>
      <c r="E309" t="s">
        <v>75</v>
      </c>
      <c r="F309" t="s">
        <v>126</v>
      </c>
      <c r="G309" t="s">
        <v>126</v>
      </c>
    </row>
    <row r="310" spans="1:7">
      <c r="A310" t="s">
        <v>540</v>
      </c>
      <c r="B310">
        <v>3</v>
      </c>
      <c r="C310" t="s">
        <v>77</v>
      </c>
      <c r="D310" t="s">
        <v>724</v>
      </c>
      <c r="E310" t="s">
        <v>77</v>
      </c>
      <c r="F310" t="s">
        <v>126</v>
      </c>
      <c r="G310" t="s">
        <v>126</v>
      </c>
    </row>
    <row r="311" spans="1:7">
      <c r="A311" t="s">
        <v>540</v>
      </c>
      <c r="B311">
        <v>4</v>
      </c>
      <c r="C311" t="s">
        <v>99</v>
      </c>
      <c r="D311" t="s">
        <v>724</v>
      </c>
      <c r="E311" t="s">
        <v>99</v>
      </c>
      <c r="F311" t="s">
        <v>126</v>
      </c>
      <c r="G311" t="s">
        <v>126</v>
      </c>
    </row>
    <row r="312" spans="1:7">
      <c r="A312" t="s">
        <v>540</v>
      </c>
      <c r="B312">
        <v>5</v>
      </c>
      <c r="C312" t="s">
        <v>101</v>
      </c>
      <c r="D312" t="s">
        <v>724</v>
      </c>
      <c r="E312" t="s">
        <v>101</v>
      </c>
      <c r="F312" t="s">
        <v>126</v>
      </c>
      <c r="G312" t="s">
        <v>126</v>
      </c>
    </row>
    <row r="313" spans="1:7">
      <c r="A313" t="s">
        <v>540</v>
      </c>
      <c r="B313">
        <v>6</v>
      </c>
      <c r="C313" t="s">
        <v>113</v>
      </c>
      <c r="D313" t="s">
        <v>724</v>
      </c>
      <c r="E313" t="s">
        <v>113</v>
      </c>
      <c r="F313" t="s">
        <v>126</v>
      </c>
      <c r="G313" t="s">
        <v>126</v>
      </c>
    </row>
    <row r="314" spans="1:7">
      <c r="A314" t="s">
        <v>540</v>
      </c>
      <c r="B314">
        <v>7</v>
      </c>
      <c r="C314" t="s">
        <v>445</v>
      </c>
      <c r="D314" t="s">
        <v>724</v>
      </c>
      <c r="E314" t="s">
        <v>445</v>
      </c>
      <c r="F314" t="s">
        <v>126</v>
      </c>
      <c r="G314" t="s">
        <v>331</v>
      </c>
    </row>
    <row r="315" spans="1:7">
      <c r="A315" t="s">
        <v>540</v>
      </c>
      <c r="B315">
        <v>8</v>
      </c>
      <c r="C315" t="s">
        <v>108</v>
      </c>
      <c r="D315" t="s">
        <v>724</v>
      </c>
      <c r="E315" t="s">
        <v>108</v>
      </c>
      <c r="F315" t="s">
        <v>126</v>
      </c>
      <c r="G315" t="s">
        <v>126</v>
      </c>
    </row>
    <row r="316" spans="1:7">
      <c r="A316" t="s">
        <v>541</v>
      </c>
      <c r="B316">
        <v>1</v>
      </c>
      <c r="C316" t="s">
        <v>67</v>
      </c>
      <c r="D316" t="s">
        <v>724</v>
      </c>
      <c r="E316" t="s">
        <v>67</v>
      </c>
      <c r="F316" t="s">
        <v>126</v>
      </c>
      <c r="G316" t="s">
        <v>126</v>
      </c>
    </row>
    <row r="317" spans="1:7">
      <c r="A317" t="s">
        <v>541</v>
      </c>
      <c r="B317">
        <v>2</v>
      </c>
      <c r="C317" t="s">
        <v>336</v>
      </c>
      <c r="D317" t="s">
        <v>2365</v>
      </c>
      <c r="E317" t="s">
        <v>126</v>
      </c>
      <c r="F317" t="s">
        <v>2369</v>
      </c>
      <c r="G317" t="s">
        <v>297</v>
      </c>
    </row>
    <row r="318" spans="1:7">
      <c r="A318" t="s">
        <v>541</v>
      </c>
      <c r="B318">
        <v>3</v>
      </c>
      <c r="C318" t="s">
        <v>336</v>
      </c>
      <c r="D318" t="s">
        <v>2365</v>
      </c>
      <c r="E318" t="s">
        <v>126</v>
      </c>
      <c r="F318" t="s">
        <v>2369</v>
      </c>
      <c r="G318" t="s">
        <v>297</v>
      </c>
    </row>
    <row r="319" spans="1:7">
      <c r="A319" t="s">
        <v>541</v>
      </c>
      <c r="B319">
        <v>4</v>
      </c>
      <c r="C319" t="s">
        <v>336</v>
      </c>
      <c r="D319" t="s">
        <v>2365</v>
      </c>
      <c r="E319" t="s">
        <v>126</v>
      </c>
      <c r="F319" t="s">
        <v>2369</v>
      </c>
      <c r="G319" t="s">
        <v>297</v>
      </c>
    </row>
    <row r="320" spans="1:7">
      <c r="A320" t="s">
        <v>541</v>
      </c>
      <c r="B320">
        <v>5</v>
      </c>
      <c r="C320" t="s">
        <v>114</v>
      </c>
      <c r="D320" t="s">
        <v>724</v>
      </c>
      <c r="E320" t="s">
        <v>114</v>
      </c>
      <c r="F320" t="s">
        <v>126</v>
      </c>
      <c r="G320" t="s">
        <v>126</v>
      </c>
    </row>
    <row r="321" spans="1:7">
      <c r="A321" t="s">
        <v>541</v>
      </c>
      <c r="B321">
        <v>6</v>
      </c>
      <c r="C321" t="s">
        <v>115</v>
      </c>
      <c r="D321" t="s">
        <v>724</v>
      </c>
      <c r="E321" t="s">
        <v>115</v>
      </c>
      <c r="F321" t="s">
        <v>126</v>
      </c>
      <c r="G321" t="s">
        <v>126</v>
      </c>
    </row>
    <row r="322" spans="1:7">
      <c r="A322" t="s">
        <v>541</v>
      </c>
      <c r="B322">
        <v>7</v>
      </c>
      <c r="C322" t="s">
        <v>78</v>
      </c>
      <c r="D322" t="s">
        <v>724</v>
      </c>
      <c r="E322" t="s">
        <v>78</v>
      </c>
      <c r="F322" t="s">
        <v>126</v>
      </c>
      <c r="G322" t="s">
        <v>126</v>
      </c>
    </row>
    <row r="323" spans="1:7">
      <c r="A323" t="s">
        <v>541</v>
      </c>
      <c r="B323">
        <v>8</v>
      </c>
      <c r="C323" t="s">
        <v>2368</v>
      </c>
      <c r="D323" t="s">
        <v>760</v>
      </c>
      <c r="E323" t="s">
        <v>126</v>
      </c>
      <c r="F323" t="s">
        <v>126</v>
      </c>
      <c r="G323" t="s">
        <v>126</v>
      </c>
    </row>
    <row r="324" spans="1:7">
      <c r="A324" t="s">
        <v>542</v>
      </c>
      <c r="B324">
        <v>1</v>
      </c>
      <c r="C324" t="s">
        <v>65</v>
      </c>
      <c r="D324" t="s">
        <v>724</v>
      </c>
      <c r="E324" t="s">
        <v>65</v>
      </c>
      <c r="F324" t="s">
        <v>126</v>
      </c>
      <c r="G324" t="s">
        <v>126</v>
      </c>
    </row>
    <row r="325" spans="1:7">
      <c r="A325" t="s">
        <v>542</v>
      </c>
      <c r="B325">
        <v>2</v>
      </c>
      <c r="C325" t="s">
        <v>77</v>
      </c>
      <c r="D325" t="s">
        <v>724</v>
      </c>
      <c r="E325" t="s">
        <v>77</v>
      </c>
      <c r="F325" t="s">
        <v>126</v>
      </c>
      <c r="G325" t="s">
        <v>126</v>
      </c>
    </row>
    <row r="326" spans="1:7">
      <c r="A326" t="s">
        <v>542</v>
      </c>
      <c r="B326">
        <v>3</v>
      </c>
      <c r="C326" t="s">
        <v>504</v>
      </c>
      <c r="D326" t="s">
        <v>2365</v>
      </c>
      <c r="E326" t="s">
        <v>126</v>
      </c>
      <c r="F326" t="s">
        <v>2366</v>
      </c>
      <c r="G326" t="s">
        <v>544</v>
      </c>
    </row>
    <row r="327" spans="1:7">
      <c r="A327" t="s">
        <v>542</v>
      </c>
      <c r="B327">
        <v>4</v>
      </c>
      <c r="C327" t="s">
        <v>61</v>
      </c>
      <c r="D327" t="s">
        <v>724</v>
      </c>
      <c r="E327" t="s">
        <v>61</v>
      </c>
      <c r="F327" t="s">
        <v>126</v>
      </c>
      <c r="G327" t="s">
        <v>126</v>
      </c>
    </row>
    <row r="328" spans="1:7">
      <c r="A328" t="s">
        <v>542</v>
      </c>
      <c r="B328">
        <v>5</v>
      </c>
      <c r="C328" t="s">
        <v>74</v>
      </c>
      <c r="D328" t="s">
        <v>724</v>
      </c>
      <c r="E328" t="s">
        <v>74</v>
      </c>
      <c r="F328" t="s">
        <v>126</v>
      </c>
      <c r="G328" t="s">
        <v>126</v>
      </c>
    </row>
    <row r="329" spans="1:7">
      <c r="A329" t="s">
        <v>542</v>
      </c>
      <c r="B329">
        <v>6</v>
      </c>
      <c r="C329" t="s">
        <v>78</v>
      </c>
      <c r="D329" t="s">
        <v>724</v>
      </c>
      <c r="E329" t="s">
        <v>78</v>
      </c>
      <c r="F329" t="s">
        <v>126</v>
      </c>
      <c r="G329" t="s">
        <v>126</v>
      </c>
    </row>
    <row r="330" spans="1:7">
      <c r="A330" t="s">
        <v>542</v>
      </c>
      <c r="B330">
        <v>7</v>
      </c>
      <c r="C330" t="s">
        <v>98</v>
      </c>
      <c r="D330" t="s">
        <v>724</v>
      </c>
      <c r="E330" t="s">
        <v>98</v>
      </c>
      <c r="F330" t="s">
        <v>126</v>
      </c>
      <c r="G330" t="s">
        <v>126</v>
      </c>
    </row>
    <row r="331" spans="1:7">
      <c r="A331" t="s">
        <v>542</v>
      </c>
      <c r="B331">
        <v>8</v>
      </c>
      <c r="C331" t="s">
        <v>102</v>
      </c>
      <c r="D331" t="s">
        <v>724</v>
      </c>
      <c r="E331" t="s">
        <v>102</v>
      </c>
      <c r="F331" t="s">
        <v>126</v>
      </c>
      <c r="G331" t="s">
        <v>126</v>
      </c>
    </row>
    <row r="400" spans="1:1">
      <c r="A400" t="s">
        <v>2379</v>
      </c>
    </row>
    <row r="401" spans="1:1">
      <c r="A401" t="s">
        <v>2380</v>
      </c>
    </row>
    <row r="402" spans="1:1">
      <c r="A402" t="s">
        <v>2381</v>
      </c>
    </row>
    <row r="403" spans="1:1">
      <c r="A403" t="s">
        <v>2382</v>
      </c>
    </row>
    <row r="404" spans="1:1">
      <c r="A404" t="s">
        <v>2383</v>
      </c>
    </row>
    <row r="405" spans="1:1">
      <c r="A405" t="s">
        <v>2384</v>
      </c>
    </row>
    <row r="406" spans="1:1">
      <c r="A406" t="s">
        <v>2385</v>
      </c>
    </row>
    <row r="407" spans="1:1">
      <c r="A407" t="s">
        <v>2386</v>
      </c>
    </row>
    <row r="500" spans="1:9">
      <c r="A500" t="s">
        <v>2387</v>
      </c>
      <c r="B500" t="s">
        <v>108</v>
      </c>
      <c r="C500" t="s">
        <v>2347</v>
      </c>
      <c r="D500" t="s">
        <v>2388</v>
      </c>
      <c r="E500" t="s">
        <v>2389</v>
      </c>
      <c r="F500" t="s">
        <v>2390</v>
      </c>
      <c r="G500" t="s">
        <v>126</v>
      </c>
      <c r="H500" t="s">
        <v>126</v>
      </c>
      <c r="I500" t="s">
        <v>2391</v>
      </c>
    </row>
    <row r="501" spans="1:9">
      <c r="A501" t="s">
        <v>2392</v>
      </c>
      <c r="B501" t="s">
        <v>108</v>
      </c>
      <c r="C501" t="s">
        <v>2347</v>
      </c>
      <c r="D501" t="s">
        <v>2393</v>
      </c>
      <c r="E501" t="s">
        <v>2389</v>
      </c>
      <c r="F501" t="s">
        <v>2390</v>
      </c>
      <c r="G501" t="s">
        <v>126</v>
      </c>
      <c r="H501" t="s">
        <v>126</v>
      </c>
      <c r="I501" t="s">
        <v>2394</v>
      </c>
    </row>
    <row r="502" spans="1:9">
      <c r="A502" t="s">
        <v>2395</v>
      </c>
      <c r="B502" t="s">
        <v>108</v>
      </c>
      <c r="C502" t="s">
        <v>2347</v>
      </c>
      <c r="D502" t="s">
        <v>617</v>
      </c>
      <c r="E502" t="s">
        <v>2389</v>
      </c>
      <c r="F502" t="s">
        <v>2390</v>
      </c>
      <c r="G502" t="s">
        <v>126</v>
      </c>
      <c r="H502" t="s">
        <v>2396</v>
      </c>
      <c r="I502" t="s">
        <v>2394</v>
      </c>
    </row>
    <row r="503" spans="1:9">
      <c r="A503" t="s">
        <v>63</v>
      </c>
      <c r="B503" t="s">
        <v>68</v>
      </c>
      <c r="C503" t="s">
        <v>2303</v>
      </c>
      <c r="D503" t="s">
        <v>2393</v>
      </c>
      <c r="E503" t="s">
        <v>2397</v>
      </c>
      <c r="F503" t="s">
        <v>2390</v>
      </c>
      <c r="G503" t="s">
        <v>126</v>
      </c>
      <c r="H503" t="s">
        <v>126</v>
      </c>
      <c r="I503" t="s">
        <v>2394</v>
      </c>
    </row>
    <row r="504" spans="1:9">
      <c r="A504" t="s">
        <v>2398</v>
      </c>
      <c r="B504" t="s">
        <v>68</v>
      </c>
      <c r="C504" t="s">
        <v>2303</v>
      </c>
      <c r="D504" t="s">
        <v>2393</v>
      </c>
      <c r="E504" t="s">
        <v>2389</v>
      </c>
      <c r="F504" t="s">
        <v>2390</v>
      </c>
      <c r="G504" t="s">
        <v>126</v>
      </c>
      <c r="H504" t="s">
        <v>126</v>
      </c>
      <c r="I504" t="s">
        <v>2394</v>
      </c>
    </row>
    <row r="505" spans="1:9">
      <c r="A505" t="s">
        <v>2399</v>
      </c>
      <c r="B505" t="s">
        <v>68</v>
      </c>
      <c r="C505" t="s">
        <v>2303</v>
      </c>
      <c r="D505" t="s">
        <v>2400</v>
      </c>
      <c r="E505" t="s">
        <v>2397</v>
      </c>
      <c r="F505" t="s">
        <v>2390</v>
      </c>
      <c r="G505" t="s">
        <v>126</v>
      </c>
      <c r="H505" t="s">
        <v>126</v>
      </c>
      <c r="I505" t="s">
        <v>2394</v>
      </c>
    </row>
    <row r="506" spans="1:9">
      <c r="A506" t="s">
        <v>2401</v>
      </c>
      <c r="B506" t="s">
        <v>68</v>
      </c>
      <c r="C506" t="s">
        <v>2303</v>
      </c>
      <c r="D506" t="s">
        <v>2400</v>
      </c>
      <c r="E506" t="s">
        <v>2389</v>
      </c>
      <c r="F506" t="s">
        <v>2390</v>
      </c>
      <c r="G506" t="s">
        <v>126</v>
      </c>
      <c r="H506" t="s">
        <v>126</v>
      </c>
      <c r="I506" t="s">
        <v>2394</v>
      </c>
    </row>
    <row r="507" spans="1:9">
      <c r="A507" t="s">
        <v>2402</v>
      </c>
      <c r="B507" t="s">
        <v>68</v>
      </c>
      <c r="C507" t="s">
        <v>2303</v>
      </c>
      <c r="D507" t="s">
        <v>2403</v>
      </c>
      <c r="E507" t="s">
        <v>2389</v>
      </c>
      <c r="F507" t="s">
        <v>2390</v>
      </c>
      <c r="G507" t="s">
        <v>126</v>
      </c>
      <c r="H507" t="s">
        <v>126</v>
      </c>
      <c r="I507" t="s">
        <v>2394</v>
      </c>
    </row>
    <row r="508" spans="1:9">
      <c r="A508" t="s">
        <v>2404</v>
      </c>
      <c r="B508" t="s">
        <v>68</v>
      </c>
      <c r="C508" t="s">
        <v>2303</v>
      </c>
      <c r="D508" t="s">
        <v>2403</v>
      </c>
      <c r="E508" t="s">
        <v>2389</v>
      </c>
      <c r="F508" t="s">
        <v>2390</v>
      </c>
      <c r="G508" t="s">
        <v>126</v>
      </c>
      <c r="H508" t="s">
        <v>126</v>
      </c>
      <c r="I508" t="s">
        <v>2394</v>
      </c>
    </row>
    <row r="509" spans="1:9">
      <c r="A509" t="s">
        <v>2405</v>
      </c>
      <c r="B509" t="s">
        <v>68</v>
      </c>
      <c r="C509" t="s">
        <v>2303</v>
      </c>
      <c r="D509" t="s">
        <v>2403</v>
      </c>
      <c r="E509" t="s">
        <v>2397</v>
      </c>
      <c r="F509" t="s">
        <v>2390</v>
      </c>
      <c r="G509" t="s">
        <v>126</v>
      </c>
      <c r="H509" t="s">
        <v>126</v>
      </c>
      <c r="I509" t="s">
        <v>2394</v>
      </c>
    </row>
    <row r="510" spans="1:9">
      <c r="A510" t="s">
        <v>2406</v>
      </c>
      <c r="B510" t="s">
        <v>68</v>
      </c>
      <c r="C510" t="s">
        <v>2303</v>
      </c>
      <c r="D510" t="s">
        <v>2407</v>
      </c>
      <c r="E510" t="s">
        <v>2389</v>
      </c>
      <c r="F510" t="s">
        <v>2390</v>
      </c>
      <c r="G510" t="s">
        <v>126</v>
      </c>
      <c r="H510" t="s">
        <v>126</v>
      </c>
      <c r="I510" t="s">
        <v>2394</v>
      </c>
    </row>
    <row r="511" spans="1:9">
      <c r="A511" t="s">
        <v>2408</v>
      </c>
      <c r="B511" t="s">
        <v>68</v>
      </c>
      <c r="C511" t="s">
        <v>2303</v>
      </c>
      <c r="D511" t="s">
        <v>2407</v>
      </c>
      <c r="E511" t="s">
        <v>2389</v>
      </c>
      <c r="F511" t="s">
        <v>2390</v>
      </c>
      <c r="G511" t="s">
        <v>126</v>
      </c>
      <c r="H511" t="s">
        <v>126</v>
      </c>
      <c r="I511" t="s">
        <v>2409</v>
      </c>
    </row>
    <row r="512" spans="1:9">
      <c r="A512" t="s">
        <v>2410</v>
      </c>
      <c r="B512" t="s">
        <v>68</v>
      </c>
      <c r="C512" t="s">
        <v>2303</v>
      </c>
      <c r="D512" t="s">
        <v>2411</v>
      </c>
      <c r="E512" t="s">
        <v>2389</v>
      </c>
      <c r="F512" t="s">
        <v>2390</v>
      </c>
      <c r="G512" t="s">
        <v>126</v>
      </c>
      <c r="H512" t="s">
        <v>2412</v>
      </c>
      <c r="I512" t="s">
        <v>2409</v>
      </c>
    </row>
    <row r="513" spans="1:9">
      <c r="A513" t="s">
        <v>2413</v>
      </c>
      <c r="B513" t="s">
        <v>2414</v>
      </c>
      <c r="C513" t="s">
        <v>2415</v>
      </c>
      <c r="D513" t="s">
        <v>2416</v>
      </c>
      <c r="E513" t="s">
        <v>126</v>
      </c>
      <c r="F513" t="s">
        <v>2417</v>
      </c>
      <c r="G513" t="s">
        <v>2418</v>
      </c>
      <c r="H513" t="s">
        <v>2419</v>
      </c>
      <c r="I513" t="s">
        <v>2394</v>
      </c>
    </row>
    <row r="514" spans="1:9">
      <c r="A514" t="s">
        <v>2420</v>
      </c>
      <c r="B514" t="s">
        <v>2414</v>
      </c>
      <c r="C514" t="s">
        <v>2415</v>
      </c>
      <c r="D514" t="s">
        <v>2416</v>
      </c>
      <c r="E514" t="s">
        <v>126</v>
      </c>
      <c r="F514" t="s">
        <v>2421</v>
      </c>
      <c r="G514" t="s">
        <v>2422</v>
      </c>
      <c r="H514" t="s">
        <v>2419</v>
      </c>
      <c r="I514" t="s">
        <v>2394</v>
      </c>
    </row>
    <row r="515" spans="1:9">
      <c r="A515" t="s">
        <v>2423</v>
      </c>
      <c r="B515" t="s">
        <v>77</v>
      </c>
      <c r="C515" t="s">
        <v>1173</v>
      </c>
      <c r="D515" t="s">
        <v>2416</v>
      </c>
      <c r="E515" t="s">
        <v>126</v>
      </c>
      <c r="F515" t="s">
        <v>2424</v>
      </c>
      <c r="G515" t="s">
        <v>2425</v>
      </c>
      <c r="H515" t="s">
        <v>2426</v>
      </c>
      <c r="I515" t="s">
        <v>2394</v>
      </c>
    </row>
    <row r="516" spans="1:9">
      <c r="A516" t="s">
        <v>2427</v>
      </c>
      <c r="B516" t="s">
        <v>113</v>
      </c>
      <c r="C516" t="s">
        <v>2295</v>
      </c>
      <c r="D516" t="s">
        <v>2416</v>
      </c>
      <c r="E516" t="s">
        <v>126</v>
      </c>
      <c r="F516" t="s">
        <v>2428</v>
      </c>
      <c r="G516" t="s">
        <v>2425</v>
      </c>
      <c r="H516" t="s">
        <v>2429</v>
      </c>
      <c r="I516" t="s">
        <v>2394</v>
      </c>
    </row>
    <row r="517" spans="1:9">
      <c r="A517" t="s">
        <v>2430</v>
      </c>
      <c r="B517" t="s">
        <v>77</v>
      </c>
      <c r="C517" t="s">
        <v>1173</v>
      </c>
      <c r="D517" t="s">
        <v>2416</v>
      </c>
      <c r="E517" t="s">
        <v>126</v>
      </c>
      <c r="F517" t="s">
        <v>2424</v>
      </c>
      <c r="G517" t="s">
        <v>2425</v>
      </c>
      <c r="H517" t="s">
        <v>2431</v>
      </c>
      <c r="I517" t="s">
        <v>2394</v>
      </c>
    </row>
    <row r="518" spans="1:9">
      <c r="A518" t="s">
        <v>2432</v>
      </c>
      <c r="B518" t="s">
        <v>113</v>
      </c>
      <c r="C518" t="s">
        <v>2295</v>
      </c>
      <c r="D518" t="s">
        <v>2416</v>
      </c>
      <c r="E518" t="s">
        <v>126</v>
      </c>
      <c r="F518" t="s">
        <v>2428</v>
      </c>
      <c r="G518" t="s">
        <v>2425</v>
      </c>
      <c r="H518" t="s">
        <v>2433</v>
      </c>
      <c r="I518" t="s">
        <v>2394</v>
      </c>
    </row>
    <row r="519" spans="1:9">
      <c r="A519" t="s">
        <v>2434</v>
      </c>
      <c r="B519" t="s">
        <v>2414</v>
      </c>
      <c r="C519" t="s">
        <v>2415</v>
      </c>
      <c r="D519" t="s">
        <v>2416</v>
      </c>
      <c r="E519" t="s">
        <v>126</v>
      </c>
      <c r="F519" t="s">
        <v>2417</v>
      </c>
      <c r="G519" t="s">
        <v>126</v>
      </c>
      <c r="H519" t="s">
        <v>2435</v>
      </c>
      <c r="I519" t="s">
        <v>2394</v>
      </c>
    </row>
    <row r="520" spans="1:9">
      <c r="A520" t="s">
        <v>2436</v>
      </c>
      <c r="B520" t="s">
        <v>2414</v>
      </c>
      <c r="C520" t="s">
        <v>2415</v>
      </c>
      <c r="D520" t="s">
        <v>2416</v>
      </c>
      <c r="E520" t="s">
        <v>126</v>
      </c>
      <c r="F520" t="s">
        <v>2417</v>
      </c>
      <c r="G520" t="s">
        <v>126</v>
      </c>
      <c r="H520" t="s">
        <v>2435</v>
      </c>
      <c r="I520" t="s">
        <v>2394</v>
      </c>
    </row>
    <row r="521" spans="1:9">
      <c r="A521" t="s">
        <v>2437</v>
      </c>
      <c r="B521" t="s">
        <v>101</v>
      </c>
      <c r="C521" t="s">
        <v>1304</v>
      </c>
      <c r="D521" t="s">
        <v>2416</v>
      </c>
      <c r="E521" t="s">
        <v>126</v>
      </c>
      <c r="F521" t="s">
        <v>2438</v>
      </c>
      <c r="G521" t="s">
        <v>126</v>
      </c>
      <c r="H521" t="s">
        <v>2439</v>
      </c>
      <c r="I521" t="s">
        <v>2409</v>
      </c>
    </row>
    <row r="522" spans="1:9">
      <c r="A522" t="s">
        <v>2440</v>
      </c>
      <c r="B522" t="s">
        <v>101</v>
      </c>
      <c r="C522" t="s">
        <v>1304</v>
      </c>
      <c r="D522" t="s">
        <v>2403</v>
      </c>
      <c r="E522" t="s">
        <v>2389</v>
      </c>
      <c r="F522" t="s">
        <v>2425</v>
      </c>
      <c r="G522" t="s">
        <v>126</v>
      </c>
      <c r="H522" t="s">
        <v>2441</v>
      </c>
      <c r="I522" t="s">
        <v>2409</v>
      </c>
    </row>
    <row r="523" spans="1:9">
      <c r="A523" t="s">
        <v>2442</v>
      </c>
      <c r="B523" t="s">
        <v>101</v>
      </c>
      <c r="C523" t="s">
        <v>1304</v>
      </c>
      <c r="D523" t="s">
        <v>2407</v>
      </c>
      <c r="E523" t="s">
        <v>2389</v>
      </c>
      <c r="F523" t="s">
        <v>2443</v>
      </c>
      <c r="G523" t="s">
        <v>126</v>
      </c>
      <c r="H523" t="s">
        <v>2441</v>
      </c>
      <c r="I523" t="s">
        <v>2409</v>
      </c>
    </row>
    <row r="524" spans="1:9">
      <c r="A524" t="s">
        <v>2444</v>
      </c>
      <c r="B524" t="s">
        <v>101</v>
      </c>
      <c r="C524" t="s">
        <v>1304</v>
      </c>
      <c r="D524" t="s">
        <v>2411</v>
      </c>
      <c r="E524" t="s">
        <v>2389</v>
      </c>
      <c r="F524" t="s">
        <v>2424</v>
      </c>
      <c r="G524" t="s">
        <v>126</v>
      </c>
      <c r="H524" t="s">
        <v>2441</v>
      </c>
      <c r="I524" t="s">
        <v>2409</v>
      </c>
    </row>
    <row r="525" spans="1:9">
      <c r="A525" t="s">
        <v>2445</v>
      </c>
      <c r="B525" t="s">
        <v>101</v>
      </c>
      <c r="C525" t="s">
        <v>1304</v>
      </c>
      <c r="D525" t="s">
        <v>2446</v>
      </c>
      <c r="E525" t="s">
        <v>2389</v>
      </c>
      <c r="F525" t="s">
        <v>2447</v>
      </c>
      <c r="G525" t="s">
        <v>126</v>
      </c>
      <c r="H525" t="s">
        <v>2448</v>
      </c>
      <c r="I525" t="s">
        <v>2409</v>
      </c>
    </row>
    <row r="526" spans="1:9">
      <c r="A526" t="s">
        <v>2449</v>
      </c>
      <c r="B526" t="s">
        <v>101</v>
      </c>
      <c r="C526" t="s">
        <v>1304</v>
      </c>
      <c r="D526" t="s">
        <v>2446</v>
      </c>
      <c r="E526" t="s">
        <v>2389</v>
      </c>
      <c r="F526" t="s">
        <v>2447</v>
      </c>
      <c r="G526" t="s">
        <v>126</v>
      </c>
      <c r="H526" t="s">
        <v>2450</v>
      </c>
      <c r="I526" t="s">
        <v>2409</v>
      </c>
    </row>
    <row r="527" spans="1:9">
      <c r="A527" t="s">
        <v>2451</v>
      </c>
      <c r="B527" t="s">
        <v>101</v>
      </c>
      <c r="C527" t="s">
        <v>1304</v>
      </c>
      <c r="D527" t="s">
        <v>2452</v>
      </c>
      <c r="E527" t="s">
        <v>2389</v>
      </c>
      <c r="F527" t="s">
        <v>2425</v>
      </c>
      <c r="G527" t="s">
        <v>126</v>
      </c>
      <c r="H527" t="s">
        <v>2453</v>
      </c>
      <c r="I527" t="s">
        <v>2409</v>
      </c>
    </row>
    <row r="528" spans="1:9">
      <c r="A528" t="s">
        <v>2454</v>
      </c>
      <c r="B528" t="s">
        <v>101</v>
      </c>
      <c r="C528" t="s">
        <v>1304</v>
      </c>
      <c r="D528" t="s">
        <v>2455</v>
      </c>
      <c r="E528" t="s">
        <v>2397</v>
      </c>
      <c r="F528" t="s">
        <v>2456</v>
      </c>
      <c r="G528" t="s">
        <v>126</v>
      </c>
      <c r="H528" t="s">
        <v>2457</v>
      </c>
      <c r="I528" t="s">
        <v>2409</v>
      </c>
    </row>
    <row r="529" spans="1:9">
      <c r="A529" t="s">
        <v>2458</v>
      </c>
      <c r="B529" t="s">
        <v>101</v>
      </c>
      <c r="C529" t="s">
        <v>1304</v>
      </c>
      <c r="D529" t="s">
        <v>2459</v>
      </c>
      <c r="E529" t="s">
        <v>2389</v>
      </c>
      <c r="F529" t="s">
        <v>2428</v>
      </c>
      <c r="G529" t="s">
        <v>126</v>
      </c>
      <c r="H529" t="s">
        <v>2460</v>
      </c>
      <c r="I529" t="s">
        <v>2461</v>
      </c>
    </row>
    <row r="530" spans="1:9">
      <c r="A530" t="s">
        <v>2462</v>
      </c>
      <c r="B530" t="s">
        <v>101</v>
      </c>
      <c r="C530" t="s">
        <v>1304</v>
      </c>
      <c r="D530" t="s">
        <v>2463</v>
      </c>
      <c r="E530" t="s">
        <v>2464</v>
      </c>
      <c r="F530" t="s">
        <v>2465</v>
      </c>
      <c r="G530" t="s">
        <v>126</v>
      </c>
      <c r="H530" t="s">
        <v>2466</v>
      </c>
      <c r="I530" t="s">
        <v>2461</v>
      </c>
    </row>
    <row r="531" spans="1:9">
      <c r="A531" t="s">
        <v>2467</v>
      </c>
      <c r="B531" t="s">
        <v>101</v>
      </c>
      <c r="C531" t="s">
        <v>1304</v>
      </c>
      <c r="D531" t="s">
        <v>2468</v>
      </c>
      <c r="E531" t="s">
        <v>2464</v>
      </c>
      <c r="F531" t="s">
        <v>2469</v>
      </c>
      <c r="G531" t="s">
        <v>126</v>
      </c>
      <c r="H531" t="s">
        <v>126</v>
      </c>
      <c r="I531" t="s">
        <v>2470</v>
      </c>
    </row>
    <row r="532" spans="1:9">
      <c r="A532" t="s">
        <v>2471</v>
      </c>
      <c r="B532" t="s">
        <v>77</v>
      </c>
      <c r="C532" t="s">
        <v>1173</v>
      </c>
      <c r="D532" t="s">
        <v>2472</v>
      </c>
      <c r="E532" t="s">
        <v>2389</v>
      </c>
      <c r="F532" t="s">
        <v>2424</v>
      </c>
      <c r="G532" t="s">
        <v>2425</v>
      </c>
      <c r="H532" t="s">
        <v>126</v>
      </c>
      <c r="I532" t="s">
        <v>2394</v>
      </c>
    </row>
    <row r="533" spans="1:9">
      <c r="A533" t="s">
        <v>2473</v>
      </c>
      <c r="B533" t="s">
        <v>113</v>
      </c>
      <c r="C533" t="s">
        <v>2295</v>
      </c>
      <c r="D533" t="s">
        <v>2474</v>
      </c>
      <c r="E533" t="s">
        <v>2475</v>
      </c>
      <c r="F533" t="s">
        <v>2476</v>
      </c>
      <c r="G533" t="s">
        <v>2425</v>
      </c>
      <c r="H533" t="s">
        <v>126</v>
      </c>
      <c r="I533" t="s">
        <v>2409</v>
      </c>
    </row>
    <row r="534" spans="1:9">
      <c r="A534" t="s">
        <v>2477</v>
      </c>
      <c r="B534" t="s">
        <v>113</v>
      </c>
      <c r="C534" t="s">
        <v>2295</v>
      </c>
      <c r="D534" t="s">
        <v>2478</v>
      </c>
      <c r="E534" t="s">
        <v>2389</v>
      </c>
      <c r="F534" t="s">
        <v>2479</v>
      </c>
      <c r="G534" t="s">
        <v>2417</v>
      </c>
      <c r="H534" t="s">
        <v>126</v>
      </c>
      <c r="I534" t="s">
        <v>2461</v>
      </c>
    </row>
    <row r="535" spans="1:9">
      <c r="A535" t="s">
        <v>2480</v>
      </c>
      <c r="B535" t="s">
        <v>113</v>
      </c>
      <c r="C535" t="s">
        <v>2295</v>
      </c>
      <c r="D535" t="s">
        <v>2478</v>
      </c>
      <c r="E535" t="s">
        <v>2389</v>
      </c>
      <c r="F535" t="s">
        <v>2425</v>
      </c>
      <c r="G535" t="s">
        <v>2481</v>
      </c>
      <c r="H535" t="s">
        <v>126</v>
      </c>
      <c r="I535" t="s">
        <v>2461</v>
      </c>
    </row>
    <row r="536" spans="1:9">
      <c r="A536" t="s">
        <v>2482</v>
      </c>
      <c r="B536" t="s">
        <v>113</v>
      </c>
      <c r="C536" t="s">
        <v>2295</v>
      </c>
      <c r="D536" t="s">
        <v>2472</v>
      </c>
      <c r="E536" t="s">
        <v>2397</v>
      </c>
      <c r="F536" t="s">
        <v>2483</v>
      </c>
      <c r="G536" t="s">
        <v>2484</v>
      </c>
      <c r="H536" t="s">
        <v>2485</v>
      </c>
      <c r="I536" t="s">
        <v>2470</v>
      </c>
    </row>
    <row r="537" spans="1:9">
      <c r="A537" t="s">
        <v>2486</v>
      </c>
      <c r="B537" t="s">
        <v>113</v>
      </c>
      <c r="C537" t="s">
        <v>2295</v>
      </c>
      <c r="D537" t="s">
        <v>2472</v>
      </c>
      <c r="E537" t="s">
        <v>2389</v>
      </c>
      <c r="F537" t="s">
        <v>2465</v>
      </c>
      <c r="G537" t="s">
        <v>2425</v>
      </c>
      <c r="H537" t="s">
        <v>2487</v>
      </c>
      <c r="I537" t="s">
        <v>2470</v>
      </c>
    </row>
    <row r="538" spans="1:9">
      <c r="A538" t="s">
        <v>2488</v>
      </c>
      <c r="B538" t="s">
        <v>113</v>
      </c>
      <c r="C538" t="s">
        <v>2295</v>
      </c>
      <c r="D538" t="s">
        <v>2489</v>
      </c>
      <c r="E538" t="s">
        <v>2389</v>
      </c>
      <c r="F538" t="s">
        <v>2483</v>
      </c>
      <c r="G538" t="s">
        <v>2425</v>
      </c>
      <c r="H538" t="s">
        <v>2490</v>
      </c>
      <c r="I538" t="s">
        <v>2470</v>
      </c>
    </row>
    <row r="539" spans="1:9">
      <c r="A539" t="s">
        <v>2491</v>
      </c>
      <c r="B539" t="s">
        <v>113</v>
      </c>
      <c r="C539" t="s">
        <v>2295</v>
      </c>
      <c r="D539" t="s">
        <v>2468</v>
      </c>
      <c r="E539" t="s">
        <v>2464</v>
      </c>
      <c r="F539" t="s">
        <v>2492</v>
      </c>
      <c r="G539" t="s">
        <v>2484</v>
      </c>
      <c r="H539" t="s">
        <v>2493</v>
      </c>
      <c r="I539" t="s">
        <v>2470</v>
      </c>
    </row>
    <row r="540" spans="1:9">
      <c r="A540" t="s">
        <v>2494</v>
      </c>
      <c r="B540" t="s">
        <v>113</v>
      </c>
      <c r="C540" t="s">
        <v>2295</v>
      </c>
      <c r="D540" t="s">
        <v>2478</v>
      </c>
      <c r="E540" t="s">
        <v>2397</v>
      </c>
      <c r="F540" t="s">
        <v>2476</v>
      </c>
      <c r="G540" t="s">
        <v>2484</v>
      </c>
      <c r="H540" t="s">
        <v>2493</v>
      </c>
      <c r="I540" t="s">
        <v>2470</v>
      </c>
    </row>
    <row r="541" spans="1:9">
      <c r="A541" t="s">
        <v>2495</v>
      </c>
      <c r="B541" t="s">
        <v>113</v>
      </c>
      <c r="C541" t="s">
        <v>2295</v>
      </c>
      <c r="D541" t="s">
        <v>2474</v>
      </c>
      <c r="E541" t="s">
        <v>2464</v>
      </c>
      <c r="F541" t="s">
        <v>2492</v>
      </c>
      <c r="G541" t="s">
        <v>2421</v>
      </c>
      <c r="H541" t="s">
        <v>126</v>
      </c>
      <c r="I541" t="s">
        <v>2496</v>
      </c>
    </row>
    <row r="542" spans="1:9">
      <c r="A542" t="s">
        <v>2497</v>
      </c>
      <c r="B542" t="s">
        <v>113</v>
      </c>
      <c r="C542" t="s">
        <v>2295</v>
      </c>
      <c r="D542" t="s">
        <v>2468</v>
      </c>
      <c r="E542" t="s">
        <v>2464</v>
      </c>
      <c r="F542" t="s">
        <v>2483</v>
      </c>
      <c r="G542" t="s">
        <v>2498</v>
      </c>
      <c r="H542" t="s">
        <v>2499</v>
      </c>
      <c r="I542" t="s">
        <v>2496</v>
      </c>
    </row>
    <row r="543" spans="1:9">
      <c r="A543" t="s">
        <v>2500</v>
      </c>
      <c r="B543" t="s">
        <v>95</v>
      </c>
      <c r="C543" t="s">
        <v>1278</v>
      </c>
      <c r="D543" t="s">
        <v>2474</v>
      </c>
      <c r="E543" t="s">
        <v>2389</v>
      </c>
      <c r="F543" t="s">
        <v>2389</v>
      </c>
      <c r="G543" t="s">
        <v>2424</v>
      </c>
      <c r="H543" t="s">
        <v>126</v>
      </c>
      <c r="I543" t="s">
        <v>2394</v>
      </c>
    </row>
    <row r="544" spans="1:9">
      <c r="A544" t="s">
        <v>2501</v>
      </c>
      <c r="B544" t="s">
        <v>95</v>
      </c>
      <c r="C544" t="s">
        <v>1278</v>
      </c>
      <c r="D544" t="s">
        <v>2474</v>
      </c>
      <c r="E544" t="s">
        <v>2389</v>
      </c>
      <c r="F544" t="s">
        <v>2389</v>
      </c>
      <c r="G544" t="s">
        <v>2481</v>
      </c>
      <c r="H544" t="s">
        <v>126</v>
      </c>
      <c r="I544" t="s">
        <v>2394</v>
      </c>
    </row>
    <row r="545" spans="1:9">
      <c r="A545" t="s">
        <v>2502</v>
      </c>
      <c r="B545" t="s">
        <v>95</v>
      </c>
      <c r="C545" t="s">
        <v>1278</v>
      </c>
      <c r="D545" t="s">
        <v>2472</v>
      </c>
      <c r="E545" t="s">
        <v>2389</v>
      </c>
      <c r="F545" t="s">
        <v>2389</v>
      </c>
      <c r="G545" t="s">
        <v>2425</v>
      </c>
      <c r="H545" t="s">
        <v>2503</v>
      </c>
      <c r="I545" t="s">
        <v>2394</v>
      </c>
    </row>
    <row r="546" spans="1:9">
      <c r="A546" t="s">
        <v>2504</v>
      </c>
      <c r="B546" t="s">
        <v>95</v>
      </c>
      <c r="C546" t="s">
        <v>1278</v>
      </c>
      <c r="D546" t="s">
        <v>2505</v>
      </c>
      <c r="E546" t="s">
        <v>2389</v>
      </c>
      <c r="F546" t="s">
        <v>2389</v>
      </c>
      <c r="G546" t="s">
        <v>2447</v>
      </c>
      <c r="H546" t="s">
        <v>126</v>
      </c>
      <c r="I546" t="s">
        <v>2409</v>
      </c>
    </row>
    <row r="547" spans="1:9">
      <c r="A547" t="s">
        <v>2506</v>
      </c>
      <c r="B547" t="s">
        <v>95</v>
      </c>
      <c r="C547" t="s">
        <v>1278</v>
      </c>
      <c r="D547" t="s">
        <v>2507</v>
      </c>
      <c r="E547" t="s">
        <v>2475</v>
      </c>
      <c r="F547" t="s">
        <v>2389</v>
      </c>
      <c r="G547" t="s">
        <v>2425</v>
      </c>
      <c r="H547" t="s">
        <v>126</v>
      </c>
      <c r="I547" t="s">
        <v>2409</v>
      </c>
    </row>
    <row r="548" spans="1:9">
      <c r="A548" t="s">
        <v>2508</v>
      </c>
      <c r="B548" t="s">
        <v>75</v>
      </c>
      <c r="C548" t="s">
        <v>1144</v>
      </c>
      <c r="D548" t="s">
        <v>2509</v>
      </c>
      <c r="E548" t="s">
        <v>2510</v>
      </c>
      <c r="F548" t="s">
        <v>2511</v>
      </c>
      <c r="G548" t="s">
        <v>2456</v>
      </c>
      <c r="H548" t="s">
        <v>2512</v>
      </c>
      <c r="I548" t="s">
        <v>2461</v>
      </c>
    </row>
    <row r="549" spans="1:9">
      <c r="A549" t="s">
        <v>2513</v>
      </c>
      <c r="B549" t="s">
        <v>75</v>
      </c>
      <c r="C549" t="s">
        <v>1144</v>
      </c>
      <c r="D549" t="s">
        <v>2514</v>
      </c>
      <c r="E549" t="s">
        <v>2464</v>
      </c>
      <c r="F549" t="s">
        <v>2515</v>
      </c>
      <c r="G549" t="s">
        <v>2428</v>
      </c>
      <c r="H549" t="s">
        <v>126</v>
      </c>
      <c r="I549" t="s">
        <v>2470</v>
      </c>
    </row>
    <row r="550" spans="1:9">
      <c r="A550" t="s">
        <v>2516</v>
      </c>
      <c r="B550" t="s">
        <v>75</v>
      </c>
      <c r="C550" t="s">
        <v>1144</v>
      </c>
      <c r="D550" t="s">
        <v>2468</v>
      </c>
      <c r="E550" t="s">
        <v>2389</v>
      </c>
      <c r="F550" t="s">
        <v>2517</v>
      </c>
      <c r="G550" t="s">
        <v>2518</v>
      </c>
      <c r="H550" t="s">
        <v>126</v>
      </c>
      <c r="I550" t="s">
        <v>2470</v>
      </c>
    </row>
    <row r="551" spans="1:9">
      <c r="A551" t="s">
        <v>2519</v>
      </c>
      <c r="B551" t="s">
        <v>75</v>
      </c>
      <c r="C551" t="s">
        <v>1144</v>
      </c>
      <c r="D551" t="s">
        <v>2520</v>
      </c>
      <c r="E551" t="s">
        <v>2521</v>
      </c>
      <c r="F551" t="s">
        <v>2515</v>
      </c>
      <c r="G551" t="s">
        <v>2428</v>
      </c>
      <c r="H551" t="s">
        <v>126</v>
      </c>
      <c r="I551" t="s">
        <v>2496</v>
      </c>
    </row>
    <row r="552" spans="1:9">
      <c r="A552" t="s">
        <v>2522</v>
      </c>
      <c r="B552" t="s">
        <v>75</v>
      </c>
      <c r="C552" t="s">
        <v>1144</v>
      </c>
      <c r="D552" t="s">
        <v>2523</v>
      </c>
      <c r="E552" t="s">
        <v>2510</v>
      </c>
      <c r="F552" t="s">
        <v>2524</v>
      </c>
      <c r="G552" t="s">
        <v>2456</v>
      </c>
      <c r="H552" t="s">
        <v>126</v>
      </c>
      <c r="I552" t="s">
        <v>2496</v>
      </c>
    </row>
    <row r="553" spans="1:9">
      <c r="A553" t="s">
        <v>2525</v>
      </c>
      <c r="B553" t="s">
        <v>75</v>
      </c>
      <c r="C553" t="s">
        <v>1144</v>
      </c>
      <c r="D553" t="s">
        <v>2526</v>
      </c>
      <c r="E553" t="s">
        <v>2527</v>
      </c>
      <c r="F553" t="s">
        <v>2528</v>
      </c>
      <c r="G553" t="s">
        <v>2465</v>
      </c>
      <c r="H553" t="s">
        <v>2412</v>
      </c>
      <c r="I553" t="s">
        <v>2496</v>
      </c>
    </row>
    <row r="560" spans="1:9">
      <c r="A560" t="s">
        <v>2529</v>
      </c>
    </row>
    <row r="561" spans="1:1">
      <c r="A561" t="s">
        <v>2530</v>
      </c>
    </row>
    <row r="562" spans="1:1">
      <c r="A562" t="s">
        <v>2531</v>
      </c>
    </row>
    <row r="563" spans="1:1">
      <c r="A563" t="s">
        <v>2532</v>
      </c>
    </row>
    <row r="564" spans="1:1">
      <c r="A564" t="s">
        <v>2533</v>
      </c>
    </row>
    <row r="565" spans="1:1">
      <c r="A565" t="s">
        <v>2534</v>
      </c>
    </row>
    <row r="580" spans="1:1">
      <c r="A580" t="s">
        <v>11</v>
      </c>
    </row>
    <row r="581" spans="1:1">
      <c r="A581" t="s">
        <v>14</v>
      </c>
    </row>
    <row r="582" spans="1:1">
      <c r="A582" t="s">
        <v>18</v>
      </c>
    </row>
    <row r="583" spans="1:1">
      <c r="A583" t="s">
        <v>22</v>
      </c>
    </row>
    <row r="584" spans="1:1">
      <c r="A584" t="s">
        <v>25</v>
      </c>
    </row>
    <row r="585" spans="1:1">
      <c r="A585" t="s">
        <v>28</v>
      </c>
    </row>
    <row r="586" spans="1:1">
      <c r="A586" t="str">
        <f t="shared" ref="A586:A644" si="6">A20</f>
        <v>会计学</v>
      </c>
    </row>
    <row r="587" spans="1:1">
      <c r="A587" t="str">
        <f t="shared" si="6"/>
        <v>警觉</v>
      </c>
    </row>
    <row r="588" spans="1:1">
      <c r="A588" t="str">
        <f t="shared" si="6"/>
        <v>人类学</v>
      </c>
    </row>
    <row r="589" spans="1:1">
      <c r="A589" t="str">
        <f t="shared" si="6"/>
        <v>考古学</v>
      </c>
    </row>
    <row r="590" spans="1:1">
      <c r="A590" t="str">
        <f ca="1" t="shared" si="6"/>
        <v/>
      </c>
    </row>
    <row r="591" spans="1:1">
      <c r="A591" t="str">
        <f ca="1" t="shared" si="6"/>
        <v/>
      </c>
    </row>
    <row r="592" spans="1:1">
      <c r="A592" t="str">
        <f ca="1" t="shared" si="6"/>
        <v/>
      </c>
    </row>
    <row r="593" spans="1:1">
      <c r="A593" t="str">
        <f t="shared" si="6"/>
        <v>炮术</v>
      </c>
    </row>
    <row r="594" spans="1:1">
      <c r="A594" t="str">
        <f t="shared" si="6"/>
        <v>运动</v>
      </c>
    </row>
    <row r="595" spans="1:1">
      <c r="A595" t="str">
        <f t="shared" si="6"/>
        <v>行政</v>
      </c>
    </row>
    <row r="596" spans="1:1">
      <c r="A596" t="str">
        <f t="shared" si="6"/>
        <v>计算机科学</v>
      </c>
    </row>
    <row r="597" spans="1:1">
      <c r="A597" t="str">
        <f ca="1" t="shared" si="6"/>
        <v/>
      </c>
    </row>
    <row r="598" spans="1:1">
      <c r="A598" t="str">
        <f ca="1" t="shared" si="6"/>
        <v/>
      </c>
    </row>
    <row r="599" spans="1:1">
      <c r="A599" t="str">
        <f ca="1" t="shared" si="6"/>
        <v/>
      </c>
    </row>
    <row r="600" spans="1:1">
      <c r="A600" t="str">
        <f ca="1" t="shared" si="6"/>
        <v/>
      </c>
    </row>
    <row r="601" spans="1:1">
      <c r="A601" t="str">
        <f t="shared" si="6"/>
        <v>犯罪学</v>
      </c>
    </row>
    <row r="602" spans="1:1">
      <c r="A602" t="str">
        <f t="shared" si="6"/>
        <v>爆破</v>
      </c>
    </row>
    <row r="603" spans="1:1">
      <c r="A603" t="str">
        <f t="shared" si="6"/>
        <v>乔装</v>
      </c>
    </row>
    <row r="604" spans="1:1">
      <c r="A604" t="str">
        <f t="shared" si="6"/>
        <v>闪避</v>
      </c>
    </row>
    <row r="605" spans="1:1">
      <c r="A605" t="str">
        <f t="shared" si="6"/>
        <v>机动车驾驶</v>
      </c>
    </row>
    <row r="606" spans="1:1">
      <c r="A606" t="str">
        <f t="shared" si="6"/>
        <v>射击</v>
      </c>
    </row>
    <row r="607" spans="1:1">
      <c r="A607" t="str">
        <f t="shared" si="6"/>
        <v>急救</v>
      </c>
    </row>
    <row r="608" spans="1:1">
      <c r="A608" t="str">
        <f t="shared" si="6"/>
        <v/>
      </c>
    </row>
    <row r="609" spans="1:1">
      <c r="A609" t="str">
        <f t="shared" si="6"/>
        <v/>
      </c>
    </row>
    <row r="610" spans="1:1">
      <c r="A610" t="str">
        <f ca="1" t="shared" si="6"/>
        <v/>
      </c>
    </row>
    <row r="611" spans="1:1">
      <c r="A611" t="str">
        <f t="shared" si="6"/>
        <v>法证学</v>
      </c>
    </row>
    <row r="612" spans="1:1">
      <c r="A612" t="str">
        <f t="shared" si="6"/>
        <v>重型机械</v>
      </c>
    </row>
    <row r="613" spans="1:1">
      <c r="A613" t="str">
        <f t="shared" si="6"/>
        <v>重型武器</v>
      </c>
    </row>
    <row r="614" spans="1:1">
      <c r="A614" t="str">
        <f t="shared" si="6"/>
        <v>历史</v>
      </c>
    </row>
    <row r="615" spans="1:1">
      <c r="A615" t="str">
        <f t="shared" si="6"/>
        <v>人源情报</v>
      </c>
    </row>
    <row r="616" spans="1:1">
      <c r="A616" t="str">
        <f t="shared" si="6"/>
        <v>法律</v>
      </c>
    </row>
    <row r="617" spans="1:1">
      <c r="A617" t="str">
        <f t="shared" si="6"/>
        <v>医学</v>
      </c>
    </row>
    <row r="618" spans="1:1">
      <c r="A618" t="str">
        <f t="shared" si="6"/>
        <v>近战武器</v>
      </c>
    </row>
    <row r="619" spans="1:1">
      <c r="A619" t="str">
        <f ca="1" t="shared" si="6"/>
        <v/>
      </c>
    </row>
    <row r="620" spans="1:1">
      <c r="A620" t="str">
        <f ca="1" t="shared" si="6"/>
        <v/>
      </c>
    </row>
    <row r="621" spans="1:1">
      <c r="A621" t="str">
        <f ca="1" t="shared" si="6"/>
        <v/>
      </c>
    </row>
    <row r="622" spans="1:1">
      <c r="A622" t="str">
        <f t="shared" si="6"/>
        <v>导航</v>
      </c>
    </row>
    <row r="623" spans="1:1">
      <c r="A623" t="str">
        <f t="shared" si="6"/>
        <v>神秘学</v>
      </c>
    </row>
    <row r="624" spans="1:1">
      <c r="A624" t="str">
        <f t="shared" si="6"/>
        <v>说服</v>
      </c>
    </row>
    <row r="625" spans="1:1">
      <c r="A625" t="str">
        <f t="shared" si="6"/>
        <v>药学</v>
      </c>
    </row>
    <row r="626" spans="1:1">
      <c r="A626" t="str">
        <f ca="1" t="shared" si="6"/>
        <v/>
      </c>
    </row>
    <row r="627" spans="1:1">
      <c r="A627" t="str">
        <f ca="1" t="shared" si="6"/>
        <v/>
      </c>
    </row>
    <row r="628" spans="1:1">
      <c r="A628" t="str">
        <f ca="1" t="shared" si="6"/>
        <v/>
      </c>
    </row>
    <row r="629" spans="1:1">
      <c r="A629" t="str">
        <f t="shared" si="6"/>
        <v>精神治疗</v>
      </c>
    </row>
    <row r="630" spans="1:1">
      <c r="A630" t="str">
        <f t="shared" si="6"/>
        <v>骑术</v>
      </c>
    </row>
    <row r="631" spans="1:1">
      <c r="A631" t="str">
        <f ca="1" t="shared" si="6"/>
        <v/>
      </c>
    </row>
    <row r="632" spans="1:1">
      <c r="A632" t="str">
        <f ca="1" t="shared" si="6"/>
        <v/>
      </c>
    </row>
    <row r="633" spans="1:1">
      <c r="A633" t="str">
        <f ca="1" t="shared" si="6"/>
        <v/>
      </c>
    </row>
    <row r="634" spans="1:1">
      <c r="A634" t="str">
        <f t="shared" si="6"/>
        <v>搜寻</v>
      </c>
    </row>
    <row r="635" spans="1:1">
      <c r="A635" t="str">
        <f t="shared" si="6"/>
        <v>信号情报</v>
      </c>
    </row>
    <row r="636" spans="1:1">
      <c r="A636" t="str">
        <f t="shared" si="6"/>
        <v>潜藏</v>
      </c>
    </row>
    <row r="637" spans="1:1">
      <c r="A637" t="str">
        <f t="shared" si="6"/>
        <v>手术</v>
      </c>
    </row>
    <row r="638" spans="1:1">
      <c r="A638" t="str">
        <f t="shared" si="6"/>
        <v>生存</v>
      </c>
    </row>
    <row r="639" spans="1:1">
      <c r="A639" t="str">
        <f t="shared" si="6"/>
        <v>游泳</v>
      </c>
    </row>
    <row r="640" spans="1:1">
      <c r="A640" t="str">
        <f t="shared" si="6"/>
        <v>徒手搏斗</v>
      </c>
    </row>
    <row r="641" spans="1:1">
      <c r="A641" t="str">
        <f ca="1" t="shared" si="6"/>
        <v/>
      </c>
    </row>
    <row r="642" spans="1:1">
      <c r="A642" t="str">
        <f ca="1" t="shared" si="6"/>
        <v/>
      </c>
    </row>
    <row r="643" spans="1:1">
      <c r="A643" t="str">
        <f ca="1" t="shared" si="6"/>
        <v/>
      </c>
    </row>
    <row r="644" spans="1:1">
      <c r="A644" t="str">
        <f ca="1" t="shared" si="6"/>
        <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4C6E7"/>
    <pageSetUpPr fitToPage="1"/>
  </sheetPr>
  <dimension ref="A1:C546"/>
  <sheetViews>
    <sheetView showGridLines="0" zoomScale="85" zoomScaleNormal="85" workbookViewId="0" topLeftCell="A1">
      <pane ySplit="8" topLeftCell="A9" activePane="bottomLeft" state="frozen"/>
      <selection pane="bottomLeft" activeCell="A9" sqref="A9"/>
    </sheetView>
  </sheetViews>
  <sheetFormatPr defaultColWidth="9" defaultRowHeight="14" outlineLevelCol="3"/>
  <cols>
    <col min="1" max="1" width="15" customWidth="1"/>
    <col min="2" max="2" width="25" customWidth="1"/>
    <col min="3" max="3" width="59" customWidth="1"/>
  </cols>
  <sheetData>
    <row r="1" ht="28" customHeight="1">
      <c r="A1" s="581" t="inlineStr">
        <is>
          <t xml:space="preserve">绿色三角洲｜规则速查 v1.8</t>
        </is>
      </c>
    </row>
    <row r="2" ht="24" customHeight="1">
      <c r="A2" s="33" t="inlineStr">
        <is>
          <t xml:space="preserve">点击主题跳转；筛选后请先清除筛选。</t>
        </is>
      </c>
    </row>
    <row r="3" ht="22" customHeight="1">
      <c r="A3" s="582" t="inlineStr">
        <is>
          <t xml:space="preserve">检定与对抗</t>
        </is>
      </c>
      <c r="B3" s="582" t="inlineStr">
        <is>
          <t xml:space="preserve">战斗与防御</t>
        </is>
      </c>
      <c r="C3" s="582" t="inlineStr">
        <is>
          <t xml:space="preserve">伤害与治疗</t>
        </is>
      </c>
    </row>
    <row r="4" ht="22" customHeight="1">
      <c r="A4" s="582" t="inlineStr">
        <is>
          <t xml:space="preserve">致死与护甲</t>
        </is>
      </c>
      <c r="B4" s="582" t="inlineStr">
        <is>
          <t xml:space="preserve">理智与疯狂</t>
        </is>
      </c>
      <c r="C4" s="582" t="inlineStr">
        <is>
          <t xml:space="preserve">创伤与关系</t>
        </is>
      </c>
    </row>
    <row r="5" ht="22" customHeight="1">
      <c r="A5" s="582" t="inlineStr">
        <is>
          <t xml:space="preserve">调查与执法</t>
        </is>
      </c>
      <c r="B5" s="582" t="inlineStr">
        <is>
          <t xml:space="preserve">秘密行动</t>
        </is>
      </c>
      <c r="C5" s="582" t="inlineStr">
        <is>
          <t xml:space="preserve">护甲与载具</t>
        </is>
      </c>
    </row>
    <row r="6" ht="22" customHeight="1">
      <c r="A6" s="582" t="inlineStr">
        <is>
          <t xml:space="preserve">武器与爆炸物</t>
        </is>
      </c>
      <c r="B6" s="582" t="inlineStr">
        <is>
          <t xml:space="preserve">战斗修正</t>
        </is>
      </c>
      <c r="C6" s="582" t="inlineStr">
        <is>
          <t xml:space="preserve">装备与申请</t>
        </is>
      </c>
    </row>
    <row r="7" ht="22" customHeight="1">
      <c r="A7" s="582" t="inlineStr">
        <is>
          <t xml:space="preserve">返回人物卡</t>
        </is>
      </c>
      <c r="B7" s="582" t="inlineStr">
        <is>
          <t xml:space="preserve">模组经历备忘录</t>
        </is>
      </c>
      <c r="C7" s="582" t="inlineStr">
        <is>
          <t xml:space="preserve">绿箱生成器</t>
        </is>
      </c>
    </row>
    <row r="8" ht="22" customHeight="1" spans="1:4">
      <c r="A8" s="583" t="s">
        <v>2600</v>
      </c>
      <c r="B8" s="583" t="s">
        <v>2601</v>
      </c>
      <c r="C8" s="583" t="inlineStr">
        <is>
          <t xml:space="preserve">内容</t>
        </is>
      </c>
    </row>
    <row r="9" ht="32" customHeight="1" spans="1:4">
      <c r="A9" s="584" t="s">
        <v>2535</v>
      </c>
      <c r="B9" s="585" t="s">
        <v>2602</v>
      </c>
      <c r="C9" s="584" t="s">
        <v>2603</v>
      </c>
    </row>
    <row r="10" ht="32" customHeight="1" spans="1:4">
      <c r="A10" s="584" t="s">
        <v>2535</v>
      </c>
      <c r="B10" s="585" t="s">
        <v>2604</v>
      </c>
      <c r="C10" s="584" t="s">
        <v>2605</v>
      </c>
    </row>
    <row r="11" ht="45.5" customHeight="1" spans="1:4">
      <c r="A11" s="584" t="s">
        <v>2535</v>
      </c>
      <c r="B11" s="585" t="s">
        <v>2606</v>
      </c>
      <c r="C11" s="584" t="s">
        <v>2607</v>
      </c>
    </row>
    <row r="12" ht="45.5" customHeight="1" spans="1:4">
      <c r="A12" s="584" t="s">
        <v>2535</v>
      </c>
      <c r="B12" s="585" t="s">
        <v>2608</v>
      </c>
      <c r="C12" s="584" t="s">
        <v>2609</v>
      </c>
    </row>
    <row r="13" ht="32" customHeight="1" spans="1:4">
      <c r="A13" s="584" t="s">
        <v>2535</v>
      </c>
      <c r="B13" s="585" t="s">
        <v>2610</v>
      </c>
      <c r="C13" s="584" t="s">
        <v>2611</v>
      </c>
    </row>
    <row r="14" ht="32" customHeight="1" spans="1:4">
      <c r="A14" s="584" t="s">
        <v>2535</v>
      </c>
      <c r="B14" s="585" t="s">
        <v>2612</v>
      </c>
      <c r="C14" s="584" t="s">
        <v>2613</v>
      </c>
    </row>
    <row r="15" ht="32" customHeight="1" spans="1:4">
      <c r="A15" s="584" t="s">
        <v>2535</v>
      </c>
      <c r="B15" s="585" t="s">
        <v>2614</v>
      </c>
      <c r="C15" s="584" t="s">
        <v>2615</v>
      </c>
    </row>
    <row r="16" ht="32" customHeight="1" spans="1:4">
      <c r="A16" s="584" t="s">
        <v>2535</v>
      </c>
      <c r="B16" s="585" t="s">
        <v>2616</v>
      </c>
      <c r="C16" s="584" t="s">
        <v>2617</v>
      </c>
    </row>
    <row r="17" ht="32" customHeight="1" spans="1:4">
      <c r="A17" s="584" t="s">
        <v>2535</v>
      </c>
      <c r="B17" s="585" t="s">
        <v>2618</v>
      </c>
      <c r="C17" s="584" t="s">
        <v>2619</v>
      </c>
    </row>
    <row r="18" ht="32" customHeight="1" spans="1:4">
      <c r="A18" s="584" t="s">
        <v>2536</v>
      </c>
      <c r="B18" s="585" t="s">
        <v>2620</v>
      </c>
      <c r="C18" s="584" t="s">
        <v>2621</v>
      </c>
    </row>
    <row r="19" ht="32" customHeight="1" spans="1:4">
      <c r="A19" s="584" t="s">
        <v>2536</v>
      </c>
      <c r="B19" s="585" t="s">
        <v>2622</v>
      </c>
      <c r="C19" s="584" t="s">
        <v>2623</v>
      </c>
    </row>
    <row r="20" ht="45.5" customHeight="1" spans="1:4">
      <c r="A20" s="584" t="s">
        <v>2537</v>
      </c>
      <c r="B20" s="585" t="s">
        <v>2624</v>
      </c>
      <c r="C20" s="584" t="s">
        <v>2625</v>
      </c>
    </row>
    <row r="21" ht="32" customHeight="1" spans="1:4">
      <c r="A21" s="584" t="s">
        <v>2538</v>
      </c>
      <c r="B21" s="585" t="s">
        <v>2626</v>
      </c>
      <c r="C21" s="584" t="s">
        <v>2627</v>
      </c>
    </row>
    <row r="22" ht="32" customHeight="1" spans="1:4">
      <c r="A22" s="584" t="s">
        <v>2538</v>
      </c>
      <c r="B22" s="585" t="s">
        <v>2628</v>
      </c>
      <c r="C22" s="584" t="s">
        <v>2629</v>
      </c>
    </row>
    <row r="23" ht="45.5" customHeight="1" spans="1:4">
      <c r="A23" s="584" t="s">
        <v>2538</v>
      </c>
      <c r="B23" s="585" t="s">
        <v>2630</v>
      </c>
      <c r="C23" s="584" t="s">
        <v>2631</v>
      </c>
    </row>
    <row r="24" ht="45.5" customHeight="1" spans="1:4">
      <c r="A24" s="584" t="s">
        <v>2538</v>
      </c>
      <c r="B24" s="585" t="s">
        <v>2632</v>
      </c>
      <c r="C24" s="584" t="s">
        <v>2633</v>
      </c>
    </row>
    <row r="25" ht="45.5" customHeight="1" spans="1:4">
      <c r="A25" s="584" t="s">
        <v>2538</v>
      </c>
      <c r="B25" s="585" t="s">
        <v>2634</v>
      </c>
      <c r="C25" s="584" t="s">
        <v>2635</v>
      </c>
    </row>
    <row r="26" ht="45.5" customHeight="1" spans="1:4">
      <c r="A26" s="584" t="s">
        <v>2538</v>
      </c>
      <c r="B26" s="585" t="s">
        <v>2636</v>
      </c>
      <c r="C26" s="584" t="s">
        <v>2637</v>
      </c>
    </row>
    <row r="27" ht="32" customHeight="1" spans="1:4">
      <c r="A27" s="584" t="s">
        <v>2538</v>
      </c>
      <c r="B27" s="585" t="s">
        <v>2638</v>
      </c>
      <c r="C27" s="584" t="s">
        <v>2639</v>
      </c>
    </row>
    <row r="28" ht="32" customHeight="1" spans="1:4">
      <c r="A28" s="584" t="s">
        <v>2538</v>
      </c>
      <c r="B28" s="585" t="s">
        <v>2640</v>
      </c>
      <c r="C28" s="584" t="s">
        <v>2641</v>
      </c>
    </row>
    <row r="29" ht="45.5" customHeight="1" spans="1:4">
      <c r="A29" s="584" t="s">
        <v>2539</v>
      </c>
      <c r="B29" s="585" t="s">
        <v>2642</v>
      </c>
      <c r="C29" s="584" t="s">
        <v>2643</v>
      </c>
    </row>
    <row r="30" ht="32" customHeight="1" spans="1:4">
      <c r="A30" s="584" t="s">
        <v>2539</v>
      </c>
      <c r="B30" s="585" t="s">
        <v>2644</v>
      </c>
      <c r="C30" s="584" t="s">
        <v>2645</v>
      </c>
    </row>
    <row r="31" ht="45.5" customHeight="1" spans="1:4">
      <c r="A31" s="584" t="s">
        <v>2539</v>
      </c>
      <c r="B31" s="585" t="s">
        <v>2646</v>
      </c>
      <c r="C31" s="584" t="s">
        <v>2647</v>
      </c>
    </row>
    <row r="32" ht="45.5" customHeight="1" spans="1:4">
      <c r="A32" s="584" t="s">
        <v>2539</v>
      </c>
      <c r="B32" s="585" t="s">
        <v>2648</v>
      </c>
      <c r="C32" s="584" t="s">
        <v>2649</v>
      </c>
    </row>
    <row r="33" ht="32" customHeight="1" spans="1:4">
      <c r="A33" s="584" t="s">
        <v>2540</v>
      </c>
      <c r="B33" s="585" t="s">
        <v>2650</v>
      </c>
      <c r="C33" s="584" t="s">
        <v>2651</v>
      </c>
    </row>
    <row r="34" ht="32" customHeight="1" spans="1:4">
      <c r="A34" s="584" t="s">
        <v>2540</v>
      </c>
      <c r="B34" s="585" t="s">
        <v>2652</v>
      </c>
      <c r="C34" s="584" t="s">
        <v>2653</v>
      </c>
    </row>
    <row r="35" ht="32" customHeight="1" spans="1:4">
      <c r="A35" s="584" t="s">
        <v>2540</v>
      </c>
      <c r="B35" s="585" t="s">
        <v>2416</v>
      </c>
      <c r="C35" s="584" t="s">
        <v>2654</v>
      </c>
    </row>
    <row r="36" ht="32" customHeight="1" spans="1:4">
      <c r="A36" s="584" t="s">
        <v>2540</v>
      </c>
      <c r="B36" s="585" t="s">
        <v>2655</v>
      </c>
      <c r="C36" s="584" t="s">
        <v>2656</v>
      </c>
    </row>
    <row r="37" ht="32" customHeight="1" spans="1:4">
      <c r="A37" s="584" t="s">
        <v>2540</v>
      </c>
      <c r="B37" s="585" t="s">
        <v>2657</v>
      </c>
      <c r="C37" s="584" t="s">
        <v>2658</v>
      </c>
    </row>
    <row r="38" ht="45.5" customHeight="1" spans="1:4">
      <c r="A38" s="584" t="s">
        <v>2540</v>
      </c>
      <c r="B38" s="585" t="s">
        <v>2659</v>
      </c>
      <c r="C38" s="584" t="s">
        <v>2660</v>
      </c>
    </row>
    <row r="39" ht="32" customHeight="1" spans="1:4">
      <c r="A39" s="584" t="s">
        <v>2540</v>
      </c>
      <c r="B39" s="585" t="s">
        <v>2661</v>
      </c>
      <c r="C39" s="584" t="s">
        <v>2662</v>
      </c>
    </row>
    <row r="40" ht="45.5" customHeight="1" spans="1:4">
      <c r="A40" s="584" t="s">
        <v>2540</v>
      </c>
      <c r="B40" s="585" t="s">
        <v>2663</v>
      </c>
      <c r="C40" s="584" t="s">
        <v>2664</v>
      </c>
    </row>
    <row r="41" ht="45.5" customHeight="1" spans="1:4">
      <c r="A41" s="584" t="s">
        <v>2540</v>
      </c>
      <c r="B41" s="585" t="s">
        <v>2665</v>
      </c>
      <c r="C41" s="584" t="s">
        <v>2666</v>
      </c>
    </row>
    <row r="42" ht="32" customHeight="1" spans="1:4">
      <c r="A42" s="584" t="s">
        <v>2540</v>
      </c>
      <c r="B42" s="585" t="s">
        <v>2667</v>
      </c>
      <c r="C42" s="584" t="s">
        <v>2668</v>
      </c>
    </row>
    <row r="43" ht="45.5" customHeight="1" spans="1:4">
      <c r="A43" s="584" t="s">
        <v>2541</v>
      </c>
      <c r="B43" s="585" t="s">
        <v>2669</v>
      </c>
      <c r="C43" s="584" t="s">
        <v>2670</v>
      </c>
    </row>
    <row r="44" ht="45.5" customHeight="1" spans="1:4">
      <c r="A44" s="584" t="s">
        <v>2541</v>
      </c>
      <c r="B44" s="585" t="s">
        <v>2671</v>
      </c>
      <c r="C44" s="584" t="s">
        <v>2672</v>
      </c>
    </row>
    <row r="45" ht="45.5" customHeight="1" spans="1:4">
      <c r="A45" s="584" t="s">
        <v>2541</v>
      </c>
      <c r="B45" s="585" t="s">
        <v>2673</v>
      </c>
      <c r="C45" s="584" t="s">
        <v>2674</v>
      </c>
    </row>
    <row r="46" ht="45.5" customHeight="1" spans="1:4">
      <c r="A46" s="584" t="s">
        <v>2541</v>
      </c>
      <c r="B46" s="585" t="s">
        <v>2675</v>
      </c>
      <c r="C46" s="584" t="s">
        <v>2676</v>
      </c>
    </row>
    <row r="47" ht="45.5" customHeight="1" spans="1:4">
      <c r="A47" s="584" t="s">
        <v>2541</v>
      </c>
      <c r="B47" s="585" t="s">
        <v>2677</v>
      </c>
      <c r="C47" s="584" t="s">
        <v>2678</v>
      </c>
    </row>
    <row r="48" ht="32" customHeight="1" spans="1:4">
      <c r="A48" s="584" t="s">
        <v>2542</v>
      </c>
      <c r="B48" s="585" t="s">
        <v>2679</v>
      </c>
      <c r="C48" s="584" t="s">
        <v>2680</v>
      </c>
    </row>
    <row r="49" ht="32" customHeight="1" spans="1:4">
      <c r="A49" s="584" t="s">
        <v>2542</v>
      </c>
      <c r="B49" s="585" t="s">
        <v>2681</v>
      </c>
      <c r="C49" s="584" t="s">
        <v>2682</v>
      </c>
    </row>
    <row r="50" ht="32" customHeight="1" spans="1:4">
      <c r="A50" s="584" t="s">
        <v>2543</v>
      </c>
      <c r="B50" s="585" t="s">
        <v>2683</v>
      </c>
      <c r="C50" s="584" t="s">
        <v>2684</v>
      </c>
    </row>
    <row r="51" ht="45.5" customHeight="1" spans="1:4">
      <c r="A51" s="584" t="s">
        <v>2543</v>
      </c>
      <c r="B51" s="585" t="s">
        <v>2685</v>
      </c>
      <c r="C51" s="584" t="s">
        <v>2686</v>
      </c>
    </row>
    <row r="52" ht="32" customHeight="1" spans="1:4">
      <c r="A52" s="584" t="s">
        <v>2543</v>
      </c>
      <c r="B52" s="585" t="s">
        <v>2687</v>
      </c>
      <c r="C52" s="584" t="s">
        <v>2688</v>
      </c>
    </row>
    <row r="53" ht="32" customHeight="1" spans="1:4">
      <c r="A53" s="584" t="s">
        <v>2543</v>
      </c>
      <c r="B53" s="585" t="s">
        <v>2689</v>
      </c>
      <c r="C53" s="584" t="s">
        <v>2690</v>
      </c>
    </row>
    <row r="54" ht="32" customHeight="1" spans="1:4">
      <c r="A54" s="584" t="s">
        <v>2543</v>
      </c>
      <c r="B54" s="585" t="s">
        <v>2691</v>
      </c>
      <c r="C54" s="584" t="inlineStr">
        <is>
          <t xml:space="preserve">速度每40千米/小时计10%致死；撞墙且无处跌落时翻倍。存活者体质×5，失败眩晕。载具冲撞按载具规则结算。</t>
        </is>
      </c>
    </row>
    <row r="55" ht="32" customHeight="1" spans="1:4">
      <c r="A55" s="584" t="s">
        <v>2543</v>
      </c>
      <c r="B55" s="585" t="s">
        <v>2692</v>
      </c>
      <c r="C55" s="584" t="s">
        <v>2693</v>
      </c>
    </row>
    <row r="56" ht="32" customHeight="1" spans="1:4">
      <c r="A56" s="584" t="s">
        <v>2543</v>
      </c>
      <c r="B56" s="585" t="s">
        <v>2694</v>
      </c>
      <c r="C56" s="584" t="s">
        <v>2695</v>
      </c>
    </row>
    <row r="57" ht="32" customHeight="1" spans="1:4">
      <c r="A57" s="584" t="s">
        <v>2544</v>
      </c>
      <c r="B57" s="585" t="s">
        <v>2696</v>
      </c>
      <c r="C57" s="584" t="s">
        <v>2697</v>
      </c>
    </row>
    <row r="58" ht="45.5" customHeight="1" spans="1:4">
      <c r="A58" s="584" t="s">
        <v>2544</v>
      </c>
      <c r="B58" s="585" t="s">
        <v>2698</v>
      </c>
      <c r="C58" s="584" t="s">
        <v>2699</v>
      </c>
    </row>
    <row r="59" ht="45.5" customHeight="1" spans="1:4">
      <c r="A59" s="584" t="s">
        <v>2544</v>
      </c>
      <c r="B59" s="585" t="s">
        <v>2700</v>
      </c>
      <c r="C59" s="584" t="s">
        <v>2701</v>
      </c>
    </row>
    <row r="60" ht="32" customHeight="1" spans="1:4">
      <c r="A60" s="584" t="s">
        <v>2544</v>
      </c>
      <c r="B60" s="585" t="s">
        <v>2702</v>
      </c>
      <c r="C60" s="584" t="s">
        <v>2703</v>
      </c>
    </row>
    <row r="61" ht="45.5" customHeight="1" spans="1:4">
      <c r="A61" s="584" t="s">
        <v>2544</v>
      </c>
      <c r="B61" s="585" t="s">
        <v>2704</v>
      </c>
      <c r="C61" s="584" t="s">
        <v>2705</v>
      </c>
    </row>
    <row r="62" ht="45.5" customHeight="1" spans="1:4">
      <c r="A62" s="584" t="s">
        <v>2544</v>
      </c>
      <c r="B62" s="585" t="s">
        <v>2706</v>
      </c>
      <c r="C62" s="584" t="s">
        <v>2707</v>
      </c>
    </row>
    <row r="63" ht="32" customHeight="1" spans="1:4">
      <c r="A63" s="584" t="s">
        <v>2544</v>
      </c>
      <c r="B63" s="585" t="s">
        <v>2708</v>
      </c>
      <c r="C63" s="584" t="s">
        <v>2709</v>
      </c>
    </row>
    <row r="64" ht="32" customHeight="1" spans="1:4">
      <c r="A64" s="584" t="s">
        <v>2544</v>
      </c>
      <c r="B64" s="585" t="s">
        <v>2710</v>
      </c>
      <c r="C64" s="584" t="s">
        <v>2711</v>
      </c>
    </row>
    <row r="65" ht="45.5" customHeight="1" spans="1:4">
      <c r="A65" s="584" t="s">
        <v>2544</v>
      </c>
      <c r="B65" s="585" t="s">
        <v>2712</v>
      </c>
      <c r="C65" s="584" t="s">
        <v>2713</v>
      </c>
    </row>
    <row r="66" ht="32" customHeight="1" spans="1:4">
      <c r="A66" s="584" t="s">
        <v>2545</v>
      </c>
      <c r="B66" s="585" t="s">
        <v>642</v>
      </c>
      <c r="C66" s="584" t="s">
        <v>2714</v>
      </c>
    </row>
    <row r="67" ht="32" customHeight="1" spans="1:4">
      <c r="A67" s="584" t="s">
        <v>2545</v>
      </c>
      <c r="B67" s="585" t="s">
        <v>649</v>
      </c>
      <c r="C67" s="584" t="s">
        <v>2715</v>
      </c>
    </row>
    <row r="68" ht="32" customHeight="1" spans="1:4">
      <c r="A68" s="584" t="s">
        <v>2545</v>
      </c>
      <c r="B68" s="585" t="s">
        <v>652</v>
      </c>
      <c r="C68" s="584" t="s">
        <v>2716</v>
      </c>
    </row>
    <row r="69" ht="32" customHeight="1" spans="1:4">
      <c r="A69" s="584" t="s">
        <v>2545</v>
      </c>
      <c r="B69" s="585" t="s">
        <v>121</v>
      </c>
      <c r="C69" s="584" t="s">
        <v>2717</v>
      </c>
    </row>
    <row r="70" ht="45.5" customHeight="1" spans="1:4">
      <c r="A70" s="584" t="s">
        <v>2545</v>
      </c>
      <c r="B70" s="585" t="s">
        <v>2718</v>
      </c>
      <c r="C70" s="584" t="inlineStr">
        <is>
          <t xml:space="preserve">创伤损失理智后，通常保留原崩溃点。例如初始理智60、崩溃点48；创伤后理智55，崩溃点仍为48。“人类不应知道之事”另行重置。</t>
        </is>
      </c>
    </row>
    <row r="71" ht="32" customHeight="1" spans="1:4">
      <c r="A71" s="584" t="s">
        <v>2546</v>
      </c>
      <c r="B71" s="585" t="s">
        <v>2719</v>
      </c>
      <c r="C71" s="584" t="inlineStr">
        <is>
          <t xml:space="preserve">武器栏自动带入基础数值；命中奖惩、配件效果与近战伤害加成仍按实际情景处理。</t>
        </is>
      </c>
    </row>
    <row r="72" ht="45.5" customHeight="1" spans="1:4">
      <c r="A72" s="584" t="s">
        <v>2546</v>
      </c>
      <c r="B72" s="585" t="inlineStr">
        <is>
          <t xml:space="preserve">霰弹枪</t>
        </is>
      </c>
      <c r="C72" s="584" t="inlineStr">
        <is>
          <t xml:space="preserve">独头弹基础射程75米、伤害2D8，基础射程外伤害2D6；霰弹弹丸基础射程75米、伤害2D8，基础射程外伤害减半。</t>
        </is>
      </c>
    </row>
    <row r="73" ht="45.5" customHeight="1" spans="1:4">
      <c r="A73" s="586" t="s">
        <v>2547</v>
      </c>
      <c r="B73" s="587" t="s">
        <v>2720</v>
      </c>
      <c r="C73" s="586" t="s">
        <v>2721</v>
      </c>
    </row>
    <row r="74" ht="32" customHeight="1" spans="1:4">
      <c r="A74" s="588" t="s">
        <v>2547</v>
      </c>
      <c r="B74" s="589" t="s">
        <v>2720</v>
      </c>
      <c r="C74" s="588" t="s">
        <v>2722</v>
      </c>
    </row>
    <row r="75" ht="32" customHeight="1" spans="1:4">
      <c r="A75" s="586" t="s">
        <v>2547</v>
      </c>
      <c r="B75" s="587" t="s">
        <v>2720</v>
      </c>
      <c r="C75" s="586" t="s">
        <v>2723</v>
      </c>
    </row>
    <row r="76" ht="32" customHeight="1" spans="1:4">
      <c r="A76" s="588" t="s">
        <v>2547</v>
      </c>
      <c r="B76" s="589" t="s">
        <v>2720</v>
      </c>
      <c r="C76" s="588" t="s">
        <v>2724</v>
      </c>
    </row>
    <row r="77" ht="32" customHeight="1" spans="1:4">
      <c r="A77" s="586" t="s">
        <v>2547</v>
      </c>
      <c r="B77" s="587" t="s">
        <v>2720</v>
      </c>
      <c r="C77" s="586" t="s">
        <v>2725</v>
      </c>
    </row>
    <row r="78" ht="32" customHeight="1" spans="1:4">
      <c r="A78" s="588" t="s">
        <v>2547</v>
      </c>
      <c r="B78" s="589" t="s">
        <v>2720</v>
      </c>
      <c r="C78" s="588" t="s">
        <v>2726</v>
      </c>
    </row>
    <row r="79" ht="32" customHeight="1" spans="1:4">
      <c r="A79" s="586" t="s">
        <v>2547</v>
      </c>
      <c r="B79" s="587" t="s">
        <v>2720</v>
      </c>
      <c r="C79" s="586" t="s">
        <v>2727</v>
      </c>
    </row>
    <row r="80" ht="59" customHeight="1" spans="1:4">
      <c r="A80" s="588" t="s">
        <v>2547</v>
      </c>
      <c r="B80" s="589" t="s">
        <v>2720</v>
      </c>
      <c r="C80" s="588" t="s">
        <v>2728</v>
      </c>
    </row>
    <row r="81" ht="79" customHeight="1" spans="1:4">
      <c r="A81" s="586" t="s">
        <v>2547</v>
      </c>
      <c r="B81" s="587" t="s">
        <v>2720</v>
      </c>
      <c r="C81" s="586" t="s">
        <v>2729</v>
      </c>
    </row>
    <row r="82" ht="32" customHeight="1" spans="1:4">
      <c r="A82" s="588" t="s">
        <v>2547</v>
      </c>
      <c r="B82" s="589" t="s">
        <v>2720</v>
      </c>
      <c r="C82" s="588" t="s">
        <v>2730</v>
      </c>
    </row>
    <row r="83" ht="92.5" customHeight="1" spans="1:4">
      <c r="A83" s="586" t="s">
        <v>2547</v>
      </c>
      <c r="B83" s="587" t="s">
        <v>2720</v>
      </c>
      <c r="C83" s="586" t="s">
        <v>2731</v>
      </c>
    </row>
    <row r="84" ht="32" customHeight="1" spans="1:4">
      <c r="A84" s="588" t="s">
        <v>2547</v>
      </c>
      <c r="B84" s="589" t="s">
        <v>2732</v>
      </c>
      <c r="C84" s="588" t="s">
        <v>2733</v>
      </c>
    </row>
    <row r="85" ht="45.5" customHeight="1" spans="1:4">
      <c r="A85" s="586" t="s">
        <v>36</v>
      </c>
      <c r="B85" s="587" t="s">
        <v>2734</v>
      </c>
      <c r="C85" s="586" t="s">
        <v>2735</v>
      </c>
    </row>
    <row r="86" ht="45.5" customHeight="1" spans="1:4">
      <c r="A86" s="588" t="s">
        <v>36</v>
      </c>
      <c r="B86" s="589" t="s">
        <v>2734</v>
      </c>
      <c r="C86" s="588" t="s">
        <v>2736</v>
      </c>
    </row>
    <row r="87" ht="45.5" customHeight="1" spans="1:4">
      <c r="A87" s="586" t="s">
        <v>2548</v>
      </c>
      <c r="B87" s="587" t="s">
        <v>2737</v>
      </c>
      <c r="C87" s="586" t="s">
        <v>2738</v>
      </c>
    </row>
    <row r="88" ht="32" customHeight="1" spans="1:4">
      <c r="A88" s="588" t="s">
        <v>2548</v>
      </c>
      <c r="B88" s="589" t="s">
        <v>2739</v>
      </c>
      <c r="C88" s="588" t="s">
        <v>2740</v>
      </c>
    </row>
    <row r="89" ht="32" customHeight="1" spans="1:4">
      <c r="A89" s="586" t="s">
        <v>2548</v>
      </c>
      <c r="B89" s="587" t="s">
        <v>2741</v>
      </c>
      <c r="C89" s="586" t="s">
        <v>2742</v>
      </c>
    </row>
    <row r="90" ht="32" customHeight="1" spans="1:4">
      <c r="A90" s="588" t="s">
        <v>2548</v>
      </c>
      <c r="B90" s="589" t="s">
        <v>2743</v>
      </c>
      <c r="C90" s="588" t="s">
        <v>2744</v>
      </c>
    </row>
    <row r="91" ht="32" customHeight="1" spans="1:4">
      <c r="A91" s="586" t="s">
        <v>2548</v>
      </c>
      <c r="B91" s="587" t="s">
        <v>2624</v>
      </c>
      <c r="C91" s="586" t="inlineStr">
        <is>
          <t xml:space="preserve">立刻变得精疲力尽。</t>
        </is>
      </c>
    </row>
    <row r="92" ht="32" customHeight="1" spans="1:4">
      <c r="A92" s="588" t="s">
        <v>2548</v>
      </c>
      <c r="B92" s="589" t="s">
        <v>2745</v>
      </c>
      <c r="C92" s="588" t="s">
        <v>2746</v>
      </c>
    </row>
    <row r="93" ht="32" customHeight="1" spans="1:4">
      <c r="A93" s="586" t="s">
        <v>2548</v>
      </c>
      <c r="B93" s="587" t="s">
        <v>2747</v>
      </c>
      <c r="C93" s="586" t="s">
        <v>2748</v>
      </c>
    </row>
    <row r="94" ht="32" customHeight="1" spans="1:4">
      <c r="A94" s="588" t="s">
        <v>2536</v>
      </c>
      <c r="B94" s="589" t="s">
        <v>2749</v>
      </c>
      <c r="C94" s="588" t="s">
        <v>2750</v>
      </c>
    </row>
    <row r="95" ht="72.5" customHeight="1" spans="1:4">
      <c r="A95" s="586" t="s">
        <v>2536</v>
      </c>
      <c r="B95" s="587" t="s">
        <v>2751</v>
      </c>
      <c r="C95" s="586" t="s">
        <v>2752</v>
      </c>
    </row>
    <row r="96" ht="92.5" customHeight="1" spans="1:4">
      <c r="A96" s="588" t="s">
        <v>2536</v>
      </c>
      <c r="B96" s="589" t="s">
        <v>2753</v>
      </c>
      <c r="C96" s="588" t="s">
        <v>2754</v>
      </c>
    </row>
    <row r="97" ht="59" customHeight="1" spans="1:4">
      <c r="A97" s="586" t="s">
        <v>2536</v>
      </c>
      <c r="B97" s="587" t="s">
        <v>2755</v>
      </c>
      <c r="C97" s="590" t="inlineStr">
        <is>
          <t xml:space="preserve">坐在载具中的乘客可以在追逐对抗开始前向对手射击。攻击使用战斗规则。每次追逐对抗等于一次战斗轮。如果你是驾驶员或是在徒步追逐，试图攻击而不是进行追逐对抗意味着对方在本次追逐对抗中自动成功。</t>
        </is>
      </c>
    </row>
    <row r="98" ht="32" customHeight="1" spans="1:4">
      <c r="A98" s="588" t="s">
        <v>2549</v>
      </c>
      <c r="B98" s="589" t="s">
        <v>2756</v>
      </c>
      <c r="C98" s="588" t="s">
        <v>2757</v>
      </c>
    </row>
    <row r="99" ht="32" customHeight="1" spans="1:4">
      <c r="A99" s="586" t="s">
        <v>2550</v>
      </c>
      <c r="B99" s="587" t="s">
        <v>2758</v>
      </c>
      <c r="C99" s="586" t="s">
        <v>2759</v>
      </c>
    </row>
    <row r="100" ht="32" customHeight="1" spans="1:4">
      <c r="A100" s="588" t="s">
        <v>2550</v>
      </c>
      <c r="B100" s="589" t="s">
        <v>2760</v>
      </c>
      <c r="C100" s="588" t="s">
        <v>2761</v>
      </c>
    </row>
    <row r="101" ht="32" customHeight="1" spans="1:4">
      <c r="A101" s="586" t="s">
        <v>2551</v>
      </c>
      <c r="B101" s="587" t="s">
        <v>2762</v>
      </c>
      <c r="C101" s="586" t="s">
        <v>2763</v>
      </c>
    </row>
    <row r="102" ht="32" customHeight="1" spans="1:4">
      <c r="A102" s="588" t="s">
        <v>2551</v>
      </c>
      <c r="B102" s="589" t="s">
        <v>2764</v>
      </c>
      <c r="C102" s="588" t="s">
        <v>2765</v>
      </c>
    </row>
    <row r="103" ht="32" customHeight="1" spans="1:4">
      <c r="A103" s="586" t="s">
        <v>2551</v>
      </c>
      <c r="B103" s="587" t="s">
        <v>2766</v>
      </c>
      <c r="C103" s="586" t="s">
        <v>2767</v>
      </c>
    </row>
    <row r="104" ht="32" customHeight="1" spans="1:4">
      <c r="A104" s="588" t="s">
        <v>2551</v>
      </c>
      <c r="B104" s="589" t="s">
        <v>2768</v>
      </c>
      <c r="C104" s="588" t="s">
        <v>2769</v>
      </c>
    </row>
    <row r="105" ht="32" customHeight="1" spans="1:4">
      <c r="A105" s="586" t="s">
        <v>2552</v>
      </c>
      <c r="B105" s="587" t="s">
        <v>2770</v>
      </c>
      <c r="C105" s="586" t="s">
        <v>2771</v>
      </c>
    </row>
    <row r="106" ht="32" customHeight="1" spans="1:4">
      <c r="A106" s="588" t="s">
        <v>2552</v>
      </c>
      <c r="B106" s="589" t="s">
        <v>2772</v>
      </c>
      <c r="C106" s="588" t="s">
        <v>2773</v>
      </c>
    </row>
    <row r="107" ht="32" customHeight="1" spans="1:4">
      <c r="A107" s="586" t="s">
        <v>2552</v>
      </c>
      <c r="B107" s="587" t="s">
        <v>2774</v>
      </c>
      <c r="C107" s="586" t="s">
        <v>2775</v>
      </c>
    </row>
    <row r="108" ht="32" customHeight="1" spans="1:4">
      <c r="A108" s="588" t="s">
        <v>2552</v>
      </c>
      <c r="B108" s="589" t="s">
        <v>2776</v>
      </c>
      <c r="C108" s="588" t="s">
        <v>2777</v>
      </c>
    </row>
    <row r="109" ht="32" customHeight="1" spans="1:4">
      <c r="A109" s="586" t="s">
        <v>2553</v>
      </c>
      <c r="B109" s="587" t="s">
        <v>2778</v>
      </c>
      <c r="C109" s="586" t="s">
        <v>2779</v>
      </c>
    </row>
    <row r="110" ht="32" customHeight="1" spans="1:4">
      <c r="A110" s="588" t="s">
        <v>2553</v>
      </c>
      <c r="B110" s="589" t="s">
        <v>2780</v>
      </c>
      <c r="C110" s="588" t="s">
        <v>2781</v>
      </c>
    </row>
    <row r="111" ht="32" customHeight="1" spans="1:4">
      <c r="A111" s="586" t="s">
        <v>2553</v>
      </c>
      <c r="B111" s="587" t="s">
        <v>2782</v>
      </c>
      <c r="C111" s="586" t="s">
        <v>2783</v>
      </c>
    </row>
    <row r="112" ht="32" customHeight="1" spans="1:4">
      <c r="A112" s="588" t="s">
        <v>2553</v>
      </c>
      <c r="B112" s="589" t="s">
        <v>2784</v>
      </c>
      <c r="C112" s="588" t="s">
        <v>2775</v>
      </c>
    </row>
    <row r="113" ht="32" customHeight="1" spans="1:4">
      <c r="A113" s="586" t="s">
        <v>2553</v>
      </c>
      <c r="B113" s="587" t="s">
        <v>2785</v>
      </c>
      <c r="C113" s="586" t="s">
        <v>2786</v>
      </c>
    </row>
    <row r="114" ht="32" customHeight="1" spans="1:4">
      <c r="A114" s="588" t="s">
        <v>2553</v>
      </c>
      <c r="B114" s="589" t="s">
        <v>2787</v>
      </c>
      <c r="C114" s="588" t="s">
        <v>2788</v>
      </c>
    </row>
    <row r="115" ht="32" customHeight="1" spans="1:4">
      <c r="A115" s="586" t="s">
        <v>2554</v>
      </c>
      <c r="B115" s="587" t="s">
        <v>2789</v>
      </c>
      <c r="C115" s="586" t="s">
        <v>2790</v>
      </c>
    </row>
    <row r="116" ht="32" customHeight="1" spans="1:4">
      <c r="A116" s="588" t="s">
        <v>2554</v>
      </c>
      <c r="B116" s="589" t="s">
        <v>2791</v>
      </c>
      <c r="C116" s="588" t="s">
        <v>2792</v>
      </c>
    </row>
    <row r="117" ht="32" customHeight="1" spans="1:4">
      <c r="A117" s="586" t="s">
        <v>2554</v>
      </c>
      <c r="B117" s="587" t="s">
        <v>2793</v>
      </c>
      <c r="C117" s="586" t="s">
        <v>2794</v>
      </c>
    </row>
    <row r="118" ht="32" customHeight="1" spans="1:4">
      <c r="A118" s="588" t="s">
        <v>2554</v>
      </c>
      <c r="B118" s="589" t="s">
        <v>2795</v>
      </c>
      <c r="C118" s="588" t="s">
        <v>2796</v>
      </c>
    </row>
    <row r="119" ht="32" customHeight="1" spans="1:4">
      <c r="A119" s="586" t="s">
        <v>2554</v>
      </c>
      <c r="B119" s="587" t="s">
        <v>2797</v>
      </c>
      <c r="C119" s="586" t="s">
        <v>2798</v>
      </c>
    </row>
    <row r="120" ht="32" customHeight="1" spans="1:4">
      <c r="A120" s="588" t="s">
        <v>2555</v>
      </c>
      <c r="B120" s="589" t="s">
        <v>2799</v>
      </c>
      <c r="C120" s="588" t="s">
        <v>2757</v>
      </c>
    </row>
    <row r="121" ht="32" customHeight="1" spans="1:4">
      <c r="A121" s="586" t="s">
        <v>2555</v>
      </c>
      <c r="B121" s="587" t="s">
        <v>2800</v>
      </c>
      <c r="C121" s="586" t="s">
        <v>2765</v>
      </c>
    </row>
    <row r="122" ht="32" customHeight="1" spans="1:4">
      <c r="A122" s="588" t="s">
        <v>2555</v>
      </c>
      <c r="B122" s="589" t="s">
        <v>2801</v>
      </c>
      <c r="C122" s="588" t="s">
        <v>2802</v>
      </c>
    </row>
    <row r="123" ht="32" customHeight="1" spans="1:4">
      <c r="A123" s="586" t="s">
        <v>2555</v>
      </c>
      <c r="B123" s="587" t="s">
        <v>2803</v>
      </c>
      <c r="C123" s="586" t="s">
        <v>2804</v>
      </c>
    </row>
    <row r="124" ht="32" customHeight="1" spans="1:4">
      <c r="A124" s="588" t="s">
        <v>2555</v>
      </c>
      <c r="B124" s="589" t="s">
        <v>2805</v>
      </c>
      <c r="C124" s="588" t="s">
        <v>2806</v>
      </c>
    </row>
    <row r="125" ht="32" customHeight="1" spans="1:4">
      <c r="A125" s="586" t="s">
        <v>2555</v>
      </c>
      <c r="B125" s="587" t="s">
        <v>2807</v>
      </c>
      <c r="C125" s="586" t="s">
        <v>2761</v>
      </c>
    </row>
    <row r="126" ht="32" customHeight="1" spans="1:4">
      <c r="A126" s="588" t="s">
        <v>2555</v>
      </c>
      <c r="B126" s="589" t="s">
        <v>2808</v>
      </c>
      <c r="C126" s="588" t="s">
        <v>2771</v>
      </c>
    </row>
    <row r="127" ht="32" customHeight="1" spans="1:4">
      <c r="A127" s="586" t="s">
        <v>2555</v>
      </c>
      <c r="B127" s="587" t="s">
        <v>2809</v>
      </c>
      <c r="C127" s="586" t="s">
        <v>2775</v>
      </c>
    </row>
    <row r="128" ht="32" customHeight="1" spans="1:4">
      <c r="A128" s="588" t="s">
        <v>2556</v>
      </c>
      <c r="B128" s="589" t="s">
        <v>2810</v>
      </c>
      <c r="C128" s="588" t="s">
        <v>2811</v>
      </c>
    </row>
    <row r="129" ht="32" customHeight="1" spans="1:4">
      <c r="A129" s="586" t="s">
        <v>2556</v>
      </c>
      <c r="B129" s="587" t="s">
        <v>2812</v>
      </c>
      <c r="C129" s="586" t="s">
        <v>2771</v>
      </c>
    </row>
    <row r="130" ht="32" customHeight="1" spans="1:4">
      <c r="A130" s="588" t="s">
        <v>2556</v>
      </c>
      <c r="B130" s="589" t="s">
        <v>2813</v>
      </c>
      <c r="C130" s="588" t="s">
        <v>2814</v>
      </c>
    </row>
    <row r="131" ht="32" customHeight="1" spans="1:4">
      <c r="A131" s="586" t="s">
        <v>2556</v>
      </c>
      <c r="B131" s="587" t="s">
        <v>2815</v>
      </c>
      <c r="C131" s="586" t="s">
        <v>2771</v>
      </c>
    </row>
    <row r="132" ht="32" customHeight="1" spans="1:4">
      <c r="A132" s="588" t="s">
        <v>2556</v>
      </c>
      <c r="B132" s="589" t="s">
        <v>2816</v>
      </c>
      <c r="C132" s="588" t="s">
        <v>2817</v>
      </c>
    </row>
    <row r="133" ht="32" customHeight="1" spans="1:4">
      <c r="A133" s="586" t="s">
        <v>2556</v>
      </c>
      <c r="B133" s="587" t="s">
        <v>2818</v>
      </c>
      <c r="C133" s="586" t="s">
        <v>2804</v>
      </c>
    </row>
    <row r="134" ht="32" customHeight="1" spans="1:4">
      <c r="A134" s="588" t="s">
        <v>2556</v>
      </c>
      <c r="B134" s="589" t="s">
        <v>2819</v>
      </c>
      <c r="C134" s="588" t="s">
        <v>2820</v>
      </c>
    </row>
    <row r="135" ht="32" customHeight="1" spans="1:4">
      <c r="A135" s="586" t="s">
        <v>2556</v>
      </c>
      <c r="B135" s="587" t="s">
        <v>2821</v>
      </c>
      <c r="C135" s="586" t="s">
        <v>2820</v>
      </c>
    </row>
    <row r="136" ht="45.5" customHeight="1" spans="1:4">
      <c r="A136" s="588" t="s">
        <v>2556</v>
      </c>
      <c r="B136" s="589" t="s">
        <v>2822</v>
      </c>
      <c r="C136" s="588" t="s">
        <v>2823</v>
      </c>
    </row>
    <row r="137" ht="32" customHeight="1" spans="1:4">
      <c r="A137" s="586" t="s">
        <v>2557</v>
      </c>
      <c r="B137" s="587" t="s">
        <v>2824</v>
      </c>
      <c r="C137" s="586" t="s">
        <v>2825</v>
      </c>
    </row>
    <row r="138" ht="32" customHeight="1" spans="1:4">
      <c r="A138" s="588" t="s">
        <v>2557</v>
      </c>
      <c r="B138" s="589" t="s">
        <v>2826</v>
      </c>
      <c r="C138" s="588" t="s">
        <v>2827</v>
      </c>
    </row>
    <row r="139" ht="32" customHeight="1" spans="1:4">
      <c r="A139" s="586" t="s">
        <v>2558</v>
      </c>
      <c r="B139" s="587" t="s">
        <v>2828</v>
      </c>
      <c r="C139" s="586" t="s">
        <v>2771</v>
      </c>
    </row>
    <row r="140" ht="32" customHeight="1" spans="1:4">
      <c r="A140" s="588" t="s">
        <v>2558</v>
      </c>
      <c r="B140" s="589" t="s">
        <v>2829</v>
      </c>
      <c r="C140" s="588" t="s">
        <v>2830</v>
      </c>
    </row>
    <row r="141" ht="32" customHeight="1" spans="1:4">
      <c r="A141" s="586" t="s">
        <v>2558</v>
      </c>
      <c r="B141" s="587" t="s">
        <v>2831</v>
      </c>
      <c r="C141" s="586" t="s">
        <v>2832</v>
      </c>
    </row>
    <row r="142" ht="32" customHeight="1" spans="1:4">
      <c r="A142" s="588" t="s">
        <v>2558</v>
      </c>
      <c r="B142" s="589" t="s">
        <v>2833</v>
      </c>
      <c r="C142" s="588" t="s">
        <v>2834</v>
      </c>
    </row>
    <row r="143" ht="32" customHeight="1" spans="1:4">
      <c r="A143" s="586" t="s">
        <v>2558</v>
      </c>
      <c r="B143" s="587" t="s">
        <v>2835</v>
      </c>
      <c r="C143" s="586" t="s">
        <v>2775</v>
      </c>
    </row>
    <row r="144" ht="32" customHeight="1" spans="1:4">
      <c r="A144" s="588" t="s">
        <v>2559</v>
      </c>
      <c r="B144" s="589" t="s">
        <v>2836</v>
      </c>
      <c r="C144" s="588" t="s">
        <v>2837</v>
      </c>
    </row>
    <row r="145" ht="45.5" customHeight="1" spans="1:4">
      <c r="A145" s="586" t="s">
        <v>2559</v>
      </c>
      <c r="B145" s="587" t="s">
        <v>2838</v>
      </c>
      <c r="C145" s="586" t="s">
        <v>2839</v>
      </c>
    </row>
    <row r="146" ht="59" customHeight="1" spans="1:4">
      <c r="A146" s="588" t="s">
        <v>2559</v>
      </c>
      <c r="B146" s="589" t="s">
        <v>2840</v>
      </c>
      <c r="C146" s="588" t="s">
        <v>2841</v>
      </c>
    </row>
    <row r="147" ht="59" customHeight="1" spans="1:4">
      <c r="A147" s="586" t="s">
        <v>2559</v>
      </c>
      <c r="B147" s="587" t="s">
        <v>2842</v>
      </c>
      <c r="C147" s="586" t="s">
        <v>2843</v>
      </c>
    </row>
    <row r="148" ht="32" customHeight="1" spans="1:4">
      <c r="A148" s="588" t="s">
        <v>2559</v>
      </c>
      <c r="B148" s="589" t="s">
        <v>2844</v>
      </c>
      <c r="C148" s="588" t="s">
        <v>2845</v>
      </c>
    </row>
    <row r="149" ht="32" customHeight="1" spans="1:4">
      <c r="A149" s="586" t="s">
        <v>2560</v>
      </c>
      <c r="B149" s="587" t="s">
        <v>2846</v>
      </c>
      <c r="C149" s="586" t="s">
        <v>2847</v>
      </c>
    </row>
    <row r="150" ht="32" customHeight="1" spans="1:4">
      <c r="A150" s="588" t="s">
        <v>2560</v>
      </c>
      <c r="B150" s="589" t="s">
        <v>2848</v>
      </c>
      <c r="C150" s="588" t="s">
        <v>2849</v>
      </c>
    </row>
    <row r="151" ht="32" customHeight="1" spans="1:4">
      <c r="A151" s="586" t="s">
        <v>2560</v>
      </c>
      <c r="B151" s="587" t="s">
        <v>2850</v>
      </c>
      <c r="C151" s="586" t="s">
        <v>2851</v>
      </c>
    </row>
    <row r="152" ht="32" customHeight="1" spans="1:4">
      <c r="A152" s="588" t="s">
        <v>2560</v>
      </c>
      <c r="B152" s="589" t="s">
        <v>2470</v>
      </c>
      <c r="C152" s="588" t="s">
        <v>2852</v>
      </c>
    </row>
    <row r="153" ht="32" customHeight="1" spans="1:4">
      <c r="A153" s="586" t="s">
        <v>2561</v>
      </c>
      <c r="B153" s="587" t="s">
        <v>2853</v>
      </c>
      <c r="C153" s="586" t="s">
        <v>2854</v>
      </c>
    </row>
    <row r="154" ht="32" customHeight="1" spans="1:4">
      <c r="A154" s="588" t="s">
        <v>2561</v>
      </c>
      <c r="B154" s="589" t="inlineStr">
        <is>
          <t xml:space="preserve">防暴头盔</t>
        </is>
      </c>
      <c r="C154" s="588" t="s">
        <v>2855</v>
      </c>
    </row>
    <row r="155" ht="32" customHeight="1" spans="1:4">
      <c r="A155" s="586" t="s">
        <v>2561</v>
      </c>
      <c r="B155" s="587" t="s">
        <v>2856</v>
      </c>
      <c r="C155" s="586" t="s">
        <v>2854</v>
      </c>
    </row>
    <row r="156" ht="32" customHeight="1" spans="1:4">
      <c r="A156" s="588" t="s">
        <v>2561</v>
      </c>
      <c r="B156" s="589" t="inlineStr">
        <is>
          <t xml:space="preserve">凯夫拉尔头盔</t>
        </is>
      </c>
      <c r="C156" s="588" t="s">
        <v>2857</v>
      </c>
    </row>
    <row r="157" ht="32" customHeight="1" spans="1:4">
      <c r="A157" s="586" t="s">
        <v>2561</v>
      </c>
      <c r="B157" s="587" t="s">
        <v>2858</v>
      </c>
      <c r="C157" s="586" t="s">
        <v>2859</v>
      </c>
    </row>
    <row r="158" ht="32" customHeight="1" spans="1:4">
      <c r="A158" s="588" t="s">
        <v>2561</v>
      </c>
      <c r="B158" s="589" t="inlineStr">
        <is>
          <t xml:space="preserve">凯夫拉尔防弹背心</t>
        </is>
      </c>
      <c r="C158" s="588" t="s">
        <v>2860</v>
      </c>
    </row>
    <row r="159" ht="32" customHeight="1" spans="1:4">
      <c r="A159" s="586" t="s">
        <v>2561</v>
      </c>
      <c r="B159" s="587" t="s">
        <v>2861</v>
      </c>
      <c r="C159" s="586" t="s">
        <v>2862</v>
      </c>
    </row>
    <row r="160" ht="32" customHeight="1" spans="1:4">
      <c r="A160" s="588" t="s">
        <v>2561</v>
      </c>
      <c r="B160" s="589" t="inlineStr">
        <is>
          <t xml:space="preserve">增强凯夫拉尔防弹背心</t>
        </is>
      </c>
      <c r="C160" s="588" t="s">
        <v>2863</v>
      </c>
    </row>
    <row r="161" ht="32" customHeight="1" spans="1:4">
      <c r="A161" s="586" t="s">
        <v>2561</v>
      </c>
      <c r="B161" s="587" t="s">
        <v>2864</v>
      </c>
      <c r="C161" s="586" t="s">
        <v>2865</v>
      </c>
    </row>
    <row r="162" ht="32" customHeight="1" spans="1:4">
      <c r="A162" s="588" t="s">
        <v>2561</v>
      </c>
      <c r="B162" s="589" t="inlineStr">
        <is>
          <t xml:space="preserve">战术防弹衣</t>
        </is>
      </c>
      <c r="C162" s="588" t="s">
        <v>2866</v>
      </c>
    </row>
    <row r="163" ht="32" customHeight="1" spans="1:4">
      <c r="A163" s="586" t="s">
        <v>2561</v>
      </c>
      <c r="B163" s="587" t="s">
        <v>2867</v>
      </c>
      <c r="C163" s="586" t="s">
        <v>2868</v>
      </c>
    </row>
    <row r="164" ht="32" customHeight="1" spans="1:4">
      <c r="A164" s="588" t="s">
        <v>2561</v>
      </c>
      <c r="B164" s="589" t="inlineStr">
        <is>
          <t xml:space="preserve">防爆服</t>
        </is>
      </c>
      <c r="C164" s="588" t="s">
        <v>2869</v>
      </c>
    </row>
    <row r="165" ht="32" customHeight="1" spans="1:4">
      <c r="A165" s="586" t="s">
        <v>2562</v>
      </c>
      <c r="B165" s="587" t="s">
        <v>2870</v>
      </c>
      <c r="C165" s="586" t="s">
        <v>2871</v>
      </c>
    </row>
    <row r="166" ht="32" customHeight="1" spans="1:4">
      <c r="A166" s="588" t="s">
        <v>2562</v>
      </c>
      <c r="B166" s="589" t="s">
        <v>2872</v>
      </c>
      <c r="C166" s="588" t="s">
        <v>2873</v>
      </c>
    </row>
    <row r="167" ht="32" customHeight="1" spans="1:4">
      <c r="A167" s="586" t="s">
        <v>2562</v>
      </c>
      <c r="B167" s="587" t="s">
        <v>2874</v>
      </c>
      <c r="C167" s="586" t="s">
        <v>2875</v>
      </c>
    </row>
    <row r="168" ht="32" customHeight="1" spans="1:4">
      <c r="A168" s="588" t="s">
        <v>2562</v>
      </c>
      <c r="B168" s="589" t="s">
        <v>2876</v>
      </c>
      <c r="C168" s="588" t="s">
        <v>2877</v>
      </c>
    </row>
    <row r="169" ht="32" customHeight="1" spans="1:4">
      <c r="A169" s="586" t="s">
        <v>2562</v>
      </c>
      <c r="B169" s="587" t="s">
        <v>2878</v>
      </c>
      <c r="C169" s="586" t="s">
        <v>2879</v>
      </c>
    </row>
    <row r="170" ht="32" customHeight="1" spans="1:4">
      <c r="A170" s="588" t="s">
        <v>2562</v>
      </c>
      <c r="B170" s="589" t="s">
        <v>2880</v>
      </c>
      <c r="C170" s="588" t="s">
        <v>2881</v>
      </c>
    </row>
    <row r="171" ht="32" customHeight="1" spans="1:4">
      <c r="A171" s="586" t="s">
        <v>2562</v>
      </c>
      <c r="B171" s="587" t="s">
        <v>2882</v>
      </c>
      <c r="C171" s="586" t="s">
        <v>2883</v>
      </c>
    </row>
    <row r="172" ht="32" customHeight="1" spans="1:4">
      <c r="A172" s="588" t="s">
        <v>2562</v>
      </c>
      <c r="B172" s="589" t="s">
        <v>2884</v>
      </c>
      <c r="C172" s="588" t="s">
        <v>2885</v>
      </c>
    </row>
    <row r="173" ht="32" customHeight="1" spans="1:4">
      <c r="A173" s="586" t="s">
        <v>2562</v>
      </c>
      <c r="B173" s="587" t="s">
        <v>2886</v>
      </c>
      <c r="C173" s="586" t="s">
        <v>2887</v>
      </c>
    </row>
    <row r="174" ht="32" customHeight="1" spans="1:4">
      <c r="A174" s="588" t="s">
        <v>2562</v>
      </c>
      <c r="B174" s="589" t="s">
        <v>2888</v>
      </c>
      <c r="C174" s="588" t="s">
        <v>2889</v>
      </c>
    </row>
    <row r="175" ht="32" customHeight="1" spans="1:4">
      <c r="A175" s="586" t="s">
        <v>2562</v>
      </c>
      <c r="B175" s="587" t="s">
        <v>2890</v>
      </c>
      <c r="C175" s="586" t="s">
        <v>2891</v>
      </c>
    </row>
    <row r="176" ht="32" customHeight="1" spans="1:4">
      <c r="A176" s="588" t="s">
        <v>2563</v>
      </c>
      <c r="B176" s="589" t="s">
        <v>2892</v>
      </c>
      <c r="C176" s="588" t="s">
        <v>2893</v>
      </c>
    </row>
    <row r="177" ht="32" customHeight="1" spans="1:4">
      <c r="A177" s="586" t="s">
        <v>2563</v>
      </c>
      <c r="B177" s="587" t="s">
        <v>2894</v>
      </c>
      <c r="C177" s="586" t="s">
        <v>2895</v>
      </c>
    </row>
    <row r="178" ht="32" customHeight="1" spans="1:4">
      <c r="A178" s="588" t="s">
        <v>2563</v>
      </c>
      <c r="B178" s="589" t="s">
        <v>2896</v>
      </c>
      <c r="C178" s="588" t="s">
        <v>2897</v>
      </c>
    </row>
    <row r="179" ht="32" customHeight="1" spans="1:4">
      <c r="A179" s="586" t="s">
        <v>2563</v>
      </c>
      <c r="B179" s="587" t="s">
        <v>2898</v>
      </c>
      <c r="C179" s="586" t="s">
        <v>2899</v>
      </c>
    </row>
    <row r="180" ht="32" customHeight="1" spans="1:4">
      <c r="A180" s="588" t="s">
        <v>2564</v>
      </c>
      <c r="B180" s="589" t="s">
        <v>2900</v>
      </c>
      <c r="C180" s="588" t="s">
        <v>2901</v>
      </c>
    </row>
    <row r="181" ht="32" customHeight="1" spans="1:4">
      <c r="A181" s="586" t="s">
        <v>2564</v>
      </c>
      <c r="B181" s="587" t="s">
        <v>2902</v>
      </c>
      <c r="C181" s="586" t="s">
        <v>2899</v>
      </c>
    </row>
    <row r="182" ht="32" customHeight="1" spans="1:4">
      <c r="A182" s="588" t="s">
        <v>2564</v>
      </c>
      <c r="B182" s="589" t="s">
        <v>2903</v>
      </c>
      <c r="C182" s="588" t="s">
        <v>2904</v>
      </c>
    </row>
    <row r="183" ht="32" customHeight="1" spans="1:4">
      <c r="A183" s="586" t="s">
        <v>2564</v>
      </c>
      <c r="B183" s="587" t="s">
        <v>2905</v>
      </c>
      <c r="C183" s="586" t="s">
        <v>2906</v>
      </c>
    </row>
    <row r="184" ht="32" customHeight="1" spans="1:4">
      <c r="A184" s="588" t="s">
        <v>2564</v>
      </c>
      <c r="B184" s="589" t="s">
        <v>2907</v>
      </c>
      <c r="C184" s="588" t="s">
        <v>2908</v>
      </c>
    </row>
    <row r="185" ht="32" customHeight="1" spans="1:4">
      <c r="A185" s="586" t="s">
        <v>2564</v>
      </c>
      <c r="B185" s="587" t="s">
        <v>2909</v>
      </c>
      <c r="C185" s="586" t="s">
        <v>2910</v>
      </c>
    </row>
    <row r="186" ht="32" customHeight="1" spans="1:4">
      <c r="A186" s="588" t="s">
        <v>2565</v>
      </c>
      <c r="B186" s="589" t="s">
        <v>2911</v>
      </c>
      <c r="C186" s="588" t="s">
        <v>2912</v>
      </c>
    </row>
    <row r="187" ht="32" customHeight="1" spans="1:4">
      <c r="A187" s="586" t="s">
        <v>2565</v>
      </c>
      <c r="B187" s="587" t="s">
        <v>2913</v>
      </c>
      <c r="C187" s="586" t="s">
        <v>2914</v>
      </c>
    </row>
    <row r="188" ht="32" customHeight="1" spans="1:4">
      <c r="A188" s="588" t="s">
        <v>2565</v>
      </c>
      <c r="B188" s="589" t="s">
        <v>2915</v>
      </c>
      <c r="C188" s="588" t="s">
        <v>2916</v>
      </c>
    </row>
    <row r="189" ht="45.5" customHeight="1" spans="1:4">
      <c r="A189" s="586" t="s">
        <v>2565</v>
      </c>
      <c r="B189" s="587" t="s">
        <v>2917</v>
      </c>
      <c r="C189" s="586" t="s">
        <v>2918</v>
      </c>
    </row>
    <row r="190" ht="32" customHeight="1" spans="1:4">
      <c r="A190" s="588" t="s">
        <v>2565</v>
      </c>
      <c r="B190" s="589" t="s">
        <v>2919</v>
      </c>
      <c r="C190" s="588" t="s">
        <v>2920</v>
      </c>
    </row>
    <row r="191" ht="32" customHeight="1" spans="1:4">
      <c r="A191" s="586" t="s">
        <v>2565</v>
      </c>
      <c r="B191" s="587" t="s">
        <v>2921</v>
      </c>
      <c r="C191" s="586" t="s">
        <v>2922</v>
      </c>
    </row>
    <row r="192" ht="32" customHeight="1" spans="1:4">
      <c r="A192" s="588" t="s">
        <v>2565</v>
      </c>
      <c r="B192" s="589" t="s">
        <v>2923</v>
      </c>
      <c r="C192" s="588" t="s">
        <v>2924</v>
      </c>
    </row>
    <row r="193" ht="32" customHeight="1" spans="1:4">
      <c r="A193" s="586" t="s">
        <v>2565</v>
      </c>
      <c r="B193" s="587" t="s">
        <v>2925</v>
      </c>
      <c r="C193" s="586" t="s">
        <v>2926</v>
      </c>
    </row>
    <row r="194" ht="45.5" customHeight="1" spans="1:4">
      <c r="A194" s="588" t="s">
        <v>2566</v>
      </c>
      <c r="B194" s="589" t="s">
        <v>2409</v>
      </c>
      <c r="C194" s="588" t="s">
        <v>2927</v>
      </c>
    </row>
    <row r="195" ht="45.5" customHeight="1" spans="1:4">
      <c r="A195" s="586" t="s">
        <v>2566</v>
      </c>
      <c r="B195" s="587" t="s">
        <v>2461</v>
      </c>
      <c r="C195" s="586" t="s">
        <v>2928</v>
      </c>
    </row>
    <row r="196" ht="32" customHeight="1" spans="1:4">
      <c r="A196" s="588" t="s">
        <v>2566</v>
      </c>
      <c r="B196" s="589" t="s">
        <v>2470</v>
      </c>
      <c r="C196" s="588" t="s">
        <v>2929</v>
      </c>
    </row>
    <row r="197" ht="32" customHeight="1" spans="1:4">
      <c r="A197" s="586" t="s">
        <v>2566</v>
      </c>
      <c r="B197" s="587" t="s">
        <v>2496</v>
      </c>
      <c r="C197" s="586" t="s">
        <v>2930</v>
      </c>
    </row>
    <row r="198" ht="32" customHeight="1" spans="1:4">
      <c r="A198" s="588" t="s">
        <v>2566</v>
      </c>
      <c r="B198" s="589" t="inlineStr">
        <is>
          <t xml:space="preserve">极端</t>
        </is>
      </c>
      <c r="C198" s="588" t="s">
        <v>2931</v>
      </c>
    </row>
    <row r="199" ht="32" customHeight="1" spans="1:4">
      <c r="A199" s="586" t="s">
        <v>2566</v>
      </c>
      <c r="B199" s="587" t="inlineStr">
        <is>
          <t xml:space="preserve">极端</t>
        </is>
      </c>
      <c r="C199" s="586" t="s">
        <v>2932</v>
      </c>
    </row>
    <row r="200" ht="32" customHeight="1" spans="1:4">
      <c r="A200" s="588" t="s">
        <v>2567</v>
      </c>
      <c r="B200" s="589" t="s">
        <v>2387</v>
      </c>
      <c r="C200" s="588" t="s">
        <v>2933</v>
      </c>
    </row>
    <row r="201" ht="32" customHeight="1" spans="1:4">
      <c r="A201" s="586" t="s">
        <v>2567</v>
      </c>
      <c r="B201" s="587" t="s">
        <v>2392</v>
      </c>
      <c r="C201" s="586" t="s">
        <v>2934</v>
      </c>
    </row>
    <row r="202" ht="32" customHeight="1" spans="1:4">
      <c r="A202" s="588" t="s">
        <v>2567</v>
      </c>
      <c r="B202" s="589" t="s">
        <v>2395</v>
      </c>
      <c r="C202" s="588" t="s">
        <v>2935</v>
      </c>
    </row>
    <row r="203" ht="45.5" customHeight="1" spans="1:4">
      <c r="A203" s="586" t="s">
        <v>2567</v>
      </c>
      <c r="B203" s="587" t="inlineStr">
        <is>
          <t xml:space="preserve">绞具</t>
        </is>
      </c>
      <c r="C203" s="586" t="s">
        <v>2936</v>
      </c>
    </row>
    <row r="204" ht="32" customHeight="1" spans="1:4">
      <c r="A204" s="588" t="s">
        <v>2567</v>
      </c>
      <c r="B204" s="589" t="s">
        <v>63</v>
      </c>
      <c r="C204" s="588" t="s">
        <v>2937</v>
      </c>
    </row>
    <row r="205" ht="32" customHeight="1" spans="1:4">
      <c r="A205" s="586" t="s">
        <v>2567</v>
      </c>
      <c r="B205" s="587" t="s">
        <v>2398</v>
      </c>
      <c r="C205" s="586" t="s">
        <v>2938</v>
      </c>
    </row>
    <row r="206" ht="32" customHeight="1" spans="1:4">
      <c r="A206" s="588" t="s">
        <v>2567</v>
      </c>
      <c r="B206" s="589" t="s">
        <v>2399</v>
      </c>
      <c r="C206" s="588" t="s">
        <v>2939</v>
      </c>
    </row>
    <row r="207" ht="32" customHeight="1" spans="1:4">
      <c r="A207" s="586" t="s">
        <v>2567</v>
      </c>
      <c r="B207" s="587" t="s">
        <v>2401</v>
      </c>
      <c r="C207" s="586" t="s">
        <v>2940</v>
      </c>
    </row>
    <row r="208" ht="32" customHeight="1" spans="1:4">
      <c r="A208" s="588" t="s">
        <v>2567</v>
      </c>
      <c r="B208" s="589" t="s">
        <v>2402</v>
      </c>
      <c r="C208" s="588" t="s">
        <v>2941</v>
      </c>
    </row>
    <row r="209" ht="32" customHeight="1" spans="1:4">
      <c r="A209" s="586" t="s">
        <v>2567</v>
      </c>
      <c r="B209" s="587" t="s">
        <v>2404</v>
      </c>
      <c r="C209" s="586" t="s">
        <v>2941</v>
      </c>
    </row>
    <row r="210" ht="32" customHeight="1" spans="1:4">
      <c r="A210" s="588" t="s">
        <v>2567</v>
      </c>
      <c r="B210" s="589" t="s">
        <v>2405</v>
      </c>
      <c r="C210" s="588" t="s">
        <v>2942</v>
      </c>
    </row>
    <row r="211" ht="32" customHeight="1" spans="1:4">
      <c r="A211" s="586" t="s">
        <v>2567</v>
      </c>
      <c r="B211" s="587" t="s">
        <v>2406</v>
      </c>
      <c r="C211" s="586" t="s">
        <v>2943</v>
      </c>
    </row>
    <row r="212" ht="32" customHeight="1" spans="1:4">
      <c r="A212" s="588" t="s">
        <v>2567</v>
      </c>
      <c r="B212" s="589" t="s">
        <v>2408</v>
      </c>
      <c r="C212" s="588" t="s">
        <v>2944</v>
      </c>
    </row>
    <row r="213" ht="32" customHeight="1" spans="1:4">
      <c r="A213" s="586" t="s">
        <v>2567</v>
      </c>
      <c r="B213" s="587" t="s">
        <v>2410</v>
      </c>
      <c r="C213" s="586" t="s">
        <v>2945</v>
      </c>
    </row>
    <row r="214" ht="32" customHeight="1" spans="1:4">
      <c r="A214" s="588" t="s">
        <v>2567</v>
      </c>
      <c r="B214" s="589" t="inlineStr">
        <is>
          <t xml:space="preserve">双手剑</t>
        </is>
      </c>
      <c r="C214" s="588" t="s">
        <v>2412</v>
      </c>
    </row>
    <row r="215" ht="32" customHeight="1" spans="1:4">
      <c r="A215" s="586" t="s">
        <v>2568</v>
      </c>
      <c r="B215" s="587" t="s">
        <v>2413</v>
      </c>
      <c r="C215" s="586" t="s">
        <v>2946</v>
      </c>
    </row>
    <row r="216" ht="32" customHeight="1" spans="1:4">
      <c r="A216" s="588" t="s">
        <v>2568</v>
      </c>
      <c r="B216" s="589" t="s">
        <v>2420</v>
      </c>
      <c r="C216" s="588" t="s">
        <v>2947</v>
      </c>
    </row>
    <row r="217" ht="32" customHeight="1" spans="1:4">
      <c r="A217" s="586" t="s">
        <v>2568</v>
      </c>
      <c r="B217" s="587" t="s">
        <v>2423</v>
      </c>
      <c r="C217" s="586" t="s">
        <v>2948</v>
      </c>
    </row>
    <row r="218" ht="32" customHeight="1" spans="1:4">
      <c r="A218" s="588" t="s">
        <v>2568</v>
      </c>
      <c r="B218" s="589" t="inlineStr">
        <is>
          <t xml:space="preserve">投掷用催泪瓦斯手雷</t>
        </is>
      </c>
      <c r="C218" s="588" t="s">
        <v>2949</v>
      </c>
    </row>
    <row r="219" ht="32" customHeight="1" spans="1:4">
      <c r="A219" s="586" t="s">
        <v>2568</v>
      </c>
      <c r="B219" s="587" t="s">
        <v>2427</v>
      </c>
      <c r="C219" s="586" t="s">
        <v>2950</v>
      </c>
    </row>
    <row r="220" ht="32" customHeight="1" spans="1:4">
      <c r="A220" s="588" t="s">
        <v>2568</v>
      </c>
      <c r="B220" s="589" t="inlineStr">
        <is>
          <t xml:space="preserve">发射用催泪瓦斯爆弹</t>
        </is>
      </c>
      <c r="C220" s="588" t="s">
        <v>2951</v>
      </c>
    </row>
    <row r="221" ht="32" customHeight="1" spans="1:4">
      <c r="A221" s="586" t="s">
        <v>2569</v>
      </c>
      <c r="B221" s="587" t="s">
        <v>2430</v>
      </c>
      <c r="C221" s="586" t="s">
        <v>2952</v>
      </c>
    </row>
    <row r="222" ht="32" customHeight="1" spans="1:4">
      <c r="A222" s="588" t="s">
        <v>2569</v>
      </c>
      <c r="B222" s="589" t="inlineStr">
        <is>
          <t xml:space="preserve">投掷用闪光弹</t>
        </is>
      </c>
      <c r="C222" s="588" t="s">
        <v>2953</v>
      </c>
    </row>
    <row r="223" ht="32" customHeight="1" spans="1:4">
      <c r="A223" s="586" t="s">
        <v>2569</v>
      </c>
      <c r="B223" s="587" t="s">
        <v>2432</v>
      </c>
      <c r="C223" s="586" t="s">
        <v>2954</v>
      </c>
    </row>
    <row r="224" ht="32" customHeight="1" spans="1:4">
      <c r="A224" s="588" t="s">
        <v>2569</v>
      </c>
      <c r="B224" s="589" t="inlineStr">
        <is>
          <t xml:space="preserve">发射用闪光弹</t>
        </is>
      </c>
      <c r="C224" s="588" t="s">
        <v>2955</v>
      </c>
    </row>
    <row r="225" ht="32" customHeight="1" spans="1:4">
      <c r="A225" s="586" t="s">
        <v>2570</v>
      </c>
      <c r="B225" s="587" t="s">
        <v>2434</v>
      </c>
      <c r="C225" s="586" t="s">
        <v>2956</v>
      </c>
    </row>
    <row r="226" ht="32" customHeight="1" spans="1:4">
      <c r="A226" s="588" t="s">
        <v>2570</v>
      </c>
      <c r="B226" s="589" t="s">
        <v>2436</v>
      </c>
      <c r="C226" s="588" t="s">
        <v>2957</v>
      </c>
    </row>
    <row r="227" ht="32" customHeight="1" spans="1:4">
      <c r="A227" s="586" t="s">
        <v>2570</v>
      </c>
      <c r="B227" s="587" t="s">
        <v>2437</v>
      </c>
      <c r="C227" s="586" t="s">
        <v>2958</v>
      </c>
    </row>
    <row r="228" ht="32" customHeight="1" spans="1:4">
      <c r="A228" s="588" t="s">
        <v>2570</v>
      </c>
      <c r="B228" s="589" t="inlineStr">
        <is>
          <t xml:space="preserve">投射式电击枪</t>
        </is>
      </c>
      <c r="C228" s="588" t="s">
        <v>2412</v>
      </c>
    </row>
    <row r="229" ht="32" customHeight="1" spans="1:4">
      <c r="A229" s="586" t="s">
        <v>2571</v>
      </c>
      <c r="B229" s="587" t="s">
        <v>2440</v>
      </c>
      <c r="C229" s="586" t="s">
        <v>2959</v>
      </c>
    </row>
    <row r="230" ht="32" customHeight="1" spans="1:4">
      <c r="A230" s="588" t="s">
        <v>2571</v>
      </c>
      <c r="B230" s="589" t="inlineStr">
        <is>
          <t xml:space="preserve">轻型手枪</t>
        </is>
      </c>
      <c r="C230" s="588" t="s">
        <v>2960</v>
      </c>
    </row>
    <row r="231" ht="32" customHeight="1" spans="1:4">
      <c r="A231" s="586" t="s">
        <v>2571</v>
      </c>
      <c r="B231" s="587" t="s">
        <v>2442</v>
      </c>
      <c r="C231" s="586" t="s">
        <v>2961</v>
      </c>
    </row>
    <row r="232" ht="32" customHeight="1" spans="1:4">
      <c r="A232" s="588" t="s">
        <v>2571</v>
      </c>
      <c r="B232" s="589" t="inlineStr">
        <is>
          <t xml:space="preserve">中型手枪</t>
        </is>
      </c>
      <c r="C232" s="588" t="s">
        <v>2962</v>
      </c>
    </row>
    <row r="233" ht="32" customHeight="1" spans="1:4">
      <c r="A233" s="586" t="s">
        <v>2571</v>
      </c>
      <c r="B233" s="587" t="s">
        <v>2444</v>
      </c>
      <c r="C233" s="586" t="s">
        <v>2963</v>
      </c>
    </row>
    <row r="234" ht="32" customHeight="1" spans="1:4">
      <c r="A234" s="588" t="s">
        <v>2571</v>
      </c>
      <c r="B234" s="589" t="inlineStr">
        <is>
          <t xml:space="preserve">重型手枪</t>
        </is>
      </c>
      <c r="C234" s="588" t="s">
        <v>2964</v>
      </c>
    </row>
    <row r="235" ht="32" customHeight="1" spans="1:4">
      <c r="A235" s="586" t="s">
        <v>2571</v>
      </c>
      <c r="B235" s="587" t="s">
        <v>2445</v>
      </c>
      <c r="C235" s="586" t="s">
        <v>2965</v>
      </c>
    </row>
    <row r="236" ht="45.5" customHeight="1" spans="1:4">
      <c r="A236" s="588" t="s">
        <v>2571</v>
      </c>
      <c r="B236" s="589" t="inlineStr">
        <is>
          <t xml:space="preserve">霰弹枪（独头弹）</t>
        </is>
      </c>
      <c r="C236" s="588" t="s">
        <v>2966</v>
      </c>
    </row>
    <row r="237" ht="32" customHeight="1" spans="1:4">
      <c r="A237" s="586" t="s">
        <v>2571</v>
      </c>
      <c r="B237" s="587" t="s">
        <v>2449</v>
      </c>
      <c r="C237" s="586" t="s">
        <v>2967</v>
      </c>
    </row>
    <row r="238" ht="32" customHeight="1" spans="1:4">
      <c r="A238" s="588" t="s">
        <v>2571</v>
      </c>
      <c r="B238" s="589" t="inlineStr">
        <is>
          <t xml:space="preserve">霰弹枪（霰弹弹丸）</t>
        </is>
      </c>
      <c r="C238" s="588" t="s">
        <v>2968</v>
      </c>
    </row>
    <row r="239" ht="32" customHeight="1" spans="1:4">
      <c r="A239" s="586" t="s">
        <v>2571</v>
      </c>
      <c r="B239" s="587" t="s">
        <v>2451</v>
      </c>
      <c r="C239" s="586" t="s">
        <v>2969</v>
      </c>
    </row>
    <row r="240" ht="32" customHeight="1" spans="1:4">
      <c r="A240" s="588" t="s">
        <v>2571</v>
      </c>
      <c r="B240" s="589" t="s">
        <v>2454</v>
      </c>
      <c r="C240" s="588" t="s">
        <v>2970</v>
      </c>
    </row>
    <row r="241" ht="45.5" customHeight="1" spans="1:4">
      <c r="A241" s="586" t="s">
        <v>2571</v>
      </c>
      <c r="B241" s="587" t="inlineStr">
        <is>
          <t xml:space="preserve">轻型步枪或卡宾枪</t>
        </is>
      </c>
      <c r="C241" s="586" t="s">
        <v>2971</v>
      </c>
    </row>
    <row r="242" ht="32" customHeight="1" spans="1:4">
      <c r="A242" s="588" t="s">
        <v>2571</v>
      </c>
      <c r="B242" s="589" t="s">
        <v>2458</v>
      </c>
      <c r="C242" s="588" t="s">
        <v>2972</v>
      </c>
    </row>
    <row r="243" ht="45.5" customHeight="1" spans="1:4">
      <c r="A243" s="586" t="s">
        <v>2571</v>
      </c>
      <c r="B243" s="587" t="inlineStr">
        <is>
          <t xml:space="preserve">冲锋枪（SMG）</t>
        </is>
      </c>
      <c r="C243" s="586" t="s">
        <v>2973</v>
      </c>
    </row>
    <row r="244" ht="32" customHeight="1" spans="1:4">
      <c r="A244" s="588" t="s">
        <v>2571</v>
      </c>
      <c r="B244" s="589" t="s">
        <v>2462</v>
      </c>
      <c r="C244" s="588" t="s">
        <v>2974</v>
      </c>
    </row>
    <row r="245" ht="45.5" customHeight="1" spans="1:4">
      <c r="A245" s="586" t="s">
        <v>2571</v>
      </c>
      <c r="B245" s="587" t="inlineStr">
        <is>
          <t xml:space="preserve">重型步枪</t>
        </is>
      </c>
      <c r="C245" s="586" t="s">
        <v>2975</v>
      </c>
    </row>
    <row r="246" ht="32" customHeight="1" spans="1:4">
      <c r="A246" s="588" t="s">
        <v>2571</v>
      </c>
      <c r="B246" s="589" t="s">
        <v>2467</v>
      </c>
      <c r="C246" s="588" t="s">
        <v>2976</v>
      </c>
    </row>
    <row r="247" ht="32" customHeight="1" spans="1:4">
      <c r="A247" s="586" t="s">
        <v>2571</v>
      </c>
      <c r="B247" s="587" t="inlineStr">
        <is>
          <t xml:space="preserve">超重型步枪</t>
        </is>
      </c>
      <c r="C247" s="586" t="s">
        <v>2977</v>
      </c>
    </row>
    <row r="248" ht="32" customHeight="1" spans="1:4">
      <c r="A248" s="588" t="s">
        <v>113</v>
      </c>
      <c r="B248" s="589" t="s">
        <v>2471</v>
      </c>
      <c r="C248" s="588" t="s">
        <v>2978</v>
      </c>
    </row>
    <row r="249" ht="32" customHeight="1" spans="1:4">
      <c r="A249" s="586" t="s">
        <v>113</v>
      </c>
      <c r="B249" s="587" t="inlineStr">
        <is>
          <t xml:space="preserve">手榴弹</t>
        </is>
      </c>
      <c r="C249" s="586" t="s">
        <v>2979</v>
      </c>
    </row>
    <row r="250" ht="32" customHeight="1" spans="1:4">
      <c r="A250" s="588" t="s">
        <v>113</v>
      </c>
      <c r="B250" s="589" t="s">
        <v>2473</v>
      </c>
      <c r="C250" s="588" t="s">
        <v>2980</v>
      </c>
    </row>
    <row r="251" ht="32" customHeight="1" spans="1:4">
      <c r="A251" s="586" t="s">
        <v>113</v>
      </c>
      <c r="B251" s="587" t="inlineStr">
        <is>
          <t xml:space="preserve">火箭推进榴弹发射器（RPG）</t>
        </is>
      </c>
      <c r="C251" s="586" t="s">
        <v>2981</v>
      </c>
    </row>
    <row r="252" ht="32" customHeight="1" spans="1:4">
      <c r="A252" s="588" t="s">
        <v>113</v>
      </c>
      <c r="B252" s="589" t="s">
        <v>2477</v>
      </c>
      <c r="C252" s="588" t="s">
        <v>2982</v>
      </c>
    </row>
    <row r="253" ht="32" customHeight="1" spans="1:4">
      <c r="A253" s="586" t="s">
        <v>113</v>
      </c>
      <c r="B253" s="587" t="inlineStr">
        <is>
          <t xml:space="preserve">手持式喷火器</t>
        </is>
      </c>
      <c r="C253" s="586" t="s">
        <v>2983</v>
      </c>
    </row>
    <row r="254" ht="32" customHeight="1" spans="1:4">
      <c r="A254" s="588" t="s">
        <v>113</v>
      </c>
      <c r="B254" s="589" t="s">
        <v>2480</v>
      </c>
      <c r="C254" s="588" t="s">
        <v>2984</v>
      </c>
    </row>
    <row r="255" ht="32" customHeight="1" spans="1:4">
      <c r="A255" s="586" t="s">
        <v>113</v>
      </c>
      <c r="B255" s="587" t="inlineStr">
        <is>
          <t xml:space="preserve">军用喷火器</t>
        </is>
      </c>
      <c r="C255" s="586" t="s">
        <v>2985</v>
      </c>
    </row>
    <row r="256" ht="45.5" customHeight="1" spans="1:4">
      <c r="A256" s="588" t="s">
        <v>113</v>
      </c>
      <c r="B256" s="589" t="s">
        <v>2986</v>
      </c>
      <c r="C256" s="588" t="s">
        <v>2987</v>
      </c>
    </row>
    <row r="257" ht="32" customHeight="1" spans="1:4">
      <c r="A257" s="586" t="s">
        <v>113</v>
      </c>
      <c r="B257" s="587" t="inlineStr">
        <is>
          <t xml:space="preserve">通用机关枪（GPMP）</t>
        </is>
      </c>
      <c r="C257" s="586" t="s">
        <v>2988</v>
      </c>
    </row>
    <row r="258" ht="32" customHeight="1" spans="1:4">
      <c r="A258" s="588" t="s">
        <v>113</v>
      </c>
      <c r="B258" s="589" t="s">
        <v>2486</v>
      </c>
      <c r="C258" s="588" t="s">
        <v>2989</v>
      </c>
    </row>
    <row r="259" ht="32" customHeight="1" spans="1:4">
      <c r="A259" s="586" t="s">
        <v>113</v>
      </c>
      <c r="B259" s="587" t="inlineStr">
        <is>
          <t xml:space="preserve">榴弹发射器（GL）</t>
        </is>
      </c>
      <c r="C259" s="586" t="s">
        <v>2990</v>
      </c>
    </row>
    <row r="260" ht="32" customHeight="1" spans="1:4">
      <c r="A260" s="588" t="s">
        <v>113</v>
      </c>
      <c r="B260" s="589" t="s">
        <v>2488</v>
      </c>
      <c r="C260" s="588" t="s">
        <v>2991</v>
      </c>
    </row>
    <row r="261" ht="32" customHeight="1" spans="1:4">
      <c r="A261" s="586" t="s">
        <v>113</v>
      </c>
      <c r="B261" s="587" t="inlineStr">
        <is>
          <t xml:space="preserve">榴弹炮机关枪</t>
        </is>
      </c>
      <c r="C261" s="586" t="s">
        <v>2992</v>
      </c>
    </row>
    <row r="262" ht="45.5" customHeight="1" spans="1:4">
      <c r="A262" s="588" t="s">
        <v>2572</v>
      </c>
      <c r="B262" s="589" t="s">
        <v>2491</v>
      </c>
      <c r="C262" s="588" t="s">
        <v>2993</v>
      </c>
    </row>
    <row r="263" ht="32" customHeight="1" spans="1:4">
      <c r="A263" s="586" t="s">
        <v>2572</v>
      </c>
      <c r="B263" s="587" t="inlineStr">
        <is>
          <t xml:space="preserve">重型机关枪（HMG）</t>
        </is>
      </c>
      <c r="C263" s="586" t="s">
        <v>2994</v>
      </c>
    </row>
    <row r="264" ht="45.5" customHeight="1" spans="1:4">
      <c r="A264" s="588" t="s">
        <v>2572</v>
      </c>
      <c r="B264" s="589" t="s">
        <v>2494</v>
      </c>
      <c r="C264" s="588" t="s">
        <v>2995</v>
      </c>
    </row>
    <row r="265" ht="32" customHeight="1" spans="1:4">
      <c r="A265" s="586" t="s">
        <v>2572</v>
      </c>
      <c r="B265" s="587" t="inlineStr">
        <is>
          <t xml:space="preserve">轻型机关枪（LMG）</t>
        </is>
      </c>
      <c r="C265" s="586" t="s">
        <v>2996</v>
      </c>
    </row>
    <row r="266" ht="32" customHeight="1" spans="1:4">
      <c r="A266" s="588" t="s">
        <v>2572</v>
      </c>
      <c r="B266" s="589" t="s">
        <v>2495</v>
      </c>
      <c r="C266" s="588" t="s">
        <v>2997</v>
      </c>
    </row>
    <row r="267" ht="32" customHeight="1" spans="1:4">
      <c r="A267" s="586" t="s">
        <v>2572</v>
      </c>
      <c r="B267" s="587" t="inlineStr">
        <is>
          <t xml:space="preserve">自动火炮</t>
        </is>
      </c>
      <c r="C267" s="586" t="s">
        <v>2998</v>
      </c>
    </row>
    <row r="268" ht="32" customHeight="1" spans="1:4">
      <c r="A268" s="588" t="s">
        <v>2572</v>
      </c>
      <c r="B268" s="589" t="s">
        <v>2497</v>
      </c>
      <c r="C268" s="588" t="s">
        <v>2999</v>
      </c>
    </row>
    <row r="269" ht="32" customHeight="1" spans="1:4">
      <c r="A269" s="586" t="s">
        <v>2572</v>
      </c>
      <c r="B269" s="587" t="inlineStr">
        <is>
          <t xml:space="preserve">转轮机枪/机炮</t>
        </is>
      </c>
      <c r="C269" s="586" t="s">
        <v>3000</v>
      </c>
    </row>
    <row r="270" ht="32" customHeight="1" spans="1:4">
      <c r="A270" s="588" t="s">
        <v>2573</v>
      </c>
      <c r="B270" s="589" t="s">
        <v>2500</v>
      </c>
      <c r="C270" s="588" t="s">
        <v>3001</v>
      </c>
    </row>
    <row r="271" ht="32" customHeight="1" spans="1:4">
      <c r="A271" s="586" t="s">
        <v>2573</v>
      </c>
      <c r="B271" s="587" t="inlineStr">
        <is>
          <t xml:space="preserve">铵油炸药</t>
        </is>
      </c>
      <c r="C271" s="586" t="s">
        <v>3002</v>
      </c>
    </row>
    <row r="272" ht="32" customHeight="1" spans="1:4">
      <c r="A272" s="588" t="s">
        <v>2573</v>
      </c>
      <c r="B272" s="589" t="s">
        <v>2501</v>
      </c>
      <c r="C272" s="588" t="s">
        <v>3003</v>
      </c>
    </row>
    <row r="273" ht="32" customHeight="1" spans="1:4">
      <c r="A273" s="586" t="s">
        <v>2573</v>
      </c>
      <c r="B273" s="587" t="inlineStr">
        <is>
          <t xml:space="preserve">C4 塑胶炸药包，570 克。</t>
        </is>
      </c>
      <c r="C273" s="586" t="s">
        <v>3004</v>
      </c>
    </row>
    <row r="274" ht="32" customHeight="1" spans="1:4">
      <c r="A274" s="588" t="s">
        <v>2573</v>
      </c>
      <c r="B274" s="589" t="s">
        <v>2502</v>
      </c>
      <c r="C274" s="588" t="s">
        <v>3005</v>
      </c>
    </row>
    <row r="275" ht="32" customHeight="1" spans="1:4">
      <c r="A275" s="586" t="s">
        <v>2573</v>
      </c>
      <c r="B275" s="587" t="inlineStr">
        <is>
          <t xml:space="preserve">简易爆炸装置（IED）</t>
        </is>
      </c>
      <c r="C275" s="586" t="s">
        <v>3006</v>
      </c>
    </row>
    <row r="276" ht="32" customHeight="1" spans="1:4">
      <c r="A276" s="588" t="s">
        <v>2573</v>
      </c>
      <c r="B276" s="589" t="s">
        <v>2504</v>
      </c>
      <c r="C276" s="588" t="s">
        <v>3007</v>
      </c>
    </row>
    <row r="277" ht="32" customHeight="1" spans="1:4">
      <c r="A277" s="586" t="s">
        <v>2573</v>
      </c>
      <c r="B277" s="587" t="inlineStr">
        <is>
          <t xml:space="preserve">大型简易爆炸装置（大型 IED）</t>
        </is>
      </c>
      <c r="C277" s="586" t="s">
        <v>3008</v>
      </c>
    </row>
    <row r="278" ht="32" customHeight="1" spans="1:4">
      <c r="A278" s="588" t="s">
        <v>2573</v>
      </c>
      <c r="B278" s="589" t="s">
        <v>2506</v>
      </c>
      <c r="C278" s="588" t="s">
        <v>3009</v>
      </c>
    </row>
    <row r="279" ht="32" customHeight="1" spans="1:4">
      <c r="A279" s="586" t="s">
        <v>2573</v>
      </c>
      <c r="B279" s="587" t="inlineStr">
        <is>
          <t xml:space="preserve">重型反坦克地雷</t>
        </is>
      </c>
      <c r="C279" s="586" t="s">
        <v>3010</v>
      </c>
    </row>
    <row r="280" ht="32" customHeight="1" spans="1:4">
      <c r="A280" s="588" t="s">
        <v>2522</v>
      </c>
      <c r="B280" s="589" t="s">
        <v>2508</v>
      </c>
      <c r="C280" s="588" t="s">
        <v>3011</v>
      </c>
    </row>
    <row r="281" ht="32" customHeight="1" spans="1:4">
      <c r="A281" s="586" t="s">
        <v>2522</v>
      </c>
      <c r="B281" s="587" t="inlineStr">
        <is>
          <t xml:space="preserve">通用炸弹</t>
        </is>
      </c>
      <c r="C281" s="586" t="s">
        <v>3012</v>
      </c>
    </row>
    <row r="282" ht="32" customHeight="1" spans="1:4">
      <c r="A282" s="588" t="s">
        <v>2522</v>
      </c>
      <c r="B282" s="589" t="s">
        <v>2513</v>
      </c>
      <c r="C282" s="588" t="s">
        <v>3013</v>
      </c>
    </row>
    <row r="283" ht="32" customHeight="1" spans="1:4">
      <c r="A283" s="586" t="s">
        <v>2522</v>
      </c>
      <c r="B283" s="587" t="inlineStr">
        <is>
          <t xml:space="preserve">重型迫击炮</t>
        </is>
      </c>
      <c r="C283" s="586" t="s">
        <v>3014</v>
      </c>
    </row>
    <row r="284" ht="32" customHeight="1" spans="1:4">
      <c r="A284" s="588" t="s">
        <v>2522</v>
      </c>
      <c r="B284" s="589" t="s">
        <v>2516</v>
      </c>
      <c r="C284" s="588" t="s">
        <v>3015</v>
      </c>
    </row>
    <row r="285" ht="32" customHeight="1" spans="1:4">
      <c r="A285" s="586" t="s">
        <v>2522</v>
      </c>
      <c r="B285" s="587" t="inlineStr">
        <is>
          <t xml:space="preserve">轻型迫击炮</t>
        </is>
      </c>
      <c r="C285" s="586" t="s">
        <v>3016</v>
      </c>
    </row>
    <row r="286" ht="32" customHeight="1" spans="1:4">
      <c r="A286" s="588" t="s">
        <v>2522</v>
      </c>
      <c r="B286" s="589" t="s">
        <v>2519</v>
      </c>
      <c r="C286" s="588" t="s">
        <v>3017</v>
      </c>
    </row>
    <row r="287" ht="32" customHeight="1" spans="1:4">
      <c r="A287" s="586" t="s">
        <v>2522</v>
      </c>
      <c r="B287" s="587" t="inlineStr">
        <is>
          <t xml:space="preserve">反坦克制导导弹（ATGM）</t>
        </is>
      </c>
      <c r="C287" s="586" t="s">
        <v>3018</v>
      </c>
    </row>
    <row r="288" ht="32" customHeight="1" spans="1:4">
      <c r="A288" s="588" t="s">
        <v>2522</v>
      </c>
      <c r="B288" s="589" t="s">
        <v>2522</v>
      </c>
      <c r="C288" s="588" t="s">
        <v>3019</v>
      </c>
    </row>
    <row r="289" ht="32" customHeight="1" spans="1:4">
      <c r="A289" s="586" t="s">
        <v>2522</v>
      </c>
      <c r="B289" s="587" t="inlineStr">
        <is>
          <t xml:space="preserve">火炮</t>
        </is>
      </c>
      <c r="C289" s="586" t="s">
        <v>3020</v>
      </c>
    </row>
    <row r="290" ht="32" customHeight="1" spans="1:4">
      <c r="A290" s="588" t="s">
        <v>2522</v>
      </c>
      <c r="B290" s="589" t="s">
        <v>2525</v>
      </c>
      <c r="C290" s="588" t="s">
        <v>3021</v>
      </c>
    </row>
    <row r="291" ht="32" customHeight="1" spans="1:4">
      <c r="A291" s="586" t="s">
        <v>2522</v>
      </c>
      <c r="B291" s="587" t="inlineStr">
        <is>
          <t xml:space="preserve">巡航导弹</t>
        </is>
      </c>
      <c r="C291" s="586" t="s">
        <v>3022</v>
      </c>
    </row>
    <row r="292" ht="45.5" customHeight="1" spans="1:4">
      <c r="A292" s="588" t="s">
        <v>2574</v>
      </c>
      <c r="B292" s="589" t="s">
        <v>3023</v>
      </c>
      <c r="C292" s="588" t="s">
        <v>3024</v>
      </c>
    </row>
    <row r="293" ht="32" customHeight="1" spans="1:4">
      <c r="A293" s="586" t="s">
        <v>2574</v>
      </c>
      <c r="B293" s="587" t="s">
        <v>3025</v>
      </c>
      <c r="C293" s="586" t="s">
        <v>3024</v>
      </c>
    </row>
    <row r="294" ht="32" customHeight="1" spans="1:4">
      <c r="A294" s="588" t="s">
        <v>2574</v>
      </c>
      <c r="B294" s="589" t="s">
        <v>3026</v>
      </c>
      <c r="C294" s="588" t="s">
        <v>3027</v>
      </c>
    </row>
    <row r="295" ht="32" customHeight="1" spans="1:4">
      <c r="A295" s="586" t="s">
        <v>2574</v>
      </c>
      <c r="B295" s="587" t="s">
        <v>3028</v>
      </c>
      <c r="C295" s="586" t="s">
        <v>3027</v>
      </c>
    </row>
    <row r="296" ht="32" customHeight="1" spans="1:4">
      <c r="A296" s="588" t="s">
        <v>2574</v>
      </c>
      <c r="B296" s="589" t="s">
        <v>3029</v>
      </c>
      <c r="C296" s="588" t="s">
        <v>3027</v>
      </c>
    </row>
    <row r="297" ht="32" customHeight="1" spans="1:4">
      <c r="A297" s="586" t="s">
        <v>2574</v>
      </c>
      <c r="B297" s="587" t="s">
        <v>3030</v>
      </c>
      <c r="C297" s="586" t="s">
        <v>3031</v>
      </c>
    </row>
    <row r="298" ht="32" customHeight="1" spans="1:4">
      <c r="A298" s="588" t="s">
        <v>2575</v>
      </c>
      <c r="B298" s="589" t="s">
        <v>3032</v>
      </c>
      <c r="C298" s="588" t="s">
        <v>3024</v>
      </c>
    </row>
    <row r="299" ht="32" customHeight="1" spans="1:4">
      <c r="A299" s="586" t="s">
        <v>2575</v>
      </c>
      <c r="B299" s="587" t="s">
        <v>3033</v>
      </c>
      <c r="C299" s="586" t="s">
        <v>3024</v>
      </c>
    </row>
    <row r="300" ht="32" customHeight="1" spans="1:4">
      <c r="A300" s="588" t="s">
        <v>2575</v>
      </c>
      <c r="B300" s="589" t="s">
        <v>3034</v>
      </c>
      <c r="C300" s="588" t="s">
        <v>3035</v>
      </c>
    </row>
    <row r="301" ht="32" customHeight="1" spans="1:4">
      <c r="A301" s="586" t="s">
        <v>2575</v>
      </c>
      <c r="B301" s="587" t="s">
        <v>3036</v>
      </c>
      <c r="C301" s="586" t="s">
        <v>3035</v>
      </c>
    </row>
    <row r="302" ht="32" customHeight="1" spans="1:4">
      <c r="A302" s="588" t="s">
        <v>2575</v>
      </c>
      <c r="B302" s="589" t="s">
        <v>3037</v>
      </c>
      <c r="C302" s="588" t="s">
        <v>3027</v>
      </c>
    </row>
    <row r="303" ht="32" customHeight="1" spans="1:4">
      <c r="A303" s="586" t="s">
        <v>2575</v>
      </c>
      <c r="B303" s="587" t="s">
        <v>2694</v>
      </c>
      <c r="C303" s="586" t="s">
        <v>3027</v>
      </c>
    </row>
    <row r="304" ht="32" customHeight="1" spans="1:4">
      <c r="A304" s="588" t="s">
        <v>2575</v>
      </c>
      <c r="B304" s="589" t="s">
        <v>3038</v>
      </c>
      <c r="C304" s="588" t="s">
        <v>3027</v>
      </c>
    </row>
    <row r="305" ht="32" customHeight="1" spans="1:4">
      <c r="A305" s="586" t="s">
        <v>2575</v>
      </c>
      <c r="B305" s="587" t="s">
        <v>3039</v>
      </c>
      <c r="C305" s="586" t="s">
        <v>3040</v>
      </c>
    </row>
    <row r="306" ht="32" customHeight="1" spans="1:4">
      <c r="A306" s="588" t="s">
        <v>2576</v>
      </c>
      <c r="B306" s="589" t="s">
        <v>3041</v>
      </c>
      <c r="C306" s="588" t="s">
        <v>3035</v>
      </c>
    </row>
    <row r="307" ht="32" customHeight="1" spans="1:4">
      <c r="A307" s="586" t="s">
        <v>2576</v>
      </c>
      <c r="B307" s="587" t="s">
        <v>3042</v>
      </c>
      <c r="C307" s="586" t="s">
        <v>3035</v>
      </c>
    </row>
    <row r="308" ht="32" customHeight="1" spans="1:4">
      <c r="A308" s="588" t="s">
        <v>2576</v>
      </c>
      <c r="B308" s="589" t="s">
        <v>3043</v>
      </c>
      <c r="C308" s="588" t="s">
        <v>3035</v>
      </c>
    </row>
    <row r="309" ht="32" customHeight="1" spans="1:4">
      <c r="A309" s="586" t="s">
        <v>2576</v>
      </c>
      <c r="B309" s="587" t="s">
        <v>3044</v>
      </c>
      <c r="C309" s="586" t="s">
        <v>3027</v>
      </c>
    </row>
    <row r="310" ht="32" customHeight="1" spans="1:4">
      <c r="A310" s="588" t="s">
        <v>2576</v>
      </c>
      <c r="B310" s="589" t="s">
        <v>3045</v>
      </c>
      <c r="C310" s="588" t="s">
        <v>3040</v>
      </c>
    </row>
    <row r="311" ht="32" customHeight="1" spans="1:4">
      <c r="A311" s="586" t="s">
        <v>2576</v>
      </c>
      <c r="B311" s="587" t="s">
        <v>3046</v>
      </c>
      <c r="C311" s="586" t="s">
        <v>3040</v>
      </c>
    </row>
    <row r="312" ht="32" customHeight="1" spans="1:4">
      <c r="A312" s="588" t="s">
        <v>2576</v>
      </c>
      <c r="B312" s="589" t="s">
        <v>3047</v>
      </c>
      <c r="C312" s="588" t="s">
        <v>3048</v>
      </c>
    </row>
    <row r="313" ht="45.5" customHeight="1" spans="1:4">
      <c r="A313" s="586" t="s">
        <v>2576</v>
      </c>
      <c r="B313" s="587" t="inlineStr">
        <is>
          <t xml:space="preserve">冷血地杀死一个无辜的人，哪怕有很好的理由 （注）</t>
        </is>
      </c>
      <c r="C313" s="586" t="s">
        <v>3049</v>
      </c>
    </row>
    <row r="314" ht="32" customHeight="1" spans="1:4">
      <c r="A314" s="588" t="s">
        <v>2577</v>
      </c>
      <c r="B314" s="589" t="s">
        <v>3050</v>
      </c>
      <c r="C314" s="588" t="s">
        <v>3024</v>
      </c>
    </row>
    <row r="315" ht="32" customHeight="1" spans="1:4">
      <c r="A315" s="586" t="s">
        <v>2577</v>
      </c>
      <c r="B315" s="587" t="s">
        <v>3051</v>
      </c>
      <c r="C315" s="586" t="s">
        <v>3024</v>
      </c>
    </row>
    <row r="316" ht="32" customHeight="1" spans="1:4">
      <c r="A316" s="588" t="s">
        <v>2577</v>
      </c>
      <c r="B316" s="589" t="s">
        <v>3052</v>
      </c>
      <c r="C316" s="588" t="s">
        <v>3035</v>
      </c>
    </row>
    <row r="317" ht="32" customHeight="1" spans="1:4">
      <c r="A317" s="586" t="s">
        <v>2577</v>
      </c>
      <c r="B317" s="587" t="s">
        <v>3053</v>
      </c>
      <c r="C317" s="586" t="s">
        <v>3024</v>
      </c>
    </row>
    <row r="318" ht="32" customHeight="1" spans="1:4">
      <c r="A318" s="588" t="s">
        <v>2577</v>
      </c>
      <c r="B318" s="589" t="s">
        <v>3054</v>
      </c>
      <c r="C318" s="588" t="s">
        <v>3035</v>
      </c>
    </row>
    <row r="319" ht="32" customHeight="1" spans="1:4">
      <c r="A319" s="586" t="s">
        <v>2577</v>
      </c>
      <c r="B319" s="587" t="s">
        <v>3055</v>
      </c>
      <c r="C319" s="586" t="s">
        <v>3035</v>
      </c>
    </row>
    <row r="320" ht="32" customHeight="1" spans="1:4">
      <c r="A320" s="588" t="s">
        <v>2577</v>
      </c>
      <c r="B320" s="589" t="s">
        <v>3056</v>
      </c>
      <c r="C320" s="588" t="s">
        <v>3035</v>
      </c>
    </row>
    <row r="321" ht="32" customHeight="1" spans="1:4">
      <c r="A321" s="586" t="s">
        <v>2577</v>
      </c>
      <c r="B321" s="587" t="s">
        <v>3057</v>
      </c>
      <c r="C321" s="586" t="s">
        <v>3035</v>
      </c>
    </row>
    <row r="322" ht="32" customHeight="1" spans="1:4">
      <c r="A322" s="588" t="s">
        <v>2577</v>
      </c>
      <c r="B322" s="589" t="s">
        <v>3058</v>
      </c>
      <c r="C322" s="588" t="s">
        <v>3059</v>
      </c>
    </row>
    <row r="323" ht="32" customHeight="1" spans="1:4">
      <c r="A323" s="586" t="s">
        <v>2577</v>
      </c>
      <c r="B323" s="587" t="s">
        <v>3060</v>
      </c>
      <c r="C323" s="586" t="s">
        <v>3035</v>
      </c>
    </row>
    <row r="324" ht="32" customHeight="1" spans="1:4">
      <c r="A324" s="588" t="s">
        <v>2577</v>
      </c>
      <c r="B324" s="589" t="s">
        <v>3061</v>
      </c>
      <c r="C324" s="588" t="s">
        <v>3027</v>
      </c>
    </row>
    <row r="325" ht="32" customHeight="1" spans="1:4">
      <c r="A325" s="586" t="s">
        <v>2577</v>
      </c>
      <c r="B325" s="587" t="s">
        <v>3062</v>
      </c>
      <c r="C325" s="586" t="s">
        <v>3063</v>
      </c>
    </row>
    <row r="326" ht="32" customHeight="1" spans="1:4">
      <c r="A326" s="588" t="s">
        <v>2577</v>
      </c>
      <c r="B326" s="589" t="s">
        <v>3064</v>
      </c>
      <c r="C326" s="588" t="s">
        <v>3065</v>
      </c>
    </row>
    <row r="327" ht="32" customHeight="1" spans="1:4">
      <c r="A327" s="586" t="s">
        <v>2578</v>
      </c>
      <c r="B327" s="587" t="s">
        <v>3066</v>
      </c>
      <c r="C327" s="586" t="s">
        <v>3067</v>
      </c>
    </row>
    <row r="328" ht="32" customHeight="1" spans="1:4">
      <c r="A328" s="588" t="s">
        <v>2578</v>
      </c>
      <c r="B328" s="589" t="s">
        <v>3068</v>
      </c>
      <c r="C328" s="588" t="s">
        <v>3069</v>
      </c>
    </row>
    <row r="329" ht="32" customHeight="1" spans="1:4">
      <c r="A329" s="586" t="s">
        <v>2578</v>
      </c>
      <c r="B329" s="587" t="s">
        <v>3070</v>
      </c>
      <c r="C329" s="586" t="s">
        <v>3071</v>
      </c>
    </row>
    <row r="330" ht="32" customHeight="1" spans="1:4">
      <c r="A330" s="588" t="s">
        <v>2578</v>
      </c>
      <c r="B330" s="589" t="s">
        <v>3072</v>
      </c>
      <c r="C330" s="588" t="s">
        <v>3073</v>
      </c>
    </row>
    <row r="331" ht="32" customHeight="1" spans="1:4">
      <c r="A331" s="586" t="s">
        <v>2578</v>
      </c>
      <c r="B331" s="587" t="s">
        <v>3074</v>
      </c>
      <c r="C331" s="586" t="s">
        <v>3075</v>
      </c>
    </row>
    <row r="332" ht="32" customHeight="1" spans="1:4">
      <c r="A332" s="588" t="s">
        <v>2578</v>
      </c>
      <c r="B332" s="589" t="s">
        <v>3076</v>
      </c>
      <c r="C332" s="588" t="s">
        <v>3077</v>
      </c>
    </row>
    <row r="333" ht="32" customHeight="1" spans="1:4">
      <c r="A333" s="586" t="s">
        <v>2579</v>
      </c>
      <c r="B333" s="587" t="s">
        <v>3078</v>
      </c>
      <c r="C333" s="586" t="s">
        <v>3079</v>
      </c>
    </row>
    <row r="334" ht="32" customHeight="1" spans="1:4">
      <c r="A334" s="588" t="s">
        <v>2579</v>
      </c>
      <c r="B334" s="589" t="s">
        <v>3080</v>
      </c>
      <c r="C334" s="588" t="s">
        <v>3081</v>
      </c>
    </row>
    <row r="335" ht="32" customHeight="1" spans="1:4">
      <c r="A335" s="586" t="s">
        <v>2579</v>
      </c>
      <c r="B335" s="587" t="s">
        <v>3082</v>
      </c>
      <c r="C335" s="586" t="s">
        <v>3083</v>
      </c>
    </row>
    <row r="336" ht="32" customHeight="1" spans="1:4">
      <c r="A336" s="588" t="s">
        <v>2579</v>
      </c>
      <c r="B336" s="589" t="s">
        <v>3084</v>
      </c>
      <c r="C336" s="588" t="s">
        <v>3085</v>
      </c>
    </row>
    <row r="337" ht="32" customHeight="1" spans="1:4">
      <c r="A337" s="586" t="s">
        <v>2579</v>
      </c>
      <c r="B337" s="587" t="s">
        <v>3086</v>
      </c>
      <c r="C337" s="586" t="s">
        <v>3087</v>
      </c>
    </row>
    <row r="338" ht="32" customHeight="1" spans="1:4">
      <c r="A338" s="588" t="s">
        <v>2579</v>
      </c>
      <c r="B338" s="589" t="s">
        <v>3088</v>
      </c>
      <c r="C338" s="588" t="s">
        <v>3089</v>
      </c>
    </row>
    <row r="339" ht="32" customHeight="1" spans="1:4">
      <c r="A339" s="586" t="s">
        <v>2579</v>
      </c>
      <c r="B339" s="587" t="s">
        <v>3090</v>
      </c>
      <c r="C339" s="586" t="s">
        <v>3091</v>
      </c>
    </row>
    <row r="340" ht="32" customHeight="1" spans="1:4">
      <c r="A340" s="588" t="s">
        <v>2579</v>
      </c>
      <c r="B340" s="589" t="s">
        <v>3092</v>
      </c>
      <c r="C340" s="588" t="s">
        <v>3093</v>
      </c>
    </row>
    <row r="341" ht="32" customHeight="1" spans="1:4">
      <c r="A341" s="586" t="s">
        <v>2580</v>
      </c>
      <c r="B341" s="587" t="s">
        <v>3094</v>
      </c>
      <c r="C341" s="586" t="s">
        <v>3095</v>
      </c>
    </row>
    <row r="342" ht="32" customHeight="1" spans="1:4">
      <c r="A342" s="588" t="s">
        <v>2580</v>
      </c>
      <c r="B342" s="589" t="s">
        <v>3096</v>
      </c>
      <c r="C342" s="588" t="s">
        <v>3097</v>
      </c>
    </row>
    <row r="343" ht="45.5" customHeight="1" spans="1:4">
      <c r="A343" s="586" t="s">
        <v>2580</v>
      </c>
      <c r="B343" s="587" t="s">
        <v>3098</v>
      </c>
      <c r="C343" s="586" t="s">
        <v>3099</v>
      </c>
    </row>
    <row r="344" ht="45.5" customHeight="1" spans="1:4">
      <c r="A344" s="588" t="s">
        <v>2580</v>
      </c>
      <c r="B344" s="589" t="s">
        <v>3100</v>
      </c>
      <c r="C344" s="588" t="s">
        <v>3101</v>
      </c>
    </row>
    <row r="345" ht="45.5" customHeight="1" spans="1:4">
      <c r="A345" s="586" t="s">
        <v>2580</v>
      </c>
      <c r="B345" s="587" t="s">
        <v>3102</v>
      </c>
      <c r="C345" s="586" t="s">
        <v>3103</v>
      </c>
    </row>
    <row r="346" ht="45.5" customHeight="1" spans="1:4">
      <c r="A346" s="588" t="s">
        <v>2580</v>
      </c>
      <c r="B346" s="589" t="s">
        <v>3104</v>
      </c>
      <c r="C346" s="588" t="s">
        <v>3105</v>
      </c>
    </row>
    <row r="347" ht="72.5" customHeight="1" spans="1:4">
      <c r="A347" s="586" t="s">
        <v>2581</v>
      </c>
      <c r="B347" s="587" t="s">
        <v>3106</v>
      </c>
      <c r="C347" s="586" t="s">
        <v>3107</v>
      </c>
    </row>
    <row r="348" ht="79" customHeight="1" spans="1:4">
      <c r="A348" s="588" t="s">
        <v>2581</v>
      </c>
      <c r="B348" s="589" t="s">
        <v>3108</v>
      </c>
      <c r="C348" s="588" t="s">
        <v>3109</v>
      </c>
    </row>
    <row r="349" ht="92.5" customHeight="1" spans="1:4">
      <c r="A349" s="586" t="s">
        <v>2581</v>
      </c>
      <c r="B349" s="587" t="s">
        <v>3110</v>
      </c>
      <c r="C349" s="586" t="s">
        <v>3111</v>
      </c>
    </row>
    <row r="350" ht="79" customHeight="1" spans="1:4">
      <c r="A350" s="588" t="s">
        <v>2581</v>
      </c>
      <c r="B350" s="589" t="s">
        <v>3112</v>
      </c>
      <c r="C350" s="588" t="s">
        <v>3113</v>
      </c>
    </row>
    <row r="351" ht="92.5" customHeight="1" spans="1:4">
      <c r="A351" s="586" t="s">
        <v>2581</v>
      </c>
      <c r="B351" s="587" t="s">
        <v>214</v>
      </c>
      <c r="C351" s="586" t="s">
        <v>3114</v>
      </c>
    </row>
    <row r="352" ht="32" customHeight="1" spans="1:4">
      <c r="A352" s="588" t="s">
        <v>2581</v>
      </c>
      <c r="B352" s="589" t="s">
        <v>3115</v>
      </c>
      <c r="C352" s="588" t="s">
        <v>3116</v>
      </c>
    </row>
    <row r="353" ht="79" customHeight="1" spans="1:4">
      <c r="A353" s="586" t="s">
        <v>2581</v>
      </c>
      <c r="B353" s="587" t="s">
        <v>3117</v>
      </c>
      <c r="C353" s="586" t="s">
        <v>3118</v>
      </c>
    </row>
    <row r="354" ht="45.5" customHeight="1" spans="1:4">
      <c r="A354" s="588" t="s">
        <v>2581</v>
      </c>
      <c r="B354" s="589" t="s">
        <v>3119</v>
      </c>
      <c r="C354" s="588" t="s">
        <v>3120</v>
      </c>
    </row>
    <row r="355" ht="72.5" customHeight="1" spans="1:4">
      <c r="A355" s="586" t="s">
        <v>2581</v>
      </c>
      <c r="B355" s="587" t="s">
        <v>3121</v>
      </c>
      <c r="C355" s="586" t="s">
        <v>3122</v>
      </c>
    </row>
    <row r="356" ht="45.5" customHeight="1" spans="1:4">
      <c r="A356" s="588" t="s">
        <v>2581</v>
      </c>
      <c r="B356" s="589" t="s">
        <v>3123</v>
      </c>
      <c r="C356" s="588" t="s">
        <v>3124</v>
      </c>
    </row>
    <row r="357" ht="45.5" customHeight="1" spans="1:4">
      <c r="A357" s="586" t="s">
        <v>2581</v>
      </c>
      <c r="B357" s="587" t="s">
        <v>3125</v>
      </c>
      <c r="C357" s="586" t="s">
        <v>3126</v>
      </c>
    </row>
    <row r="358" ht="32" customHeight="1" spans="1:4">
      <c r="A358" s="588" t="s">
        <v>2582</v>
      </c>
      <c r="B358" s="589" t="s">
        <v>3127</v>
      </c>
      <c r="C358" s="588" t="s">
        <v>3128</v>
      </c>
    </row>
    <row r="359" ht="32" customHeight="1" spans="1:4">
      <c r="A359" s="586" t="s">
        <v>2582</v>
      </c>
      <c r="B359" s="587" t="inlineStr">
        <is>
          <t xml:space="preserve">简易定向麦克风</t>
        </is>
      </c>
      <c r="C359" s="586" t="s">
        <v>3129</v>
      </c>
    </row>
    <row r="360" ht="32" customHeight="1" spans="1:4">
      <c r="A360" s="588" t="s">
        <v>2582</v>
      </c>
      <c r="B360" s="589" t="s">
        <v>3130</v>
      </c>
      <c r="C360" s="588" t="s">
        <v>3131</v>
      </c>
    </row>
    <row r="361" ht="32" customHeight="1" spans="1:4">
      <c r="A361" s="586" t="s">
        <v>2582</v>
      </c>
      <c r="B361" s="587" t="s">
        <v>3132</v>
      </c>
      <c r="C361" s="586" t="s">
        <v>3131</v>
      </c>
    </row>
    <row r="362" ht="32" customHeight="1" spans="1:4">
      <c r="A362" s="588" t="s">
        <v>2582</v>
      </c>
      <c r="B362" s="589" t="s">
        <v>3133</v>
      </c>
      <c r="C362" s="588" t="s">
        <v>3131</v>
      </c>
    </row>
    <row r="363" ht="32" customHeight="1" spans="1:4">
      <c r="A363" s="586" t="s">
        <v>2582</v>
      </c>
      <c r="B363" s="587" t="s">
        <v>3134</v>
      </c>
      <c r="C363" s="586" t="s">
        <v>3131</v>
      </c>
    </row>
    <row r="364" ht="32" customHeight="1" spans="1:4">
      <c r="A364" s="588" t="s">
        <v>2582</v>
      </c>
      <c r="B364" s="589" t="s">
        <v>3135</v>
      </c>
      <c r="C364" s="588" t="s">
        <v>3131</v>
      </c>
    </row>
    <row r="365" ht="32" customHeight="1" spans="1:4">
      <c r="A365" s="586" t="s">
        <v>2582</v>
      </c>
      <c r="B365" s="587" t="inlineStr">
        <is>
          <t xml:space="preserve">定向麦克风及音频软件</t>
        </is>
      </c>
      <c r="C365" s="586" t="s">
        <v>3136</v>
      </c>
    </row>
    <row r="366" ht="32" customHeight="1" spans="1:4">
      <c r="A366" s="588" t="s">
        <v>2582</v>
      </c>
      <c r="B366" s="589" t="s">
        <v>3137</v>
      </c>
      <c r="C366" s="588" t="s">
        <v>3131</v>
      </c>
    </row>
    <row r="367" ht="32" customHeight="1" spans="1:4">
      <c r="A367" s="586" t="s">
        <v>2582</v>
      </c>
      <c r="B367" s="587" t="inlineStr">
        <is>
          <t xml:space="preserve">基础无人机，能在市场上购得</t>
        </is>
      </c>
      <c r="C367" s="586" t="s">
        <v>3138</v>
      </c>
    </row>
    <row r="368" ht="32" customHeight="1" spans="1:4">
      <c r="A368" s="588" t="s">
        <v>2582</v>
      </c>
      <c r="B368" s="589" t="s">
        <v>3139</v>
      </c>
      <c r="C368" s="588" t="s">
        <v>3140</v>
      </c>
    </row>
    <row r="369" ht="32" customHeight="1" spans="1:4">
      <c r="A369" s="586" t="s">
        <v>2582</v>
      </c>
      <c r="B369" s="587" t="s">
        <v>3141</v>
      </c>
      <c r="C369" s="586" t="s">
        <v>3140</v>
      </c>
    </row>
    <row r="370" ht="32" customHeight="1" spans="1:4">
      <c r="A370" s="588" t="s">
        <v>2582</v>
      </c>
      <c r="B370" s="589" t="s">
        <v>3142</v>
      </c>
      <c r="C370" s="588" t="s">
        <v>3140</v>
      </c>
    </row>
    <row r="371" ht="32" customHeight="1" spans="1:4">
      <c r="A371" s="586" t="s">
        <v>2582</v>
      </c>
      <c r="B371" s="587" t="inlineStr">
        <is>
          <t xml:space="preserve">先进无人机</t>
        </is>
      </c>
      <c r="C371" s="586" t="s">
        <v>3143</v>
      </c>
    </row>
    <row r="372" ht="32" customHeight="1" spans="1:4">
      <c r="A372" s="588" t="s">
        <v>2582</v>
      </c>
      <c r="B372" s="589" t="s">
        <v>3144</v>
      </c>
      <c r="C372" s="588" t="s">
        <v>3145</v>
      </c>
    </row>
    <row r="373" ht="32" customHeight="1" spans="1:4">
      <c r="A373" s="586" t="s">
        <v>2582</v>
      </c>
      <c r="B373" s="587" t="inlineStr">
        <is>
          <t xml:space="preserve">探地雷达</t>
        </is>
      </c>
      <c r="C373" s="586" t="s">
        <v>3146</v>
      </c>
    </row>
    <row r="374" ht="32" customHeight="1" spans="1:4">
      <c r="A374" s="588" t="s">
        <v>2582</v>
      </c>
      <c r="B374" s="589" t="s">
        <v>3147</v>
      </c>
      <c r="C374" s="588" t="s">
        <v>3148</v>
      </c>
    </row>
    <row r="375" ht="32" customHeight="1" spans="1:4">
      <c r="A375" s="586" t="s">
        <v>2582</v>
      </c>
      <c r="B375" s="587" t="inlineStr">
        <is>
          <t xml:space="preserve">军用无人机</t>
        </is>
      </c>
      <c r="C375" s="586" t="s">
        <v>3149</v>
      </c>
    </row>
    <row r="376" ht="32" customHeight="1" spans="1:4">
      <c r="A376" s="588" t="s">
        <v>2583</v>
      </c>
      <c r="B376" s="589" t="s">
        <v>3150</v>
      </c>
      <c r="C376" s="588" t="s">
        <v>3128</v>
      </c>
    </row>
    <row r="377" ht="32" customHeight="1" spans="1:4">
      <c r="A377" s="586" t="s">
        <v>2583</v>
      </c>
      <c r="B377" s="587" t="inlineStr">
        <is>
          <t xml:space="preserve">大型手电筒</t>
        </is>
      </c>
      <c r="C377" s="586" t="s">
        <v>3151</v>
      </c>
    </row>
    <row r="378" ht="32" customHeight="1" spans="1:4">
      <c r="A378" s="588" t="s">
        <v>2583</v>
      </c>
      <c r="B378" s="589" t="s">
        <v>3152</v>
      </c>
      <c r="C378" s="588" t="s">
        <v>3128</v>
      </c>
    </row>
    <row r="379" ht="45.5" customHeight="1" spans="1:4">
      <c r="A379" s="586" t="s">
        <v>2583</v>
      </c>
      <c r="B379" s="587" t="inlineStr">
        <is>
          <t xml:space="preserve">战术灯或武器挂灯</t>
        </is>
      </c>
      <c r="C379" s="586" t="s">
        <v>3153</v>
      </c>
    </row>
    <row r="380" ht="32" customHeight="1" spans="1:4">
      <c r="A380" s="588" t="s">
        <v>2583</v>
      </c>
      <c r="B380" s="589" t="s">
        <v>3154</v>
      </c>
      <c r="C380" s="588" t="s">
        <v>3128</v>
      </c>
    </row>
    <row r="381" ht="32" customHeight="1" spans="1:4">
      <c r="A381" s="586" t="s">
        <v>2583</v>
      </c>
      <c r="B381" s="587" t="inlineStr">
        <is>
          <t xml:space="preserve">普通双筒望远镜</t>
        </is>
      </c>
      <c r="C381" s="586" t="s">
        <v>3155</v>
      </c>
    </row>
    <row r="382" ht="32" customHeight="1" spans="1:4">
      <c r="A382" s="588" t="s">
        <v>2583</v>
      </c>
      <c r="B382" s="589" t="s">
        <v>3156</v>
      </c>
      <c r="C382" s="588" t="s">
        <v>3131</v>
      </c>
    </row>
    <row r="383" ht="59" customHeight="1" spans="1:4">
      <c r="A383" s="586" t="s">
        <v>2583</v>
      </c>
      <c r="B383" s="587" t="inlineStr">
        <is>
          <t xml:space="preserve">民用夜视眼镜（NVG）</t>
        </is>
      </c>
      <c r="C383" s="586" t="s">
        <v>3157</v>
      </c>
    </row>
    <row r="384" ht="32" customHeight="1" spans="1:4">
      <c r="A384" s="588" t="s">
        <v>2583</v>
      </c>
      <c r="B384" s="589" t="s">
        <v>3158</v>
      </c>
      <c r="C384" s="588" t="s">
        <v>3131</v>
      </c>
    </row>
    <row r="385" ht="32" customHeight="1" spans="1:4">
      <c r="A385" s="586" t="s">
        <v>2583</v>
      </c>
      <c r="B385" s="587" t="inlineStr">
        <is>
          <t xml:space="preserve">先进双筒望远镜或望远镜</t>
        </is>
      </c>
      <c r="C385" s="586" t="s">
        <v>3159</v>
      </c>
    </row>
    <row r="386" ht="32" customHeight="1" spans="1:4">
      <c r="A386" s="588" t="s">
        <v>2583</v>
      </c>
      <c r="B386" s="589" t="s">
        <v>3160</v>
      </c>
      <c r="C386" s="588" t="s">
        <v>3140</v>
      </c>
    </row>
    <row r="387" ht="32" customHeight="1" spans="1:4">
      <c r="A387" s="586" t="s">
        <v>2583</v>
      </c>
      <c r="B387" s="587" t="inlineStr">
        <is>
          <t xml:space="preserve">强力望远镜</t>
        </is>
      </c>
      <c r="C387" s="586" t="s">
        <v>3161</v>
      </c>
    </row>
    <row r="388" ht="32" customHeight="1" spans="1:4">
      <c r="A388" s="588" t="s">
        <v>2583</v>
      </c>
      <c r="B388" s="589" t="s">
        <v>3162</v>
      </c>
      <c r="C388" s="588" t="s">
        <v>3145</v>
      </c>
    </row>
    <row r="389" ht="32" customHeight="1" spans="1:4">
      <c r="A389" s="586" t="s">
        <v>2583</v>
      </c>
      <c r="B389" s="587" t="inlineStr">
        <is>
          <t xml:space="preserve">军用夜视眼镜</t>
        </is>
      </c>
      <c r="C389" s="586" t="s">
        <v>3163</v>
      </c>
    </row>
    <row r="390" ht="32" customHeight="1" spans="1:4">
      <c r="A390" s="588" t="s">
        <v>2584</v>
      </c>
      <c r="B390" s="589" t="s">
        <v>3164</v>
      </c>
      <c r="C390" s="588" t="s">
        <v>3128</v>
      </c>
    </row>
    <row r="391" ht="32" customHeight="1" spans="1:4">
      <c r="A391" s="586" t="s">
        <v>2584</v>
      </c>
      <c r="B391" s="587" t="inlineStr">
        <is>
          <t xml:space="preserve">开锁套件</t>
        </is>
      </c>
      <c r="C391" s="586" t="s">
        <v>3138</v>
      </c>
    </row>
    <row r="392" ht="32" customHeight="1" spans="1:4">
      <c r="A392" s="588" t="s">
        <v>2584</v>
      </c>
      <c r="B392" s="589" t="s">
        <v>3165</v>
      </c>
      <c r="C392" s="588" t="s">
        <v>3131</v>
      </c>
    </row>
    <row r="393" ht="32" customHeight="1" spans="1:4">
      <c r="A393" s="586" t="s">
        <v>2584</v>
      </c>
      <c r="B393" s="587" t="inlineStr">
        <is>
          <t xml:space="preserve">哈利根撬棍</t>
        </is>
      </c>
      <c r="C393" s="586" t="s">
        <v>3166</v>
      </c>
    </row>
    <row r="394" ht="32" customHeight="1" spans="1:4">
      <c r="A394" s="588" t="s">
        <v>2584</v>
      </c>
      <c r="B394" s="589" t="s">
        <v>3167</v>
      </c>
      <c r="C394" s="588" t="s">
        <v>3131</v>
      </c>
    </row>
    <row r="395" ht="32" customHeight="1" spans="1:4">
      <c r="A395" s="586" t="s">
        <v>2584</v>
      </c>
      <c r="B395" s="587" t="inlineStr">
        <is>
          <t xml:space="preserve">抖锁器</t>
        </is>
      </c>
      <c r="C395" s="586" t="s">
        <v>3168</v>
      </c>
    </row>
    <row r="396" ht="32" customHeight="1" spans="1:4">
      <c r="A396" s="588" t="s">
        <v>2585</v>
      </c>
      <c r="B396" s="589" t="s">
        <v>3169</v>
      </c>
      <c r="C396" s="588" t="s">
        <v>3128</v>
      </c>
    </row>
    <row r="397" ht="32" customHeight="1" spans="1:4">
      <c r="A397" s="586" t="s">
        <v>2585</v>
      </c>
      <c r="B397" s="587" t="inlineStr">
        <is>
          <t xml:space="preserve">个人急救套件</t>
        </is>
      </c>
      <c r="C397" s="586" t="s">
        <v>3170</v>
      </c>
    </row>
    <row r="398" ht="32" customHeight="1" spans="1:4">
      <c r="A398" s="588" t="s">
        <v>2585</v>
      </c>
      <c r="B398" s="589" t="s">
        <v>3171</v>
      </c>
      <c r="C398" s="588" t="s">
        <v>3128</v>
      </c>
    </row>
    <row r="399" ht="32" customHeight="1" spans="1:4">
      <c r="A399" s="586" t="s">
        <v>2585</v>
      </c>
      <c r="B399" s="587" t="inlineStr">
        <is>
          <t xml:space="preserve">小型灭火器（CO₂）</t>
        </is>
      </c>
      <c r="C399" s="586" t="s">
        <v>3172</v>
      </c>
    </row>
    <row r="400" ht="32" customHeight="1" spans="1:4">
      <c r="A400" s="588" t="s">
        <v>2585</v>
      </c>
      <c r="B400" s="589" t="s">
        <v>3173</v>
      </c>
      <c r="C400" s="588" t="s">
        <v>3128</v>
      </c>
    </row>
    <row r="401" ht="32" customHeight="1" spans="1:4">
      <c r="A401" s="586" t="s">
        <v>2585</v>
      </c>
      <c r="B401" s="587" t="inlineStr">
        <is>
          <t xml:space="preserve">手持 GPS</t>
        </is>
      </c>
      <c r="C401" s="586" t="s">
        <v>3174</v>
      </c>
    </row>
    <row r="402" ht="32" customHeight="1" spans="1:4">
      <c r="A402" s="588" t="s">
        <v>2585</v>
      </c>
      <c r="B402" s="589" t="s">
        <v>3175</v>
      </c>
      <c r="C402" s="588" t="s">
        <v>3128</v>
      </c>
    </row>
    <row r="403" ht="32" customHeight="1" spans="1:4">
      <c r="A403" s="586" t="s">
        <v>2585</v>
      </c>
      <c r="B403" s="587" t="inlineStr">
        <is>
          <t xml:space="preserve">基本露营装备</t>
        </is>
      </c>
      <c r="C403" s="586" t="s">
        <v>3176</v>
      </c>
    </row>
    <row r="404" ht="32" customHeight="1" spans="1:4">
      <c r="A404" s="588" t="s">
        <v>2585</v>
      </c>
      <c r="B404" s="589" t="s">
        <v>3177</v>
      </c>
      <c r="C404" s="588" t="s">
        <v>3128</v>
      </c>
    </row>
    <row r="405" ht="32" customHeight="1" spans="1:4">
      <c r="A405" s="586" t="s">
        <v>2585</v>
      </c>
      <c r="B405" s="587" t="inlineStr">
        <is>
          <t xml:space="preserve">个人防护装备（PPE）</t>
        </is>
      </c>
      <c r="C405" s="586" t="s">
        <v>3178</v>
      </c>
    </row>
    <row r="406" ht="32" customHeight="1" spans="1:4">
      <c r="A406" s="588" t="s">
        <v>2585</v>
      </c>
      <c r="B406" s="589" t="s">
        <v>3179</v>
      </c>
      <c r="C406" s="588" t="s">
        <v>3131</v>
      </c>
    </row>
    <row r="407" ht="32" customHeight="1" spans="1:4">
      <c r="A407" s="586" t="s">
        <v>2585</v>
      </c>
      <c r="B407" s="587" t="inlineStr">
        <is>
          <t xml:space="preserve">重型灭火器</t>
        </is>
      </c>
      <c r="C407" s="586" t="s">
        <v>3180</v>
      </c>
    </row>
    <row r="408" ht="32" customHeight="1" spans="1:4">
      <c r="A408" s="588" t="s">
        <v>2585</v>
      </c>
      <c r="B408" s="589" t="s">
        <v>3181</v>
      </c>
      <c r="C408" s="588" t="s">
        <v>3131</v>
      </c>
    </row>
    <row r="409" ht="32" customHeight="1" spans="1:4">
      <c r="A409" s="586" t="s">
        <v>2585</v>
      </c>
      <c r="B409" s="587" t="inlineStr">
        <is>
          <t xml:space="preserve">防毒面具</t>
        </is>
      </c>
      <c r="C409" s="586" t="s">
        <v>3182</v>
      </c>
    </row>
    <row r="410" ht="32" customHeight="1" spans="1:4">
      <c r="A410" s="588" t="s">
        <v>2585</v>
      </c>
      <c r="B410" s="589" t="s">
        <v>3183</v>
      </c>
      <c r="C410" s="588" t="s">
        <v>3131</v>
      </c>
    </row>
    <row r="411" ht="32" customHeight="1" spans="1:4">
      <c r="A411" s="586" t="s">
        <v>2585</v>
      </c>
      <c r="B411" s="587" t="inlineStr">
        <is>
          <t xml:space="preserve">危险物品防护服</t>
        </is>
      </c>
      <c r="C411" s="586" t="s">
        <v>3184</v>
      </c>
    </row>
    <row r="412" ht="32" customHeight="1" spans="1:4">
      <c r="A412" s="588" t="s">
        <v>2585</v>
      </c>
      <c r="B412" s="589" t="s">
        <v>3185</v>
      </c>
      <c r="C412" s="588" t="s">
        <v>3131</v>
      </c>
    </row>
    <row r="413" ht="92.5" customHeight="1" spans="1:4">
      <c r="A413" s="586" t="s">
        <v>2585</v>
      </c>
      <c r="B413" s="587" t="inlineStr">
        <is>
          <t xml:space="preserve">急救人员医疗套件</t>
        </is>
      </c>
      <c r="C413" s="586" t="s">
        <v>3186</v>
      </c>
    </row>
    <row r="414" ht="32" customHeight="1" spans="1:4">
      <c r="A414" s="588" t="s">
        <v>2585</v>
      </c>
      <c r="B414" s="589" t="s">
        <v>3187</v>
      </c>
      <c r="C414" s="588" t="s">
        <v>3131</v>
      </c>
    </row>
    <row r="415" ht="45.5" customHeight="1" spans="1:4">
      <c r="A415" s="586" t="s">
        <v>2585</v>
      </c>
      <c r="B415" s="587" t="inlineStr">
        <is>
          <t xml:space="preserve">扩展露营装备</t>
        </is>
      </c>
      <c r="C415" s="586" t="s">
        <v>3188</v>
      </c>
    </row>
    <row r="416" ht="32" customHeight="1" spans="1:4">
      <c r="A416" s="588" t="s">
        <v>2585</v>
      </c>
      <c r="B416" s="589" t="s">
        <v>3189</v>
      </c>
      <c r="C416" s="588" t="s">
        <v>3140</v>
      </c>
    </row>
    <row r="417" ht="32" customHeight="1" spans="1:4">
      <c r="A417" s="586" t="s">
        <v>2585</v>
      </c>
      <c r="B417" s="587" t="inlineStr">
        <is>
          <t xml:space="preserve">水下呼吸装备</t>
        </is>
      </c>
      <c r="C417" s="586" t="s">
        <v>3190</v>
      </c>
    </row>
    <row r="418" ht="32" customHeight="1" spans="1:4">
      <c r="A418" s="588" t="s">
        <v>2585</v>
      </c>
      <c r="B418" s="589" t="s">
        <v>3191</v>
      </c>
      <c r="C418" s="588" t="s">
        <v>3140</v>
      </c>
    </row>
    <row r="419" ht="32" customHeight="1" spans="1:4">
      <c r="A419" s="586" t="s">
        <v>2585</v>
      </c>
      <c r="B419" s="587" t="inlineStr">
        <is>
          <t xml:space="preserve">装满酸液的聚丙烯桶</t>
        </is>
      </c>
      <c r="C419" s="586" t="s">
        <v>3192</v>
      </c>
    </row>
    <row r="420" ht="32" customHeight="1" spans="1:4">
      <c r="A420" s="588" t="s">
        <v>2586</v>
      </c>
      <c r="B420" s="589" t="s">
        <v>3193</v>
      </c>
      <c r="C420" s="588" t="s">
        <v>3131</v>
      </c>
    </row>
    <row r="421" ht="32" customHeight="1" spans="1:4">
      <c r="A421" s="586" t="s">
        <v>2586</v>
      </c>
      <c r="B421" s="587" t="inlineStr">
        <is>
          <t xml:space="preserve">地下急救，闭口不问</t>
        </is>
      </c>
      <c r="C421" s="586" t="s">
        <v>3194</v>
      </c>
    </row>
    <row r="422" ht="32" customHeight="1" spans="1:4">
      <c r="A422" s="588" t="s">
        <v>2586</v>
      </c>
      <c r="B422" s="589" t="s">
        <v>3195</v>
      </c>
      <c r="C422" s="588" t="s">
        <v>3140</v>
      </c>
    </row>
    <row r="423" ht="32" customHeight="1" spans="1:4">
      <c r="A423" s="586" t="s">
        <v>2586</v>
      </c>
      <c r="B423" s="587" t="inlineStr">
        <is>
          <t xml:space="preserve">地下药品或小手术，闭口不问</t>
        </is>
      </c>
      <c r="C423" s="586" t="s">
        <v>3194</v>
      </c>
    </row>
    <row r="424" ht="32" customHeight="1" spans="1:4">
      <c r="A424" s="588" t="s">
        <v>2586</v>
      </c>
      <c r="B424" s="589" t="s">
        <v>3196</v>
      </c>
      <c r="C424" s="588" t="s">
        <v>3145</v>
      </c>
    </row>
    <row r="425" ht="32" customHeight="1" spans="1:4">
      <c r="A425" s="586" t="s">
        <v>2586</v>
      </c>
      <c r="B425" s="587" t="inlineStr">
        <is>
          <t xml:space="preserve">地下大手术，闭口不问</t>
        </is>
      </c>
      <c r="C425" s="586" t="s">
        <v>3194</v>
      </c>
    </row>
    <row r="426" ht="45.5" customHeight="1" spans="1:4">
      <c r="A426" s="588" t="s">
        <v>2586</v>
      </c>
      <c r="B426" s="589" t="s">
        <v>3197</v>
      </c>
      <c r="C426" s="588" t="s">
        <v>3145</v>
      </c>
    </row>
    <row r="427" ht="45.5" customHeight="1" spans="1:4">
      <c r="A427" s="586" t="s">
        <v>2586</v>
      </c>
      <c r="B427" s="587" t="inlineStr">
        <is>
          <t xml:space="preserve">贿赂焚烧厂，火葬场，或熔炉工人，让他们对你焚烧尸体的行为视而不见</t>
        </is>
      </c>
      <c r="C427" s="586" t="s">
        <v>3198</v>
      </c>
    </row>
    <row r="428" ht="32" customHeight="1" spans="1:4">
      <c r="A428" s="588" t="s">
        <v>2587</v>
      </c>
      <c r="B428" s="589" t="s">
        <v>3199</v>
      </c>
      <c r="C428" s="588" t="s">
        <v>3131</v>
      </c>
    </row>
    <row r="429" ht="32" customHeight="1" spans="1:4">
      <c r="A429" s="586" t="s">
        <v>2587</v>
      </c>
      <c r="B429" s="587" t="inlineStr">
        <is>
          <t xml:space="preserve">全息瞄准镜</t>
        </is>
      </c>
      <c r="C429" s="586" t="s">
        <v>3200</v>
      </c>
    </row>
    <row r="430" ht="32" customHeight="1" spans="1:4">
      <c r="A430" s="588" t="s">
        <v>2587</v>
      </c>
      <c r="B430" s="589" t="s">
        <v>3201</v>
      </c>
      <c r="C430" s="588" t="s">
        <v>3131</v>
      </c>
    </row>
    <row r="431" ht="45.5" customHeight="1" spans="1:4">
      <c r="A431" s="586" t="s">
        <v>2587</v>
      </c>
      <c r="B431" s="587" t="inlineStr">
        <is>
          <t xml:space="preserve">夜视瞄准镜</t>
        </is>
      </c>
      <c r="C431" s="586" t="s">
        <v>3202</v>
      </c>
    </row>
    <row r="432" ht="32" customHeight="1" spans="1:4">
      <c r="A432" s="588" t="s">
        <v>2587</v>
      </c>
      <c r="B432" s="589" t="s">
        <v>3203</v>
      </c>
      <c r="C432" s="588" t="s">
        <v>3131</v>
      </c>
    </row>
    <row r="433" ht="45.5" customHeight="1" spans="1:4">
      <c r="A433" s="586" t="s">
        <v>2587</v>
      </c>
      <c r="B433" s="587" t="inlineStr">
        <is>
          <t xml:space="preserve">消声器</t>
        </is>
      </c>
      <c r="C433" s="586" t="s">
        <v>3204</v>
      </c>
    </row>
    <row r="434" ht="32" customHeight="1" spans="1:4">
      <c r="A434" s="588" t="s">
        <v>2587</v>
      </c>
      <c r="B434" s="589" t="s">
        <v>3205</v>
      </c>
      <c r="C434" s="588" t="s">
        <v>3131</v>
      </c>
    </row>
    <row r="435" ht="79" customHeight="1" spans="1:4">
      <c r="A435" s="586" t="s">
        <v>2587</v>
      </c>
      <c r="B435" s="587" t="inlineStr">
        <is>
          <t xml:space="preserve">激光指示器</t>
        </is>
      </c>
      <c r="C435" s="586" t="s">
        <v>3206</v>
      </c>
    </row>
    <row r="436" ht="32" customHeight="1" spans="1:4">
      <c r="A436" s="588" t="s">
        <v>2587</v>
      </c>
      <c r="B436" s="589" t="s">
        <v>3207</v>
      </c>
      <c r="C436" s="588" t="s">
        <v>3131</v>
      </c>
    </row>
    <row r="437" ht="32" customHeight="1" spans="1:4">
      <c r="A437" s="586" t="s">
        <v>2587</v>
      </c>
      <c r="B437" s="587" t="inlineStr">
        <is>
          <t xml:space="preserve">缩放瞄准镜</t>
        </is>
      </c>
      <c r="C437" s="586" t="s">
        <v>3208</v>
      </c>
    </row>
    <row r="438" ht="32" customHeight="1" spans="1:4">
      <c r="A438" s="588" t="s">
        <v>2587</v>
      </c>
      <c r="B438" s="589" t="s">
        <v>3209</v>
      </c>
      <c r="C438" s="588" t="s">
        <v>3140</v>
      </c>
    </row>
    <row r="439" ht="32" customHeight="1" spans="1:4">
      <c r="A439" s="586" t="s">
        <v>2587</v>
      </c>
      <c r="B439" s="587" t="inlineStr">
        <is>
          <t xml:space="preserve">先进战斗光学瞄准镜（ACOG）</t>
        </is>
      </c>
      <c r="C439" s="586" t="s">
        <v>3210</v>
      </c>
    </row>
    <row r="440" ht="32" customHeight="1" spans="1:4">
      <c r="A440" s="588" t="s">
        <v>2587</v>
      </c>
      <c r="B440" s="589" t="s">
        <v>3211</v>
      </c>
      <c r="C440" s="588" t="s">
        <v>3140</v>
      </c>
    </row>
    <row r="441" ht="45.5" customHeight="1" spans="1:4">
      <c r="A441" s="586" t="s">
        <v>2587</v>
      </c>
      <c r="B441" s="587" t="inlineStr">
        <is>
          <t xml:space="preserve">热成像瞄准镜（TWS）</t>
        </is>
      </c>
      <c r="C441" s="586" t="s">
        <v>3212</v>
      </c>
    </row>
    <row r="442" ht="32" customHeight="1" spans="1:4">
      <c r="A442" s="588" t="s">
        <v>2587</v>
      </c>
      <c r="B442" s="589" t="s">
        <v>3213</v>
      </c>
      <c r="C442" s="588" t="s">
        <v>3145</v>
      </c>
    </row>
    <row r="443" ht="59" customHeight="1" spans="1:4">
      <c r="A443" s="586" t="s">
        <v>2587</v>
      </c>
      <c r="B443" s="587" t="inlineStr">
        <is>
          <t xml:space="preserve">黑枪设备：带有配套软件的重型台式 3D 打印机</t>
        </is>
      </c>
      <c r="C443" s="586" t="s">
        <v>3214</v>
      </c>
    </row>
    <row r="444" ht="32" customHeight="1" spans="1:4">
      <c r="A444" s="588" t="s">
        <v>2588</v>
      </c>
      <c r="B444" s="589" t="s">
        <v>3215</v>
      </c>
      <c r="C444" s="588" t="s">
        <v>3128</v>
      </c>
    </row>
    <row r="445" ht="45.5" customHeight="1" spans="1:4">
      <c r="A445" s="586" t="s">
        <v>2588</v>
      </c>
      <c r="B445" s="587" t="inlineStr">
        <is>
          <t xml:space="preserve">访问非机密但受限制的文件，诸如刑事或财务记录</t>
        </is>
      </c>
      <c r="C445" s="586" t="inlineStr">
        <is>
          <t xml:space="preserve">必须和正式调查相关。如果不相关，那么需要进行幸运检定，失败则会招致官方审查。</t>
        </is>
      </c>
    </row>
    <row r="446" ht="32" customHeight="1" spans="1:4">
      <c r="A446" s="588" t="s">
        <v>2588</v>
      </c>
      <c r="B446" s="589" t="s">
        <v>3216</v>
      </c>
      <c r="C446" s="588" t="s">
        <v>3131</v>
      </c>
    </row>
    <row r="447" ht="32" customHeight="1" spans="1:4">
      <c r="A447" s="586" t="s">
        <v>2588</v>
      </c>
      <c r="B447" s="587" t="inlineStr">
        <is>
          <t xml:space="preserve">无理由地将一名囚犯关押 24 小时</t>
        </is>
      </c>
      <c r="C447" s="586" t="inlineStr">
        <is>
          <t xml:space="preserve">必须和正式调查相关。如果不相关，那么需要进行幸运检定，失败则会招致官方审查。</t>
        </is>
      </c>
    </row>
    <row r="448" ht="32" customHeight="1" spans="1:4">
      <c r="A448" s="588" t="s">
        <v>2588</v>
      </c>
      <c r="B448" s="589" t="s">
        <v>3217</v>
      </c>
      <c r="C448" s="588" t="s">
        <v>3131</v>
      </c>
    </row>
    <row r="449" ht="32" customHeight="1" spans="1:4">
      <c r="A449" s="586" t="s">
        <v>2588</v>
      </c>
      <c r="B449" s="587" t="s">
        <v>3218</v>
      </c>
      <c r="C449" s="586" t="s">
        <v>3131</v>
      </c>
    </row>
    <row r="450" ht="32" customHeight="1" spans="1:4">
      <c r="A450" s="588" t="s">
        <v>2588</v>
      </c>
      <c r="B450" s="589" t="s">
        <v>3219</v>
      </c>
      <c r="C450" s="588" t="s">
        <v>3140</v>
      </c>
    </row>
    <row r="451" ht="32" customHeight="1" spans="1:4">
      <c r="A451" s="586" t="s">
        <v>2588</v>
      </c>
      <c r="B451" s="587" t="inlineStr">
        <is>
          <t xml:space="preserve">使用无人机监控嫌疑人 1 到 2 天</t>
        </is>
      </c>
      <c r="C451" s="586" t="inlineStr">
        <is>
          <t xml:space="preserve">会招致官方审查。</t>
        </is>
      </c>
    </row>
    <row r="452" ht="32" customHeight="1" spans="1:4">
      <c r="A452" s="588" t="s">
        <v>2589</v>
      </c>
      <c r="B452" s="589" t="s">
        <v>3220</v>
      </c>
      <c r="C452" s="588" t="s">
        <v>3128</v>
      </c>
    </row>
    <row r="453" ht="32" customHeight="1" spans="1:4">
      <c r="A453" s="586" t="s">
        <v>2589</v>
      </c>
      <c r="B453" s="587" t="s">
        <v>3221</v>
      </c>
      <c r="C453" s="586" t="s">
        <v>3131</v>
      </c>
    </row>
    <row r="454" ht="32" customHeight="1" spans="1:4">
      <c r="A454" s="588" t="s">
        <v>2589</v>
      </c>
      <c r="B454" s="589" t="s">
        <v>3222</v>
      </c>
      <c r="C454" s="588" t="s">
        <v>3131</v>
      </c>
    </row>
    <row r="455" ht="32" customHeight="1" spans="1:4">
      <c r="A455" s="586" t="s">
        <v>2589</v>
      </c>
      <c r="B455" s="587" t="s">
        <v>3223</v>
      </c>
      <c r="C455" s="586" t="s">
        <v>3140</v>
      </c>
    </row>
    <row r="456" ht="32" customHeight="1" spans="1:4">
      <c r="A456" s="588" t="s">
        <v>2589</v>
      </c>
      <c r="B456" s="589" t="s">
        <v>3224</v>
      </c>
      <c r="C456" s="588" t="s">
        <v>3140</v>
      </c>
    </row>
    <row r="457" ht="32" customHeight="1" spans="1:4">
      <c r="A457" s="586" t="s">
        <v>2589</v>
      </c>
      <c r="B457" s="587" t="s">
        <v>3225</v>
      </c>
      <c r="C457" s="586" t="s">
        <v>3145</v>
      </c>
    </row>
    <row r="458" ht="32" customHeight="1" spans="1:4">
      <c r="A458" s="588" t="s">
        <v>2589</v>
      </c>
      <c r="B458" s="589" t="s">
        <v>3226</v>
      </c>
      <c r="C458" s="588" t="s">
        <v>3148</v>
      </c>
    </row>
    <row r="459" ht="32" customHeight="1" spans="1:4">
      <c r="A459" s="586" t="s">
        <v>2590</v>
      </c>
      <c r="B459" s="587" t="s">
        <v>3227</v>
      </c>
      <c r="C459" s="586" t="s">
        <v>3128</v>
      </c>
    </row>
    <row r="460" ht="32" customHeight="1" spans="1:4">
      <c r="A460" s="588" t="s">
        <v>2590</v>
      </c>
      <c r="B460" s="589" t="s">
        <v>3228</v>
      </c>
      <c r="C460" s="588" t="s">
        <v>3131</v>
      </c>
    </row>
    <row r="461" ht="32" customHeight="1" spans="1:4">
      <c r="A461" s="586" t="s">
        <v>2590</v>
      </c>
      <c r="B461" s="587" t="s">
        <v>3229</v>
      </c>
      <c r="C461" s="586" t="s">
        <v>3140</v>
      </c>
    </row>
    <row r="462" ht="32" customHeight="1" spans="1:4">
      <c r="A462" s="588" t="s">
        <v>2590</v>
      </c>
      <c r="B462" s="589" t="s">
        <v>3230</v>
      </c>
      <c r="C462" s="588" t="s">
        <v>3145</v>
      </c>
    </row>
    <row r="463" ht="32" customHeight="1" spans="1:4">
      <c r="A463" s="586" t="s">
        <v>2590</v>
      </c>
      <c r="B463" s="587" t="s">
        <v>3231</v>
      </c>
      <c r="C463" s="586" t="s">
        <v>3148</v>
      </c>
    </row>
    <row r="464" ht="32" customHeight="1" spans="1:4">
      <c r="A464" s="588" t="s">
        <v>2591</v>
      </c>
      <c r="B464" s="589" t="s">
        <v>3232</v>
      </c>
      <c r="C464" s="588" t="s">
        <v>3140</v>
      </c>
    </row>
    <row r="465" ht="32" customHeight="1" spans="1:4">
      <c r="A465" s="586" t="s">
        <v>2591</v>
      </c>
      <c r="B465" s="587" t="inlineStr">
        <is>
          <t xml:space="preserve">伪造的护照或身份证明文件</t>
        </is>
      </c>
      <c r="C465" s="586" t="s">
        <v>3233</v>
      </c>
    </row>
    <row r="466" ht="45.5" customHeight="1" spans="1:4">
      <c r="A466" s="588" t="s">
        <v>2591</v>
      </c>
      <c r="B466" s="589" t="s">
        <v>3234</v>
      </c>
      <c r="C466" s="588" t="s">
        <v>3145</v>
      </c>
    </row>
    <row r="467" ht="45.5" customHeight="1" spans="1:4">
      <c r="A467" s="586" t="s">
        <v>2591</v>
      </c>
      <c r="B467" s="587" t="inlineStr">
        <is>
          <t xml:space="preserve">G-7 国家的伪造护照（加拿大，欧盟，日本，美国，英国）</t>
        </is>
      </c>
      <c r="C467" s="586" t="s">
        <v>3233</v>
      </c>
    </row>
    <row r="468" ht="32" customHeight="1" spans="1:4">
      <c r="A468" s="588" t="s">
        <v>2591</v>
      </c>
      <c r="B468" s="589" t="s">
        <v>3235</v>
      </c>
      <c r="C468" s="588" t="s">
        <v>3148</v>
      </c>
    </row>
    <row r="469" ht="32" customHeight="1" spans="1:4">
      <c r="A469" s="586" t="s">
        <v>2591</v>
      </c>
      <c r="B469" s="587" t="inlineStr">
        <is>
          <t xml:space="preserve">全新的合法身份证明</t>
        </is>
      </c>
      <c r="C469" s="586" t="s">
        <v>3233</v>
      </c>
    </row>
    <row r="470" ht="32" customHeight="1" spans="1:4">
      <c r="A470" s="588" t="s">
        <v>2592</v>
      </c>
      <c r="B470" s="589" t="s">
        <v>3236</v>
      </c>
      <c r="C470" s="588" t="s">
        <v>3128</v>
      </c>
    </row>
    <row r="471" ht="32" customHeight="1" spans="1:4">
      <c r="A471" s="586" t="s">
        <v>2592</v>
      </c>
      <c r="B471" s="587" t="s">
        <v>3237</v>
      </c>
      <c r="C471" s="586" t="s">
        <v>3131</v>
      </c>
    </row>
    <row r="472" ht="32" customHeight="1" spans="1:4">
      <c r="A472" s="588" t="s">
        <v>2592</v>
      </c>
      <c r="B472" s="589" t="s">
        <v>3238</v>
      </c>
      <c r="C472" s="588" t="s">
        <v>3140</v>
      </c>
    </row>
    <row r="473" ht="32" customHeight="1" spans="1:4">
      <c r="A473" s="586" t="s">
        <v>2593</v>
      </c>
      <c r="B473" s="587" t="s">
        <v>3239</v>
      </c>
      <c r="C473" s="586" t="s">
        <v>3128</v>
      </c>
    </row>
    <row r="474" ht="32" customHeight="1" spans="1:4">
      <c r="A474" s="588" t="s">
        <v>2593</v>
      </c>
      <c r="B474" s="589" t="inlineStr">
        <is>
          <t xml:space="preserve">索带式塑料手铐</t>
        </is>
      </c>
      <c r="C474" s="588" t="s">
        <v>3240</v>
      </c>
    </row>
    <row r="475" ht="32" customHeight="1" spans="1:4">
      <c r="A475" s="586" t="s">
        <v>2593</v>
      </c>
      <c r="B475" s="587" t="s">
        <v>3241</v>
      </c>
      <c r="C475" s="586" t="s">
        <v>3128</v>
      </c>
    </row>
    <row r="476" ht="32" customHeight="1" spans="1:4">
      <c r="A476" s="588" t="s">
        <v>2593</v>
      </c>
      <c r="B476" s="589" t="inlineStr">
        <is>
          <t xml:space="preserve">手铐</t>
        </is>
      </c>
      <c r="C476" s="588" t="s">
        <v>3242</v>
      </c>
    </row>
    <row r="477" ht="32" customHeight="1" spans="1:4">
      <c r="A477" s="586" t="s">
        <v>2594</v>
      </c>
      <c r="B477" s="587" t="s">
        <v>3243</v>
      </c>
      <c r="C477" s="586" t="s">
        <v>3128</v>
      </c>
    </row>
    <row r="478" ht="32" customHeight="1" spans="1:4">
      <c r="A478" s="588" t="s">
        <v>2594</v>
      </c>
      <c r="B478" s="589" t="s">
        <v>3244</v>
      </c>
      <c r="C478" s="588" t="s">
        <v>3128</v>
      </c>
    </row>
    <row r="479" ht="32" customHeight="1" spans="1:4">
      <c r="A479" s="586" t="s">
        <v>2594</v>
      </c>
      <c r="B479" s="587" t="s">
        <v>3245</v>
      </c>
      <c r="C479" s="586" t="s">
        <v>3131</v>
      </c>
    </row>
    <row r="480" ht="32" customHeight="1" spans="1:4">
      <c r="A480" s="588" t="s">
        <v>2594</v>
      </c>
      <c r="B480" s="589" t="s">
        <v>3246</v>
      </c>
      <c r="C480" s="588" t="s">
        <v>3131</v>
      </c>
    </row>
    <row r="481" ht="45.5" customHeight="1" spans="1:4">
      <c r="A481" s="586" t="s">
        <v>2594</v>
      </c>
      <c r="B481" s="587" t="s">
        <v>3247</v>
      </c>
      <c r="C481" s="586" t="s">
        <v>3145</v>
      </c>
    </row>
    <row r="482" ht="32" customHeight="1" spans="1:4">
      <c r="A482" s="588" t="s">
        <v>2595</v>
      </c>
      <c r="B482" s="589" t="s">
        <v>3248</v>
      </c>
      <c r="C482" s="588" t="s">
        <v>3128</v>
      </c>
    </row>
    <row r="483" ht="32" customHeight="1" spans="1:4">
      <c r="A483" s="586" t="s">
        <v>2595</v>
      </c>
      <c r="B483" s="587" t="s">
        <v>3249</v>
      </c>
      <c r="C483" s="586" t="s">
        <v>3128</v>
      </c>
    </row>
    <row r="484" ht="32" customHeight="1" spans="1:4">
      <c r="A484" s="588" t="s">
        <v>2595</v>
      </c>
      <c r="B484" s="589" t="s">
        <v>3250</v>
      </c>
      <c r="C484" s="588" t="s">
        <v>3128</v>
      </c>
    </row>
    <row r="485" ht="32" customHeight="1" spans="1:4">
      <c r="A485" s="586" t="s">
        <v>2595</v>
      </c>
      <c r="B485" s="587" t="inlineStr">
        <is>
          <t xml:space="preserve">现成的常用黑客软件</t>
        </is>
      </c>
      <c r="C485" s="586" t="s">
        <v>3251</v>
      </c>
    </row>
    <row r="486" ht="32" customHeight="1" spans="1:4">
      <c r="A486" s="588" t="s">
        <v>2595</v>
      </c>
      <c r="B486" s="589" t="s">
        <v>3252</v>
      </c>
      <c r="C486" s="588" t="s">
        <v>3131</v>
      </c>
    </row>
    <row r="487" ht="32" customHeight="1" spans="1:4">
      <c r="A487" s="586" t="s">
        <v>2595</v>
      </c>
      <c r="B487" s="587" t="s">
        <v>3253</v>
      </c>
      <c r="C487" s="586" t="s">
        <v>3131</v>
      </c>
    </row>
    <row r="488" ht="32" customHeight="1" spans="1:4">
      <c r="A488" s="588" t="s">
        <v>2595</v>
      </c>
      <c r="B488" s="589" t="s">
        <v>3254</v>
      </c>
      <c r="C488" s="588" t="s">
        <v>3131</v>
      </c>
    </row>
    <row r="489" ht="32" customHeight="1" spans="1:4">
      <c r="A489" s="586" t="s">
        <v>2595</v>
      </c>
      <c r="B489" s="587" t="s">
        <v>3255</v>
      </c>
      <c r="C489" s="586" t="s">
        <v>3131</v>
      </c>
    </row>
    <row r="490" ht="32" customHeight="1" spans="1:4">
      <c r="A490" s="588" t="s">
        <v>2595</v>
      </c>
      <c r="B490" s="589" t="s">
        <v>3256</v>
      </c>
      <c r="C490" s="588" t="s">
        <v>3140</v>
      </c>
    </row>
    <row r="491" ht="32" customHeight="1" spans="1:4">
      <c r="A491" s="586" t="s">
        <v>2595</v>
      </c>
      <c r="B491" s="587" t="s">
        <v>3257</v>
      </c>
      <c r="C491" s="586" t="s">
        <v>3140</v>
      </c>
    </row>
    <row r="492" ht="32" customHeight="1" spans="1:4">
      <c r="A492" s="588" t="s">
        <v>2595</v>
      </c>
      <c r="B492" s="589" t="inlineStr">
        <is>
          <t xml:space="preserve">雇用黑客来破解基础加密系统</t>
        </is>
      </c>
      <c r="C492" s="588" t="s">
        <v>3258</v>
      </c>
    </row>
    <row r="493" ht="32" customHeight="1" spans="1:4">
      <c r="A493" s="586" t="s">
        <v>2595</v>
      </c>
      <c r="B493" s="587" t="s">
        <v>3259</v>
      </c>
      <c r="C493" s="586" t="s">
        <v>3145</v>
      </c>
    </row>
    <row r="494" ht="32" customHeight="1" spans="1:4">
      <c r="A494" s="588" t="s">
        <v>2595</v>
      </c>
      <c r="B494" s="589" t="s">
        <v>3260</v>
      </c>
      <c r="C494" s="588" t="s">
        <v>3145</v>
      </c>
    </row>
    <row r="495" ht="32" customHeight="1" spans="1:4">
      <c r="A495" s="586" t="s">
        <v>2595</v>
      </c>
      <c r="B495" s="587" t="inlineStr">
        <is>
          <t xml:space="preserve">顶尖的加密系统或数据挖掘软件</t>
        </is>
      </c>
      <c r="C495" s="586" t="s">
        <v>3261</v>
      </c>
    </row>
    <row r="496" ht="32" customHeight="1" spans="1:4">
      <c r="A496" s="588" t="s">
        <v>2595</v>
      </c>
      <c r="B496" s="589" t="s">
        <v>3262</v>
      </c>
      <c r="C496" s="588" t="s">
        <v>3145</v>
      </c>
    </row>
    <row r="497" ht="32" customHeight="1" spans="1:4">
      <c r="A497" s="586" t="s">
        <v>2595</v>
      </c>
      <c r="B497" s="587" t="inlineStr">
        <is>
          <t xml:space="preserve">先进数据分析软件</t>
        </is>
      </c>
      <c r="C497" s="586" t="s">
        <v>3263</v>
      </c>
    </row>
    <row r="498" ht="32" customHeight="1" spans="1:4">
      <c r="A498" s="588" t="s">
        <v>2595</v>
      </c>
      <c r="B498" s="589" t="s">
        <v>3264</v>
      </c>
      <c r="C498" s="588" t="s">
        <v>3145</v>
      </c>
    </row>
    <row r="499" ht="32" customHeight="1" spans="1:4">
      <c r="A499" s="586" t="s">
        <v>2595</v>
      </c>
      <c r="B499" s="587" t="s">
        <v>3265</v>
      </c>
      <c r="C499" s="586" t="s">
        <v>3145</v>
      </c>
    </row>
    <row r="500" ht="32" customHeight="1" spans="1:4">
      <c r="A500" s="588" t="s">
        <v>2595</v>
      </c>
      <c r="B500" s="589" t="inlineStr">
        <is>
          <t xml:space="preserve">雇用黑客来破解先进加密系统</t>
        </is>
      </c>
      <c r="C500" s="588" t="s">
        <v>3266</v>
      </c>
    </row>
    <row r="501" ht="32" customHeight="1" spans="1:4">
      <c r="A501" s="586" t="s">
        <v>2595</v>
      </c>
      <c r="B501" s="587" t="s">
        <v>3267</v>
      </c>
      <c r="C501" s="586" t="s">
        <v>3145</v>
      </c>
    </row>
    <row r="502" ht="45.5" customHeight="1" spans="1:4">
      <c r="A502" s="588" t="s">
        <v>2595</v>
      </c>
      <c r="B502" s="589" t="inlineStr">
        <is>
          <t xml:space="preserve">用于监控手机的便携式国际移动用户识别码捕获器</t>
        </is>
      </c>
      <c r="C502" s="588" t="s">
        <v>3268</v>
      </c>
    </row>
    <row r="503" ht="32" customHeight="1" spans="1:4">
      <c r="A503" s="586" t="s">
        <v>2595</v>
      </c>
      <c r="B503" s="587" t="s">
        <v>3269</v>
      </c>
      <c r="C503" s="586" t="s">
        <v>3148</v>
      </c>
    </row>
    <row r="504" ht="32" customHeight="1" spans="1:4">
      <c r="A504" s="588" t="s">
        <v>2595</v>
      </c>
      <c r="B504" s="589" t="inlineStr">
        <is>
          <t xml:space="preserve">独享一颗专用通信卫星</t>
        </is>
      </c>
      <c r="C504" s="588" t="s">
        <v>3261</v>
      </c>
    </row>
    <row r="505" ht="45.5" customHeight="1" spans="1:4">
      <c r="A505" s="586" t="s">
        <v>2588</v>
      </c>
      <c r="B505" s="587" t="s">
        <v>3270</v>
      </c>
      <c r="C505" s="586" t="s">
        <v>3140</v>
      </c>
    </row>
    <row r="506" ht="32" customHeight="1" spans="1:4">
      <c r="A506" s="588" t="s">
        <v>2588</v>
      </c>
      <c r="B506" s="589" t="s">
        <v>3271</v>
      </c>
      <c r="C506" s="588" t="s">
        <v>3140</v>
      </c>
    </row>
    <row r="507" ht="32" customHeight="1" spans="1:4">
      <c r="A507" s="586" t="s">
        <v>2588</v>
      </c>
      <c r="B507" s="587" t="inlineStr">
        <is>
          <t xml:space="preserve">派遣 2-5 名身着制服的当地警员</t>
        </is>
      </c>
      <c r="C507" s="586" t="inlineStr">
        <is>
          <t xml:space="preserve">会招致官方审查。</t>
        </is>
      </c>
    </row>
    <row r="508" ht="32" customHeight="1" spans="1:4">
      <c r="A508" s="588" t="s">
        <v>2588</v>
      </c>
      <c r="B508" s="589" t="s">
        <v>3272</v>
      </c>
      <c r="C508" s="588" t="s">
        <v>3140</v>
      </c>
    </row>
    <row r="509" ht="32" customHeight="1" spans="1:4">
      <c r="A509" s="586" t="s">
        <v>2588</v>
      </c>
      <c r="B509" s="587" t="s">
        <v>3273</v>
      </c>
      <c r="C509" s="586" t="s">
        <v>3140</v>
      </c>
    </row>
    <row r="510" ht="32" customHeight="1" spans="1:4">
      <c r="A510" s="588" t="s">
        <v>2588</v>
      </c>
      <c r="B510" s="589" t="s">
        <v>3274</v>
      </c>
      <c r="C510" s="588" t="s">
        <v>3140</v>
      </c>
    </row>
    <row r="511" ht="32" customHeight="1" spans="1:4">
      <c r="A511" s="586" t="s">
        <v>2588</v>
      </c>
      <c r="B511" s="587" t="s">
        <v>3275</v>
      </c>
      <c r="C511" s="586" t="s">
        <v>3148</v>
      </c>
    </row>
    <row r="512" ht="32" customHeight="1" spans="1:4">
      <c r="A512" s="588" t="s">
        <v>2588</v>
      </c>
      <c r="B512" s="589" t="inlineStr">
        <is>
          <t xml:space="preserve">呼叫当地的 FBI SWAT 小队进行突袭</t>
        </is>
      </c>
      <c r="C512" s="588" t="inlineStr">
        <is>
          <t xml:space="preserve">会招致官方审查。</t>
        </is>
      </c>
    </row>
    <row r="513" ht="45.5" customHeight="1" spans="1:4">
      <c r="A513" s="586" t="s">
        <v>2596</v>
      </c>
      <c r="B513" s="587" t="s">
        <v>3276</v>
      </c>
      <c r="C513" s="586" t="s">
        <v>3128</v>
      </c>
    </row>
    <row r="514" ht="32" customHeight="1" spans="1:4">
      <c r="A514" s="588" t="s">
        <v>2596</v>
      </c>
      <c r="B514" s="589" t="s">
        <v>3277</v>
      </c>
      <c r="C514" s="588" t="s">
        <v>3148</v>
      </c>
    </row>
    <row r="515" ht="32" customHeight="1" spans="1:4">
      <c r="A515" s="586" t="s">
        <v>2596</v>
      </c>
      <c r="B515" s="587" t="inlineStr">
        <is>
          <t xml:space="preserve">呼叫一支特种作战小队进行安保或撤离行动</t>
        </is>
      </c>
      <c r="C515" s="586" t="inlineStr">
        <is>
          <t xml:space="preserve">会招致官方审查。</t>
        </is>
      </c>
    </row>
    <row r="516" ht="32" customHeight="1" spans="1:4">
      <c r="A516" s="588" t="s">
        <v>2596</v>
      </c>
      <c r="B516" s="589" t="s">
        <v>3278</v>
      </c>
      <c r="C516" s="588" t="s">
        <v>3148</v>
      </c>
    </row>
    <row r="517" ht="32" customHeight="1" spans="1:4">
      <c r="A517" s="586" t="s">
        <v>2596</v>
      </c>
      <c r="B517" s="587" t="inlineStr">
        <is>
          <t xml:space="preserve">直升机支援（运载或监控）</t>
        </is>
      </c>
      <c r="C517" s="586" t="inlineStr">
        <is>
          <t xml:space="preserve">会招致官方审查。</t>
        </is>
      </c>
    </row>
    <row r="518" ht="32" customHeight="1" spans="1:4">
      <c r="A518" s="588" t="s">
        <v>2596</v>
      </c>
      <c r="B518" s="589" t="s">
        <v>3279</v>
      </c>
      <c r="C518" s="588" t="s">
        <v>3148</v>
      </c>
    </row>
    <row r="519" ht="32" customHeight="1" spans="1:4">
      <c r="A519" s="586" t="s">
        <v>2596</v>
      </c>
      <c r="B519" s="587" t="inlineStr">
        <is>
          <t xml:space="preserve">导弹空袭</t>
        </is>
      </c>
      <c r="C519" s="586" t="inlineStr">
        <is>
          <t xml:space="preserve">会招致官方审查；不能空袭美国本土。</t>
        </is>
      </c>
    </row>
    <row r="520" ht="45.5" customHeight="1" spans="1:4">
      <c r="A520" s="588" t="s">
        <v>2597</v>
      </c>
      <c r="B520" s="589" t="s">
        <v>2597</v>
      </c>
      <c r="C520" s="588" t="s">
        <v>3280</v>
      </c>
    </row>
    <row r="521" ht="32" customHeight="1" spans="1:4">
      <c r="A521" s="586" t="s">
        <v>2598</v>
      </c>
      <c r="B521" s="587" t="s">
        <v>3281</v>
      </c>
      <c r="C521" s="586" t="s">
        <v>3140</v>
      </c>
    </row>
    <row r="522" ht="45.5" customHeight="1" spans="1:4">
      <c r="A522" s="588" t="s">
        <v>2598</v>
      </c>
      <c r="B522" s="589" t="inlineStr">
        <is>
          <t xml:space="preserve">访问另一个机构的机密文件（与国土安全无关）</t>
        </is>
      </c>
      <c r="C522" s="588" t="s">
        <v>3282</v>
      </c>
    </row>
    <row r="523" ht="32" customHeight="1" spans="1:4">
      <c r="A523" s="586" t="s">
        <v>2598</v>
      </c>
      <c r="B523" s="587" t="s">
        <v>3283</v>
      </c>
      <c r="C523" s="586" t="s">
        <v>3140</v>
      </c>
    </row>
    <row r="524" ht="32" customHeight="1" spans="1:4">
      <c r="A524" s="588" t="s">
        <v>2598</v>
      </c>
      <c r="B524" s="589" t="inlineStr">
        <is>
          <t xml:space="preserve">无人机低空飞越并监控一块特定区域</t>
        </is>
      </c>
      <c r="C524" s="588" t="inlineStr">
        <is>
          <t xml:space="preserve">会招致官方审查。</t>
        </is>
      </c>
    </row>
    <row r="525" ht="32" customHeight="1" spans="1:4">
      <c r="A525" s="586" t="s">
        <v>2598</v>
      </c>
      <c r="B525" s="587" t="s">
        <v>3284</v>
      </c>
      <c r="C525" s="586" t="s">
        <v>3145</v>
      </c>
    </row>
    <row r="526" ht="32" customHeight="1" spans="1:4">
      <c r="A526" s="588" t="s">
        <v>2598</v>
      </c>
      <c r="B526" s="589" t="inlineStr">
        <is>
          <t xml:space="preserve">将一名囚犯关押在“黑狱”中 48 小时</t>
        </is>
      </c>
      <c r="C526" s="588" t="s">
        <v>3285</v>
      </c>
    </row>
    <row r="527" ht="32" customHeight="1" spans="1:4">
      <c r="A527" s="586" t="s">
        <v>2598</v>
      </c>
      <c r="B527" s="587" t="s">
        <v>3286</v>
      </c>
      <c r="C527" s="586" t="s">
        <v>3145</v>
      </c>
    </row>
    <row r="528" ht="32" customHeight="1" spans="1:4">
      <c r="A528" s="588" t="s">
        <v>2598</v>
      </c>
      <c r="B528" s="589" t="s">
        <v>3287</v>
      </c>
      <c r="C528" s="588" t="s">
        <v>3145</v>
      </c>
    </row>
    <row r="529" ht="32" customHeight="1" spans="1:4">
      <c r="A529" s="586" t="s">
        <v>2598</v>
      </c>
      <c r="B529" s="587" t="s">
        <v>3288</v>
      </c>
      <c r="C529" s="586" t="s">
        <v>3145</v>
      </c>
    </row>
    <row r="530" ht="45.5" customHeight="1" spans="1:4">
      <c r="A530" s="588" t="s">
        <v>2598</v>
      </c>
      <c r="B530" s="589" t="inlineStr">
        <is>
          <t xml:space="preserve">访问与国土安全相关和机密文件（特工本不应知道）</t>
        </is>
      </c>
      <c r="C530" s="588" t="s">
        <v>3289</v>
      </c>
    </row>
    <row r="531" ht="45.5" customHeight="1" spans="1:4">
      <c r="A531" s="586" t="s">
        <v>2598</v>
      </c>
      <c r="B531" s="587" t="s">
        <v>3290</v>
      </c>
      <c r="C531" s="586" t="s">
        <v>3148</v>
      </c>
    </row>
    <row r="532" ht="45.5" customHeight="1" spans="1:4">
      <c r="A532" s="588" t="s">
        <v>2598</v>
      </c>
      <c r="B532" s="589" t="inlineStr">
        <is>
          <t xml:space="preserve">无人机或卫星扩展性监控一块特定区域（不仅限于一次短途低空飞越）</t>
        </is>
      </c>
      <c r="C532" s="588" t="inlineStr">
        <is>
          <t xml:space="preserve">会招致官方审查。</t>
        </is>
      </c>
    </row>
    <row r="533" ht="32" customHeight="1" spans="1:4">
      <c r="A533" s="586" t="s">
        <v>2598</v>
      </c>
      <c r="B533" s="587" t="s">
        <v>3291</v>
      </c>
      <c r="C533" s="586" t="s">
        <v>3148</v>
      </c>
    </row>
    <row r="534" ht="32" customHeight="1" spans="1:4">
      <c r="A534" s="588" t="s">
        <v>2598</v>
      </c>
      <c r="B534" s="589" t="inlineStr">
        <is>
          <t xml:space="preserve">呼叫秘密行动队在区域内提供支援</t>
        </is>
      </c>
      <c r="C534" s="588" t="inlineStr">
        <is>
          <t xml:space="preserve">会招致官方审查。</t>
        </is>
      </c>
    </row>
    <row r="535" ht="32" customHeight="1" spans="1:4">
      <c r="A535" s="586" t="s">
        <v>2599</v>
      </c>
      <c r="B535" s="587" t="s">
        <v>3245</v>
      </c>
      <c r="C535" s="586" t="s">
        <v>3131</v>
      </c>
    </row>
    <row r="536" ht="32" customHeight="1" spans="1:4">
      <c r="A536" s="588" t="s">
        <v>2599</v>
      </c>
      <c r="B536" s="589" t="s">
        <v>3292</v>
      </c>
      <c r="C536" s="588" t="s">
        <v>3131</v>
      </c>
    </row>
    <row r="537" ht="32" customHeight="1" spans="1:4">
      <c r="A537" s="586" t="s">
        <v>2599</v>
      </c>
      <c r="B537" s="587" t="s">
        <v>3293</v>
      </c>
      <c r="C537" s="586" t="s">
        <v>3131</v>
      </c>
    </row>
    <row r="538" ht="32" customHeight="1" spans="1:4">
      <c r="A538" s="588" t="s">
        <v>2599</v>
      </c>
      <c r="B538" s="589" t="inlineStr">
        <is>
          <t xml:space="preserve">向地方执法机构提出逮捕申请（以正当理由）</t>
        </is>
      </c>
      <c r="C538" s="588" t="inlineStr">
        <is>
          <t xml:space="preserve">会招致官方审查。</t>
        </is>
      </c>
    </row>
    <row r="539" ht="32" customHeight="1" spans="1:4">
      <c r="A539" s="586" t="s">
        <v>2599</v>
      </c>
      <c r="B539" s="587" t="s">
        <v>3294</v>
      </c>
      <c r="C539" s="586" t="s">
        <v>3140</v>
      </c>
    </row>
    <row r="540" ht="32" customHeight="1" spans="1:4">
      <c r="A540" s="588" t="s">
        <v>2599</v>
      </c>
      <c r="B540" s="589" t="inlineStr">
        <is>
          <t xml:space="preserve">以所谓的环境犯罪为名义，获取进入工地的许可</t>
        </is>
      </c>
      <c r="C540" s="588" t="inlineStr">
        <is>
          <t xml:space="preserve">会招致官方审查。</t>
        </is>
      </c>
    </row>
    <row r="541" ht="32" customHeight="1" spans="1:4">
      <c r="A541" s="586" t="s">
        <v>2599</v>
      </c>
      <c r="B541" s="587" t="s">
        <v>3295</v>
      </c>
      <c r="C541" s="586" t="s">
        <v>3145</v>
      </c>
    </row>
    <row r="542" ht="32" customHeight="1" spans="1:4">
      <c r="A542" s="588" t="s">
        <v>2599</v>
      </c>
      <c r="B542" s="589" t="inlineStr">
        <is>
          <t xml:space="preserve">临时性地关闭一处工地进行环境犯罪调查</t>
        </is>
      </c>
      <c r="C542" s="588" t="inlineStr">
        <is>
          <t xml:space="preserve">会招致官方审查。</t>
        </is>
      </c>
    </row>
    <row r="543" ht="32" customHeight="1" spans="1:4">
      <c r="A543" s="586" t="s">
        <v>2599</v>
      </c>
      <c r="B543" s="587" t="inlineStr">
        <is>
          <t xml:space="preserve">隔离一个场所</t>
        </is>
      </c>
      <c r="C543" s="586" t="s">
        <v>3145</v>
      </c>
    </row>
    <row r="544" ht="32" customHeight="1" spans="1:4">
      <c r="A544" s="588" t="s">
        <v>2599</v>
      </c>
      <c r="B544" s="589" t="inlineStr">
        <is>
          <t xml:space="preserve">隔离一个场所</t>
        </is>
      </c>
      <c r="C544" s="588" t="inlineStr">
        <is>
          <t xml:space="preserve">会招致官方审查。</t>
        </is>
      </c>
    </row>
    <row r="545" ht="32" customHeight="1" spans="1:4">
      <c r="A545" s="586" t="s">
        <v>2599</v>
      </c>
      <c r="B545" s="587" t="s">
        <v>3296</v>
      </c>
      <c r="C545" s="586" t="s">
        <v>3145</v>
      </c>
    </row>
    <row r="546" ht="32" customHeight="1" spans="1:4">
      <c r="A546" s="588" t="s">
        <v>2599</v>
      </c>
      <c r="B546" s="589" t="inlineStr">
        <is>
          <t xml:space="preserve">隔离一块区域</t>
        </is>
      </c>
      <c r="C546" s="588" t="inlineStr">
        <is>
          <t xml:space="preserve">会招致官方审查。</t>
        </is>
      </c>
    </row>
  </sheetData>
  <autoFilter xmlns:etc="http://www.wps.cn/officeDocument/2017/etCustomData" ref="A8:C546" etc:filterBottomFollowUsedRange="0">
    <extLst/>
  </autoFilter>
  <mergeCells count="2">
    <mergeCell ref="A1:C1"/>
    <mergeCell ref="A2:C2"/>
  </mergeCells>
  <hyperlinks>
    <hyperlink ref="A3" location="'规则速查'!A9"/>
    <hyperlink ref="B3" location="'规则速查'!A21"/>
    <hyperlink ref="C3" location="'规则速查'!A33"/>
    <hyperlink ref="A4" location="'规则速查'!A43"/>
    <hyperlink ref="B4" location="'规则速查'!A57"/>
    <hyperlink ref="C4" location="'规则速查'!A66"/>
    <hyperlink ref="A5" location="'规则速查'!A98"/>
    <hyperlink ref="B5" location="'规则速查'!A120"/>
    <hyperlink ref="C5" location="'规则速查'!A153"/>
    <hyperlink ref="A6" location="'规则速查'!A200"/>
    <hyperlink ref="B6" location="'规则速查'!A327"/>
    <hyperlink ref="C6" location="'规则速查'!A347"/>
    <hyperlink ref="A7" location="'人物卡'!B2"/>
    <hyperlink ref="B7" location="'模组经历备忘录'!A1"/>
    <hyperlink ref="C7" r:id="rIdV16Link15"/>
  </hyperlinks>
  <pageMargins left="0.25" right="0.25" top="0.4" bottom="0.4" header="0.15" footer="0.15"/>
  <pageSetup paperSize="9" fitToHeight="0" orientation="portrait"/>
  <headerFooter>
    <oddHeader>&amp;C&amp;9 绿色三角洲｜规则速查</oddHeader>
    <oddFooter>&amp;C&amp;8 绿色三角洲规则速查 · v1.8 · 第 &amp;P / &amp;N 页</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4C6E7"/>
    <outlinePr summaryRight="0"/>
    <pageSetUpPr fitToPage="1"/>
  </sheetPr>
  <dimension ref="A1:AJ104"/>
  <sheetViews>
    <sheetView showGridLines="0" zoomScale="90" zoomScaleNormal="90" workbookViewId="0">
      <selection activeCell="A1" sqref="A1:AJ3"/>
    </sheetView>
  </sheetViews>
  <sheetFormatPr defaultColWidth="2.6" defaultRowHeight="14"/>
  <cols>
    <col min="1" max="36" width="2.6" customWidth="1"/>
  </cols>
  <sheetData>
    <row r="1" ht="14.4" customHeight="1" spans="1:36">
      <c r="A1" s="1" t="s">
        <v>3297</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3"/>
    </row>
    <row r="2" ht="14.4" customHeight="1" spans="1:36">
      <c r="A2" s="4"/>
      <c r="AJ2" s="5"/>
    </row>
    <row r="3" ht="14.4" customHeight="1" spans="1:36">
      <c r="A3" s="6"/>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8"/>
    </row>
    <row r="4" ht="14.4" customHeight="1" spans="1:36">
      <c r="A4" s="9" t="s">
        <v>3298</v>
      </c>
      <c r="B4" s="10"/>
      <c r="C4" s="10"/>
      <c r="D4" s="10"/>
      <c r="E4" s="10"/>
      <c r="F4" s="10"/>
      <c r="G4" s="10"/>
      <c r="H4" s="10"/>
      <c r="I4" s="10"/>
      <c r="J4" s="10"/>
      <c r="K4" s="10"/>
      <c r="L4" s="10"/>
      <c r="M4" s="10"/>
      <c r="N4" s="10"/>
      <c r="O4" s="10"/>
      <c r="P4" s="10"/>
      <c r="Q4" s="10"/>
      <c r="R4" s="11"/>
      <c r="S4" s="9" t="s">
        <v>3299</v>
      </c>
      <c r="T4" s="10"/>
      <c r="U4" s="10"/>
      <c r="V4" s="10"/>
      <c r="W4" s="10"/>
      <c r="X4" s="10"/>
      <c r="Y4" s="10"/>
      <c r="Z4" s="10"/>
      <c r="AA4" s="10"/>
      <c r="AB4" s="10"/>
      <c r="AC4" s="10"/>
      <c r="AD4" s="10"/>
      <c r="AE4" s="10"/>
      <c r="AF4" s="10"/>
      <c r="AG4" s="10"/>
      <c r="AH4" s="10"/>
      <c r="AI4" s="10"/>
      <c r="AJ4" s="11"/>
    </row>
    <row r="5" ht="14.4" customHeight="1" spans="1:36">
      <c r="A5" s="12" t="str">
        <f>IF(人物卡!E4="","",人物卡!E4)</f>
        <v/>
      </c>
      <c r="B5" s="10"/>
      <c r="C5" s="10"/>
      <c r="D5" s="10"/>
      <c r="E5" s="10"/>
      <c r="F5" s="10"/>
      <c r="G5" s="10"/>
      <c r="H5" s="10"/>
      <c r="I5" s="10"/>
      <c r="J5" s="10"/>
      <c r="K5" s="10"/>
      <c r="L5" s="10"/>
      <c r="M5" s="10"/>
      <c r="N5" s="10"/>
      <c r="O5" s="10"/>
      <c r="P5" s="10"/>
      <c r="Q5" s="10"/>
      <c r="R5" s="11"/>
      <c r="S5" s="13" t="str">
        <f>IF(人物卡!E8&lt;&gt;"",人物卡!E8,IF(OR(人物卡!H46="（创建新职业）",人物卡!H46=""),"",人物卡!H46))</f>
        <v/>
      </c>
      <c r="T5" s="10"/>
      <c r="U5" s="10"/>
      <c r="V5" s="10"/>
      <c r="W5" s="10"/>
      <c r="X5" s="10"/>
      <c r="Y5" s="10"/>
      <c r="Z5" s="10"/>
      <c r="AA5" s="10"/>
      <c r="AB5" s="10"/>
      <c r="AC5" s="10"/>
      <c r="AD5" s="10"/>
      <c r="AE5" s="10"/>
      <c r="AF5" s="10"/>
      <c r="AG5" s="10"/>
      <c r="AH5" s="10"/>
      <c r="AI5" s="10"/>
      <c r="AJ5" s="11"/>
    </row>
    <row r="6" ht="14.4" customHeight="1" spans="1:36">
      <c r="A6" s="9" t="s">
        <v>3300</v>
      </c>
      <c r="B6" s="10"/>
      <c r="C6" s="10"/>
      <c r="D6" s="10"/>
      <c r="E6" s="10"/>
      <c r="F6" s="10"/>
      <c r="G6" s="10"/>
      <c r="H6" s="10"/>
      <c r="I6" s="10"/>
      <c r="J6" s="10"/>
      <c r="K6" s="10"/>
      <c r="L6" s="10"/>
      <c r="M6" s="10"/>
      <c r="N6" s="10"/>
      <c r="O6" s="10"/>
      <c r="P6" s="10"/>
      <c r="Q6" s="10"/>
      <c r="R6" s="11"/>
      <c r="S6" s="9" t="s">
        <v>3301</v>
      </c>
      <c r="T6" s="10"/>
      <c r="U6" s="10"/>
      <c r="V6" s="10"/>
      <c r="W6" s="10"/>
      <c r="X6" s="10"/>
      <c r="Y6" s="10"/>
      <c r="Z6" s="10"/>
      <c r="AA6" s="10"/>
      <c r="AB6" s="10"/>
      <c r="AC6" s="10"/>
      <c r="AD6" s="10"/>
      <c r="AE6" s="10"/>
      <c r="AF6" s="10"/>
      <c r="AG6" s="10"/>
      <c r="AH6" s="10"/>
      <c r="AI6" s="10"/>
      <c r="AJ6" s="11"/>
    </row>
    <row r="7" ht="14.4" customHeight="1" spans="1:36">
      <c r="A7" s="13" t="str">
        <f>IF(人物卡!E7="","",人物卡!E7)</f>
        <v/>
      </c>
      <c r="B7" s="10"/>
      <c r="C7" s="10"/>
      <c r="D7" s="10"/>
      <c r="E7" s="10"/>
      <c r="F7" s="10"/>
      <c r="G7" s="10"/>
      <c r="H7" s="10"/>
      <c r="I7" s="10"/>
      <c r="J7" s="10"/>
      <c r="K7" s="10"/>
      <c r="L7" s="10"/>
      <c r="M7" s="10"/>
      <c r="N7" s="10"/>
      <c r="O7" s="10"/>
      <c r="P7" s="10"/>
      <c r="Q7" s="10"/>
      <c r="R7" s="11"/>
      <c r="S7" s="13" t="str">
        <f>IF(人物卡!E6="","",人物卡!E6)</f>
        <v/>
      </c>
      <c r="T7" s="10"/>
      <c r="U7" s="10"/>
      <c r="V7" s="10"/>
      <c r="W7" s="10"/>
      <c r="X7" s="10"/>
      <c r="Y7" s="10"/>
      <c r="Z7" s="10"/>
      <c r="AA7" s="10"/>
      <c r="AB7" s="10"/>
      <c r="AC7" s="10"/>
      <c r="AD7" s="10"/>
      <c r="AE7" s="10"/>
      <c r="AF7" s="10"/>
      <c r="AG7" s="10"/>
      <c r="AH7" s="10"/>
      <c r="AI7" s="10"/>
      <c r="AJ7" s="11"/>
    </row>
    <row r="8" ht="14.4" customHeight="1" spans="1:36">
      <c r="A8" s="9" t="s">
        <v>3302</v>
      </c>
      <c r="B8" s="10"/>
      <c r="C8" s="10"/>
      <c r="D8" s="10"/>
      <c r="E8" s="10"/>
      <c r="F8" s="10"/>
      <c r="G8" s="11"/>
      <c r="H8" s="9" t="s">
        <v>3303</v>
      </c>
      <c r="I8" s="10"/>
      <c r="J8" s="10"/>
      <c r="K8" s="10"/>
      <c r="L8" s="10"/>
      <c r="M8" s="11"/>
      <c r="N8" s="9" t="s">
        <v>3304</v>
      </c>
      <c r="O8" s="10"/>
      <c r="P8" s="10"/>
      <c r="Q8" s="10"/>
      <c r="R8" s="10"/>
      <c r="S8" s="10"/>
      <c r="T8" s="10"/>
      <c r="U8" s="10"/>
      <c r="V8" s="10"/>
      <c r="W8" s="10"/>
      <c r="X8" s="10"/>
      <c r="Y8" s="10"/>
      <c r="Z8" s="10"/>
      <c r="AA8" s="10"/>
      <c r="AB8" s="10"/>
      <c r="AC8" s="10"/>
      <c r="AD8" s="10"/>
      <c r="AE8" s="10"/>
      <c r="AF8" s="10"/>
      <c r="AG8" s="10"/>
      <c r="AH8" s="10"/>
      <c r="AI8" s="10"/>
      <c r="AJ8" s="11"/>
    </row>
    <row r="9" ht="14.4" customHeight="1" spans="1:36">
      <c r="A9" s="13" t="str">
        <f>IF(人物卡!E5="","",人物卡!E5)</f>
        <v/>
      </c>
      <c r="B9" s="10"/>
      <c r="C9" s="10"/>
      <c r="D9" s="10"/>
      <c r="E9" s="10"/>
      <c r="F9" s="10"/>
      <c r="G9" s="11"/>
      <c r="H9" s="13" t="str">
        <f>IF(人物卡!Q5="","",人物卡!Q5)</f>
        <v/>
      </c>
      <c r="I9" s="10"/>
      <c r="J9" s="10"/>
      <c r="K9" s="10"/>
      <c r="L9" s="10"/>
      <c r="M9" s="11"/>
      <c r="N9" s="13" t="str">
        <f>IF(人物卡!BI27="","",IF(LEN(人物卡!BI27)&gt;35,"详见背面个人详情及备注",人物卡!BI27))</f>
        <v/>
      </c>
      <c r="O9" s="10"/>
      <c r="P9" s="10"/>
      <c r="Q9" s="10"/>
      <c r="R9" s="10"/>
      <c r="S9" s="10"/>
      <c r="T9" s="10"/>
      <c r="U9" s="10"/>
      <c r="V9" s="10"/>
      <c r="W9" s="10"/>
      <c r="X9" s="10"/>
      <c r="Y9" s="10"/>
      <c r="Z9" s="10"/>
      <c r="AA9" s="10"/>
      <c r="AB9" s="10"/>
      <c r="AC9" s="10"/>
      <c r="AD9" s="10"/>
      <c r="AE9" s="10"/>
      <c r="AF9" s="10"/>
      <c r="AG9" s="10"/>
      <c r="AH9" s="10"/>
      <c r="AI9" s="10"/>
      <c r="AJ9" s="11"/>
    </row>
    <row r="10" ht="14.4" customHeight="1" spans="1:36">
      <c r="A10" s="9" t="s">
        <v>3305</v>
      </c>
      <c r="B10" s="10"/>
      <c r="C10" s="10"/>
      <c r="D10" s="10"/>
      <c r="E10" s="10"/>
      <c r="F10" s="11"/>
      <c r="G10" s="9" t="s">
        <v>85</v>
      </c>
      <c r="H10" s="10"/>
      <c r="I10" s="11"/>
      <c r="J10" s="9" t="s">
        <v>3</v>
      </c>
      <c r="K10" s="10"/>
      <c r="L10" s="11"/>
      <c r="M10" s="9" t="s">
        <v>3306</v>
      </c>
      <c r="N10" s="10"/>
      <c r="O10" s="10"/>
      <c r="P10" s="10"/>
      <c r="Q10" s="10"/>
      <c r="R10" s="10"/>
      <c r="S10" s="11"/>
      <c r="T10" s="9" t="s">
        <v>3307</v>
      </c>
      <c r="U10" s="10"/>
      <c r="V10" s="10"/>
      <c r="W10" s="10"/>
      <c r="X10" s="10"/>
      <c r="Y10" s="10"/>
      <c r="Z10" s="10"/>
      <c r="AA10" s="10"/>
      <c r="AB10" s="10"/>
      <c r="AC10" s="10"/>
      <c r="AD10" s="10"/>
      <c r="AE10" s="10"/>
      <c r="AF10" s="11"/>
      <c r="AG10" s="9" t="s">
        <v>3308</v>
      </c>
      <c r="AH10" s="10"/>
      <c r="AI10" s="10"/>
      <c r="AJ10" s="11"/>
    </row>
    <row r="11" ht="14.4" customHeight="1" spans="1:36">
      <c r="A11" s="14" t="s">
        <v>3309</v>
      </c>
      <c r="B11" s="10"/>
      <c r="C11" s="10"/>
      <c r="D11" s="10"/>
      <c r="E11" s="10"/>
      <c r="F11" s="11"/>
      <c r="G11" s="15">
        <f>IF(人物卡!AH3="",0,人物卡!AH3)</f>
        <v>0</v>
      </c>
      <c r="H11" s="10"/>
      <c r="I11" s="11"/>
      <c r="J11" s="15">
        <f>IF(人物卡!AK3="",0,人物卡!AK3)</f>
        <v>0</v>
      </c>
      <c r="K11" s="10"/>
      <c r="L11" s="11"/>
      <c r="M11" s="16" t="str">
        <f>IF(人物卡!AQ3="","",人物卡!AQ3)</f>
        <v/>
      </c>
      <c r="N11" s="10"/>
      <c r="O11" s="10"/>
      <c r="P11" s="10"/>
      <c r="Q11" s="10"/>
      <c r="R11" s="10"/>
      <c r="S11" s="11"/>
      <c r="T11" s="13" t="str">
        <f>IF(人物卡!CZ23="","",IF(人物卡!EF24="√","[DG] ","")&amp;人物卡!CZ23)</f>
        <v/>
      </c>
      <c r="U11" s="10"/>
      <c r="V11" s="10"/>
      <c r="W11" s="10"/>
      <c r="X11" s="10"/>
      <c r="Y11" s="10"/>
      <c r="Z11" s="10"/>
      <c r="AA11" s="10"/>
      <c r="AB11" s="10"/>
      <c r="AC11" s="10"/>
      <c r="AD11" s="10"/>
      <c r="AE11" s="10"/>
      <c r="AF11" s="11"/>
      <c r="AG11" s="15" t="str">
        <f>IF(人物卡!ED24="","",人物卡!ED24)</f>
        <v/>
      </c>
      <c r="AH11" s="10"/>
      <c r="AI11" s="10"/>
      <c r="AJ11" s="11"/>
    </row>
    <row r="12" ht="14.4" customHeight="1" spans="1:36">
      <c r="A12" s="14" t="s">
        <v>3310</v>
      </c>
      <c r="B12" s="10"/>
      <c r="C12" s="10"/>
      <c r="D12" s="10"/>
      <c r="E12" s="10"/>
      <c r="F12" s="11"/>
      <c r="G12" s="15">
        <f>IF(人物卡!AH4="",0,人物卡!AH4)</f>
        <v>0</v>
      </c>
      <c r="H12" s="10"/>
      <c r="I12" s="11"/>
      <c r="J12" s="15">
        <f>IF(人物卡!AK4="",0,人物卡!AK4)</f>
        <v>0</v>
      </c>
      <c r="K12" s="10"/>
      <c r="L12" s="11"/>
      <c r="M12" s="16" t="str">
        <f>IF(人物卡!AQ4="","",人物卡!AQ4)</f>
        <v/>
      </c>
      <c r="N12" s="10"/>
      <c r="O12" s="10"/>
      <c r="P12" s="10"/>
      <c r="Q12" s="10"/>
      <c r="R12" s="10"/>
      <c r="S12" s="11"/>
      <c r="T12" s="13" t="str">
        <f>IF(人物卡!CZ26="","",IF(人物卡!EF27="√","[DG] ","")&amp;人物卡!CZ26)</f>
        <v/>
      </c>
      <c r="U12" s="10"/>
      <c r="V12" s="10"/>
      <c r="W12" s="10"/>
      <c r="X12" s="10"/>
      <c r="Y12" s="10"/>
      <c r="Z12" s="10"/>
      <c r="AA12" s="10"/>
      <c r="AB12" s="10"/>
      <c r="AC12" s="10"/>
      <c r="AD12" s="10"/>
      <c r="AE12" s="10"/>
      <c r="AF12" s="11"/>
      <c r="AG12" s="15" t="str">
        <f>IF(人物卡!ED27="","",人物卡!ED27)</f>
        <v/>
      </c>
      <c r="AH12" s="10"/>
      <c r="AI12" s="10"/>
      <c r="AJ12" s="11"/>
    </row>
    <row r="13" ht="14.4" customHeight="1" spans="1:36">
      <c r="A13" s="14" t="s">
        <v>3311</v>
      </c>
      <c r="B13" s="10"/>
      <c r="C13" s="10"/>
      <c r="D13" s="10"/>
      <c r="E13" s="10"/>
      <c r="F13" s="11"/>
      <c r="G13" s="15">
        <f>IF(人物卡!AH5="",0,人物卡!AH5)</f>
        <v>0</v>
      </c>
      <c r="H13" s="10"/>
      <c r="I13" s="11"/>
      <c r="J13" s="15">
        <f>IF(人物卡!AK5="",0,人物卡!AK5)</f>
        <v>0</v>
      </c>
      <c r="K13" s="10"/>
      <c r="L13" s="11"/>
      <c r="M13" s="16" t="str">
        <f>IF(人物卡!AQ5="","",人物卡!AQ5)</f>
        <v/>
      </c>
      <c r="N13" s="10"/>
      <c r="O13" s="10"/>
      <c r="P13" s="10"/>
      <c r="Q13" s="10"/>
      <c r="R13" s="10"/>
      <c r="S13" s="11"/>
      <c r="T13" s="13" t="str">
        <f>IF(人物卡!CZ29="","",IF(人物卡!EF30="√","[DG] ","")&amp;人物卡!CZ29)</f>
        <v/>
      </c>
      <c r="U13" s="10"/>
      <c r="V13" s="10"/>
      <c r="W13" s="10"/>
      <c r="X13" s="10"/>
      <c r="Y13" s="10"/>
      <c r="Z13" s="10"/>
      <c r="AA13" s="10"/>
      <c r="AB13" s="10"/>
      <c r="AC13" s="10"/>
      <c r="AD13" s="10"/>
      <c r="AE13" s="10"/>
      <c r="AF13" s="11"/>
      <c r="AG13" s="15" t="str">
        <f>IF(人物卡!ED30="","",人物卡!ED30)</f>
        <v/>
      </c>
      <c r="AH13" s="10"/>
      <c r="AI13" s="10"/>
      <c r="AJ13" s="11"/>
    </row>
    <row r="14" ht="14.4" customHeight="1" spans="1:36">
      <c r="A14" s="14" t="s">
        <v>3312</v>
      </c>
      <c r="B14" s="10"/>
      <c r="C14" s="10"/>
      <c r="D14" s="10"/>
      <c r="E14" s="10"/>
      <c r="F14" s="11"/>
      <c r="G14" s="15">
        <f>IF(人物卡!AH6="",0,人物卡!AH6)</f>
        <v>0</v>
      </c>
      <c r="H14" s="10"/>
      <c r="I14" s="11"/>
      <c r="J14" s="15">
        <f>IF(人物卡!AK6="",0,人物卡!AK6)</f>
        <v>0</v>
      </c>
      <c r="K14" s="10"/>
      <c r="L14" s="11"/>
      <c r="M14" s="16" t="str">
        <f>IF(人物卡!AQ6="","",人物卡!AQ6)</f>
        <v/>
      </c>
      <c r="N14" s="10"/>
      <c r="O14" s="10"/>
      <c r="P14" s="10"/>
      <c r="Q14" s="10"/>
      <c r="R14" s="10"/>
      <c r="S14" s="11"/>
      <c r="T14" s="13" t="str">
        <f>IF(人物卡!CZ32="","",IF(人物卡!EF33="√","[DG] ","")&amp;人物卡!CZ32)</f>
        <v/>
      </c>
      <c r="U14" s="10"/>
      <c r="V14" s="10"/>
      <c r="W14" s="10"/>
      <c r="X14" s="10"/>
      <c r="Y14" s="10"/>
      <c r="Z14" s="10"/>
      <c r="AA14" s="10"/>
      <c r="AB14" s="10"/>
      <c r="AC14" s="10"/>
      <c r="AD14" s="10"/>
      <c r="AE14" s="10"/>
      <c r="AF14" s="11"/>
      <c r="AG14" s="15" t="str">
        <f>IF(人物卡!ED33="","",人物卡!ED33)</f>
        <v/>
      </c>
      <c r="AH14" s="10"/>
      <c r="AI14" s="10"/>
      <c r="AJ14" s="11"/>
    </row>
    <row r="15" ht="14.4" customHeight="1" spans="1:36">
      <c r="A15" s="14" t="s">
        <v>3313</v>
      </c>
      <c r="B15" s="10"/>
      <c r="C15" s="10"/>
      <c r="D15" s="10"/>
      <c r="E15" s="10"/>
      <c r="F15" s="11"/>
      <c r="G15" s="15">
        <f>IF(人物卡!AH7="",0,人物卡!AH7)</f>
        <v>0</v>
      </c>
      <c r="H15" s="10"/>
      <c r="I15" s="11"/>
      <c r="J15" s="15">
        <f>IF(人物卡!AK7="",0,人物卡!AK7)</f>
        <v>0</v>
      </c>
      <c r="K15" s="10"/>
      <c r="L15" s="11"/>
      <c r="M15" s="16" t="str">
        <f>IF(人物卡!AQ7="","",人物卡!AQ7)</f>
        <v/>
      </c>
      <c r="N15" s="10"/>
      <c r="O15" s="10"/>
      <c r="P15" s="10"/>
      <c r="Q15" s="10"/>
      <c r="R15" s="10"/>
      <c r="S15" s="11"/>
      <c r="T15" s="13" t="str">
        <f>IF(人物卡!CZ35="","",IF(人物卡!EF36="√","[DG] ","")&amp;人物卡!CZ35)</f>
        <v/>
      </c>
      <c r="U15" s="10"/>
      <c r="V15" s="10"/>
      <c r="W15" s="10"/>
      <c r="X15" s="10"/>
      <c r="Y15" s="10"/>
      <c r="Z15" s="10"/>
      <c r="AA15" s="10"/>
      <c r="AB15" s="10"/>
      <c r="AC15" s="10"/>
      <c r="AD15" s="10"/>
      <c r="AE15" s="10"/>
      <c r="AF15" s="11"/>
      <c r="AG15" s="15" t="str">
        <f>IF(人物卡!ED36="","",人物卡!ED36)</f>
        <v/>
      </c>
      <c r="AH15" s="10"/>
      <c r="AI15" s="10"/>
      <c r="AJ15" s="11"/>
    </row>
    <row r="16" ht="14.4" customHeight="1" spans="1:36">
      <c r="A16" s="14" t="s">
        <v>3314</v>
      </c>
      <c r="B16" s="10"/>
      <c r="C16" s="10"/>
      <c r="D16" s="10"/>
      <c r="E16" s="10"/>
      <c r="F16" s="11"/>
      <c r="G16" s="15">
        <f>IF(人物卡!AH8="",0,人物卡!AH8)</f>
        <v>0</v>
      </c>
      <c r="H16" s="10"/>
      <c r="I16" s="11"/>
      <c r="J16" s="15">
        <f>IF(人物卡!AK8="",0,人物卡!AK8)</f>
        <v>0</v>
      </c>
      <c r="K16" s="10"/>
      <c r="L16" s="11"/>
      <c r="M16" s="16" t="str">
        <f>IF(人物卡!AQ8="","",人物卡!AQ8)</f>
        <v/>
      </c>
      <c r="N16" s="10"/>
      <c r="O16" s="10"/>
      <c r="P16" s="10"/>
      <c r="Q16" s="10"/>
      <c r="R16" s="10"/>
      <c r="S16" s="11"/>
      <c r="T16" s="17" t="s">
        <v>3315</v>
      </c>
      <c r="U16" s="10"/>
      <c r="V16" s="10"/>
      <c r="W16" s="10"/>
      <c r="X16" s="10"/>
      <c r="Y16" s="10"/>
      <c r="Z16" s="10"/>
      <c r="AA16" s="10"/>
      <c r="AB16" s="10"/>
      <c r="AC16" s="10"/>
      <c r="AD16" s="10"/>
      <c r="AE16" s="10"/>
      <c r="AF16" s="10"/>
      <c r="AG16" s="10"/>
      <c r="AH16" s="10"/>
      <c r="AI16" s="10"/>
      <c r="AJ16" s="11"/>
    </row>
    <row r="17" ht="14.4" customHeight="1" spans="1:36">
      <c r="A17" s="9" t="s">
        <v>3316</v>
      </c>
      <c r="B17" s="10"/>
      <c r="C17" s="10"/>
      <c r="D17" s="10"/>
      <c r="E17" s="10"/>
      <c r="F17" s="10"/>
      <c r="G17" s="10"/>
      <c r="H17" s="11"/>
      <c r="I17" s="9" t="s">
        <v>3317</v>
      </c>
      <c r="J17" s="10"/>
      <c r="K17" s="10"/>
      <c r="L17" s="10"/>
      <c r="M17" s="10"/>
      <c r="N17" s="11"/>
      <c r="O17" s="9" t="s">
        <v>3318</v>
      </c>
      <c r="P17" s="10"/>
      <c r="Q17" s="10"/>
      <c r="R17" s="10"/>
      <c r="S17" s="11"/>
      <c r="T17" s="9" t="s">
        <v>3319</v>
      </c>
      <c r="U17" s="10"/>
      <c r="V17" s="10"/>
      <c r="W17" s="10"/>
      <c r="X17" s="10"/>
      <c r="Y17" s="10"/>
      <c r="Z17" s="10"/>
      <c r="AA17" s="10"/>
      <c r="AB17" s="10"/>
      <c r="AC17" s="10"/>
      <c r="AD17" s="10"/>
      <c r="AE17" s="10"/>
      <c r="AF17" s="10"/>
      <c r="AG17" s="10"/>
      <c r="AH17" s="10"/>
      <c r="AI17" s="10"/>
      <c r="AJ17" s="11"/>
    </row>
    <row r="18" ht="14.4" customHeight="1" spans="1:36">
      <c r="A18" s="13" t="s">
        <v>3320</v>
      </c>
      <c r="B18" s="10"/>
      <c r="C18" s="10"/>
      <c r="D18" s="10"/>
      <c r="E18" s="10"/>
      <c r="F18" s="10"/>
      <c r="G18" s="10"/>
      <c r="H18" s="11"/>
      <c r="I18" s="15">
        <f>IF(人物卡!K10="",0,人物卡!K10)</f>
        <v>0</v>
      </c>
      <c r="J18" s="10"/>
      <c r="K18" s="10"/>
      <c r="L18" s="10"/>
      <c r="M18" s="10"/>
      <c r="N18" s="11"/>
      <c r="O18" s="15">
        <f>IF(人物卡!H10="",0,人物卡!H10)</f>
        <v>0</v>
      </c>
      <c r="P18" s="10"/>
      <c r="Q18" s="10"/>
      <c r="R18" s="10"/>
      <c r="S18" s="11"/>
      <c r="T18" s="18" t="str">
        <f>IF(人物卡!BN17="","",人物卡!BN17)</f>
        <v/>
      </c>
      <c r="U18" s="2"/>
      <c r="V18" s="2"/>
      <c r="W18" s="2"/>
      <c r="X18" s="2"/>
      <c r="Y18" s="2"/>
      <c r="Z18" s="2"/>
      <c r="AA18" s="2"/>
      <c r="AB18" s="2"/>
      <c r="AC18" s="2"/>
      <c r="AD18" s="2"/>
      <c r="AE18" s="2"/>
      <c r="AF18" s="2"/>
      <c r="AG18" s="2"/>
      <c r="AH18" s="2"/>
      <c r="AI18" s="2"/>
      <c r="AJ18" s="3"/>
    </row>
    <row r="19" ht="14.4" customHeight="1" spans="1:36">
      <c r="A19" s="13" t="s">
        <v>3321</v>
      </c>
      <c r="B19" s="10"/>
      <c r="C19" s="10"/>
      <c r="D19" s="10"/>
      <c r="E19" s="10"/>
      <c r="F19" s="10"/>
      <c r="G19" s="10"/>
      <c r="H19" s="11"/>
      <c r="I19" s="15">
        <f>IF(人物卡!Y10="",0,人物卡!Y10)</f>
        <v>0</v>
      </c>
      <c r="J19" s="10"/>
      <c r="K19" s="10"/>
      <c r="L19" s="10"/>
      <c r="M19" s="10"/>
      <c r="N19" s="11"/>
      <c r="O19" s="15">
        <f>IF(人物卡!V10="",0,人物卡!V10)</f>
        <v>0</v>
      </c>
      <c r="P19" s="10"/>
      <c r="Q19" s="10"/>
      <c r="R19" s="10"/>
      <c r="S19" s="11"/>
      <c r="T19" s="4"/>
      <c r="AJ19" s="5"/>
    </row>
    <row r="20" ht="14.4" customHeight="1" spans="1:36">
      <c r="A20" s="13" t="s">
        <v>3322</v>
      </c>
      <c r="B20" s="10"/>
      <c r="C20" s="10"/>
      <c r="D20" s="10"/>
      <c r="E20" s="10"/>
      <c r="F20" s="10"/>
      <c r="G20" s="10"/>
      <c r="H20" s="11"/>
      <c r="I20" s="15">
        <f>IF(人物卡!AK10="",0,人物卡!AK10)</f>
        <v>99</v>
      </c>
      <c r="J20" s="10"/>
      <c r="K20" s="10"/>
      <c r="L20" s="10"/>
      <c r="M20" s="10"/>
      <c r="N20" s="11"/>
      <c r="O20" s="15">
        <f>IF(人物卡!AH10="",0,人物卡!AH10)</f>
        <v>0</v>
      </c>
      <c r="P20" s="10"/>
      <c r="Q20" s="10"/>
      <c r="R20" s="10"/>
      <c r="S20" s="11"/>
      <c r="T20" s="4"/>
      <c r="AJ20" s="5"/>
    </row>
    <row r="21" ht="14.4" customHeight="1" spans="1:36">
      <c r="A21" s="13" t="s">
        <v>3323</v>
      </c>
      <c r="B21" s="10"/>
      <c r="C21" s="10"/>
      <c r="D21" s="10"/>
      <c r="E21" s="10"/>
      <c r="F21" s="10"/>
      <c r="G21" s="10"/>
      <c r="H21" s="11"/>
      <c r="I21" s="15" t="s">
        <v>2391</v>
      </c>
      <c r="J21" s="10"/>
      <c r="K21" s="10"/>
      <c r="L21" s="10"/>
      <c r="M21" s="10"/>
      <c r="N21" s="11"/>
      <c r="O21" s="15">
        <f>IF(人物卡!AU10="",0,人物卡!AU10)</f>
        <v>0</v>
      </c>
      <c r="P21" s="10"/>
      <c r="Q21" s="10"/>
      <c r="R21" s="10"/>
      <c r="S21" s="11"/>
      <c r="T21" s="4"/>
      <c r="AJ21" s="5"/>
    </row>
    <row r="22" ht="14.4" customHeight="1" spans="1:36">
      <c r="A22" s="9" t="s">
        <v>3324</v>
      </c>
      <c r="B22" s="10"/>
      <c r="C22" s="10"/>
      <c r="D22" s="10"/>
      <c r="E22" s="10"/>
      <c r="F22" s="10"/>
      <c r="G22" s="10"/>
      <c r="H22" s="10"/>
      <c r="I22" s="10"/>
      <c r="J22" s="10"/>
      <c r="K22" s="10"/>
      <c r="L22" s="10"/>
      <c r="M22" s="10"/>
      <c r="N22" s="10"/>
      <c r="O22" s="10"/>
      <c r="P22" s="10"/>
      <c r="Q22" s="10"/>
      <c r="R22" s="10"/>
      <c r="S22" s="11"/>
      <c r="T22" s="4"/>
      <c r="AJ22" s="5"/>
    </row>
    <row r="23" ht="14.4" customHeight="1" spans="1:36">
      <c r="A23" s="18" t="str">
        <f>IF(人物卡!BN14="","",人物卡!BN14)</f>
        <v/>
      </c>
      <c r="B23" s="2"/>
      <c r="C23" s="2"/>
      <c r="D23" s="2"/>
      <c r="E23" s="2"/>
      <c r="F23" s="2"/>
      <c r="G23" s="2"/>
      <c r="H23" s="2"/>
      <c r="I23" s="2"/>
      <c r="J23" s="2"/>
      <c r="K23" s="2"/>
      <c r="L23" s="2"/>
      <c r="M23" s="2"/>
      <c r="N23" s="2"/>
      <c r="O23" s="2"/>
      <c r="P23" s="2"/>
      <c r="Q23" s="2"/>
      <c r="R23" s="2"/>
      <c r="S23" s="3"/>
      <c r="T23" s="4"/>
      <c r="AJ23" s="5"/>
    </row>
    <row r="24" ht="14.4" customHeight="1" spans="1:36">
      <c r="A24" s="4"/>
      <c r="S24" s="5"/>
      <c r="T24" s="6"/>
      <c r="U24" s="7"/>
      <c r="V24" s="7"/>
      <c r="W24" s="7"/>
      <c r="X24" s="7"/>
      <c r="Y24" s="7"/>
      <c r="Z24" s="7"/>
      <c r="AA24" s="7"/>
      <c r="AB24" s="7"/>
      <c r="AC24" s="7"/>
      <c r="AD24" s="7"/>
      <c r="AE24" s="7"/>
      <c r="AF24" s="7"/>
      <c r="AG24" s="7"/>
      <c r="AH24" s="7"/>
      <c r="AI24" s="7"/>
      <c r="AJ24" s="8"/>
    </row>
    <row r="25" ht="14.4" customHeight="1" spans="1:36">
      <c r="A25" s="4"/>
      <c r="S25" s="5"/>
      <c r="T25" s="9" t="s">
        <v>3325</v>
      </c>
      <c r="U25" s="10"/>
      <c r="V25" s="10"/>
      <c r="W25" s="10"/>
      <c r="X25" s="10"/>
      <c r="Y25" s="10"/>
      <c r="Z25" s="10"/>
      <c r="AA25" s="10"/>
      <c r="AB25" s="10"/>
      <c r="AC25" s="10"/>
      <c r="AD25" s="10"/>
      <c r="AE25" s="10"/>
      <c r="AF25" s="10"/>
      <c r="AG25" s="10"/>
      <c r="AH25" s="10"/>
      <c r="AI25" s="10"/>
      <c r="AJ25" s="11"/>
    </row>
    <row r="26" ht="14.4" customHeight="1" spans="1:36">
      <c r="A26" s="6"/>
      <c r="B26" s="7"/>
      <c r="C26" s="7"/>
      <c r="D26" s="7"/>
      <c r="E26" s="7"/>
      <c r="F26" s="7"/>
      <c r="G26" s="7"/>
      <c r="H26" s="7"/>
      <c r="I26" s="7"/>
      <c r="J26" s="7"/>
      <c r="K26" s="7"/>
      <c r="L26" s="7"/>
      <c r="M26" s="7"/>
      <c r="N26" s="7"/>
      <c r="O26" s="7"/>
      <c r="P26" s="7"/>
      <c r="Q26" s="7"/>
      <c r="R26" s="7"/>
      <c r="S26" s="8"/>
      <c r="T26" s="16" t="str">
        <f>"暴力行为  "&amp;IF(人物卡!BD10="","",人物卡!BD10)</f>
        <v>暴力行为  ☐☐☐</v>
      </c>
      <c r="U26" s="10"/>
      <c r="V26" s="10"/>
      <c r="W26" s="10"/>
      <c r="X26" s="10"/>
      <c r="Y26" s="10"/>
      <c r="Z26" s="10"/>
      <c r="AA26" s="10"/>
      <c r="AB26" s="11"/>
      <c r="AC26" s="16" t="str">
        <f>"无力感  "&amp;IF(人物卡!BD11="","",人物卡!BD11)</f>
        <v>无力感  ☐☐☐</v>
      </c>
      <c r="AD26" s="10"/>
      <c r="AE26" s="10"/>
      <c r="AF26" s="10"/>
      <c r="AG26" s="10"/>
      <c r="AH26" s="10"/>
      <c r="AI26" s="10"/>
      <c r="AJ26" s="11"/>
    </row>
    <row r="27" ht="14.4" customHeight="1" spans="1:36">
      <c r="A27" s="9" t="s">
        <v>3326</v>
      </c>
      <c r="B27" s="10"/>
      <c r="C27" s="10"/>
      <c r="D27" s="10"/>
      <c r="E27" s="10"/>
      <c r="F27" s="10"/>
      <c r="G27" s="10"/>
      <c r="H27" s="10"/>
      <c r="I27" s="10"/>
      <c r="J27" s="11"/>
      <c r="K27" s="9" t="s">
        <v>3327</v>
      </c>
      <c r="L27" s="11"/>
      <c r="M27" s="9" t="s">
        <v>3326</v>
      </c>
      <c r="N27" s="10"/>
      <c r="O27" s="10"/>
      <c r="P27" s="10"/>
      <c r="Q27" s="10"/>
      <c r="R27" s="10"/>
      <c r="S27" s="10"/>
      <c r="T27" s="10"/>
      <c r="U27" s="10"/>
      <c r="V27" s="11"/>
      <c r="W27" s="9" t="s">
        <v>3327</v>
      </c>
      <c r="X27" s="11"/>
      <c r="Y27" s="9" t="s">
        <v>3326</v>
      </c>
      <c r="Z27" s="10"/>
      <c r="AA27" s="10"/>
      <c r="AB27" s="10"/>
      <c r="AC27" s="10"/>
      <c r="AD27" s="10"/>
      <c r="AE27" s="10"/>
      <c r="AF27" s="10"/>
      <c r="AG27" s="10"/>
      <c r="AH27" s="11"/>
      <c r="AI27" s="9" t="s">
        <v>3327</v>
      </c>
      <c r="AJ27" s="11"/>
    </row>
    <row r="28" ht="14.4" customHeight="1" spans="1:36">
      <c r="A28" s="19" t="str">
        <f>IF(OR(人物卡!B14="√",人物卡!B14="✓",人物卡!B14="☑"),"☑","☐")</f>
        <v>☐</v>
      </c>
      <c r="B28" s="16" t="str">
        <f>人物卡!D14&amp;" ("&amp;IF(人物卡!S14="",0,人物卡!S14)&amp;"%)"</f>
        <v>会计学 (10%)</v>
      </c>
      <c r="C28" s="10"/>
      <c r="D28" s="10"/>
      <c r="E28" s="10"/>
      <c r="F28" s="10"/>
      <c r="G28" s="10"/>
      <c r="H28" s="10"/>
      <c r="I28" s="10"/>
      <c r="J28" s="11"/>
      <c r="K28" s="20">
        <f>IF(人物卡!P14="",0,人物卡!P14)</f>
        <v>10</v>
      </c>
      <c r="L28" s="11"/>
      <c r="M28" s="19" t="str">
        <f>IF(OR(人物卡!B34="√",人物卡!B34="✓",人物卡!B34="☑"),"☑","☐")</f>
        <v>☐</v>
      </c>
      <c r="N28" s="16" t="str">
        <f>人物卡!D34&amp;" ("&amp;IF(人物卡!S34="",0,人物卡!S34)&amp;"%)"</f>
        <v>射击 (20%)</v>
      </c>
      <c r="O28" s="10"/>
      <c r="P28" s="10"/>
      <c r="Q28" s="10"/>
      <c r="R28" s="10"/>
      <c r="S28" s="10"/>
      <c r="T28" s="10"/>
      <c r="U28" s="10"/>
      <c r="V28" s="11"/>
      <c r="W28" s="20">
        <f>IF(人物卡!P34="",0,人物卡!P34)</f>
        <v>20</v>
      </c>
      <c r="X28" s="11"/>
      <c r="Y28" s="19" t="str">
        <f>IF(OR(人物卡!AE24="√",人物卡!AE24="✓",人物卡!AE24="☑"),"☑","☐")</f>
        <v>☐</v>
      </c>
      <c r="Z28" s="16" t="str">
        <f>人物卡!AG24&amp;IF(人物卡!AM24="","________",人物卡!AM24)&amp;" ("&amp;IF(人物卡!AV24="",0,人物卡!AV24)&amp;"%)"</f>
        <v>特种载具：________ (0%)</v>
      </c>
      <c r="AA28" s="10"/>
      <c r="AB28" s="10"/>
      <c r="AC28" s="10"/>
      <c r="AD28" s="10"/>
      <c r="AE28" s="10"/>
      <c r="AF28" s="10"/>
      <c r="AG28" s="10"/>
      <c r="AH28" s="11"/>
      <c r="AI28" s="20">
        <f>IF(人物卡!AS24="",0,人物卡!AS24)</f>
        <v>0</v>
      </c>
      <c r="AJ28" s="11"/>
    </row>
    <row r="29" ht="14.4" customHeight="1" spans="1:36">
      <c r="A29" s="19" t="str">
        <f>IF(OR(人物卡!B15="√",人物卡!B15="✓",人物卡!B15="☑"),"☑","☐")</f>
        <v>☐</v>
      </c>
      <c r="B29" s="16" t="str">
        <f>人物卡!D15&amp;" ("&amp;IF(人物卡!S15="",0,人物卡!S15)&amp;"%)"</f>
        <v>警觉 (20%)</v>
      </c>
      <c r="C29" s="10"/>
      <c r="D29" s="10"/>
      <c r="E29" s="10"/>
      <c r="F29" s="10"/>
      <c r="G29" s="10"/>
      <c r="H29" s="10"/>
      <c r="I29" s="10"/>
      <c r="J29" s="11"/>
      <c r="K29" s="20">
        <f>IF(人物卡!P15="",0,人物卡!P15)</f>
        <v>20</v>
      </c>
      <c r="L29" s="11"/>
      <c r="M29" s="19" t="str">
        <f>IF(OR(人物卡!B35="√",人物卡!B35="✓",人物卡!B35="☑"),"☑","☐")</f>
        <v>☐</v>
      </c>
      <c r="N29" s="16" t="str">
        <f>人物卡!D35&amp;" ("&amp;IF(人物卡!S35="",0,人物卡!S35)&amp;"%)"</f>
        <v>急救 (10%)</v>
      </c>
      <c r="O29" s="10"/>
      <c r="P29" s="10"/>
      <c r="Q29" s="10"/>
      <c r="R29" s="10"/>
      <c r="S29" s="10"/>
      <c r="T29" s="10"/>
      <c r="U29" s="10"/>
      <c r="V29" s="11"/>
      <c r="W29" s="20">
        <f>IF(人物卡!P35="",0,人物卡!P35)</f>
        <v>10</v>
      </c>
      <c r="X29" s="11"/>
      <c r="Y29" s="19" t="str">
        <f>IF(OR(人物卡!AE25="√",人物卡!AE25="✓",人物卡!AE25="☑"),"☑","☐")</f>
        <v>☐</v>
      </c>
      <c r="Z29" s="16" t="str">
        <f>人物卡!AG25&amp;IF(人物卡!AM25="","________",人物卡!AM25)&amp;" ("&amp;IF(人物卡!AV25="",0,人物卡!AV25)&amp;"%)"</f>
        <v>特种载具：________ (0%)</v>
      </c>
      <c r="AA29" s="10"/>
      <c r="AB29" s="10"/>
      <c r="AC29" s="10"/>
      <c r="AD29" s="10"/>
      <c r="AE29" s="10"/>
      <c r="AF29" s="10"/>
      <c r="AG29" s="10"/>
      <c r="AH29" s="11"/>
      <c r="AI29" s="20">
        <f>IF(人物卡!AS25="",0,人物卡!AS25)</f>
        <v>0</v>
      </c>
      <c r="AJ29" s="11"/>
    </row>
    <row r="30" ht="14.4" customHeight="1" spans="1:36">
      <c r="A30" s="19" t="str">
        <f>IF(OR(人物卡!B16="√",人物卡!B16="✓",人物卡!B16="☑"),"☑","☐")</f>
        <v>☐</v>
      </c>
      <c r="B30" s="16" t="str">
        <f>人物卡!D16&amp;" ("&amp;IF(人物卡!S16="",0,人物卡!S16)&amp;"%)"</f>
        <v>人类学 (0%)</v>
      </c>
      <c r="C30" s="10"/>
      <c r="D30" s="10"/>
      <c r="E30" s="10"/>
      <c r="F30" s="10"/>
      <c r="G30" s="10"/>
      <c r="H30" s="10"/>
      <c r="I30" s="10"/>
      <c r="J30" s="11"/>
      <c r="K30" s="20">
        <f>IF(人物卡!P16="",0,人物卡!P16)</f>
        <v>0</v>
      </c>
      <c r="L30" s="11"/>
      <c r="M30" s="19" t="str">
        <f>IF(OR(人物卡!B36="√",人物卡!B36="✓",人物卡!B36="☑"),"☑","☐")</f>
        <v>☐</v>
      </c>
      <c r="N30" s="16" t="str">
        <f>人物卡!D36&amp;IF(人物卡!J36="","________",人物卡!J36)&amp;" ("&amp;IF(人物卡!S36="",0,人物卡!S36)&amp;"%)"</f>
        <v>外语：________ (0%)</v>
      </c>
      <c r="O30" s="10"/>
      <c r="P30" s="10"/>
      <c r="Q30" s="10"/>
      <c r="R30" s="10"/>
      <c r="S30" s="10"/>
      <c r="T30" s="10"/>
      <c r="U30" s="10"/>
      <c r="V30" s="11"/>
      <c r="W30" s="20">
        <f>IF(人物卡!P36="",0,人物卡!P36)</f>
        <v>0</v>
      </c>
      <c r="X30" s="11"/>
      <c r="Y30" s="19" t="str">
        <f>IF(OR(人物卡!AE26="√",人物卡!AE26="✓",人物卡!AE26="☑"),"☑","☐")</f>
        <v>☐</v>
      </c>
      <c r="Z30" s="16" t="str">
        <f>人物卡!AG26&amp;IF(人物卡!AM26="","________",人物卡!AM26)&amp;" ("&amp;IF(人物卡!AV26="",0,人物卡!AV26)&amp;"%)"</f>
        <v>特种载具：________ (0%)</v>
      </c>
      <c r="AA30" s="10"/>
      <c r="AB30" s="10"/>
      <c r="AC30" s="10"/>
      <c r="AD30" s="10"/>
      <c r="AE30" s="10"/>
      <c r="AF30" s="10"/>
      <c r="AG30" s="10"/>
      <c r="AH30" s="11"/>
      <c r="AI30" s="20">
        <f>IF(人物卡!AS26="",0,人物卡!AS26)</f>
        <v>0</v>
      </c>
      <c r="AJ30" s="11"/>
    </row>
    <row r="31" ht="14.4" customHeight="1" spans="1:36">
      <c r="A31" s="19" t="str">
        <f>IF(OR(人物卡!B17="√",人物卡!B17="✓",人物卡!B17="☑"),"☑","☐")</f>
        <v>☐</v>
      </c>
      <c r="B31" s="16" t="str">
        <f>人物卡!D17&amp;" ("&amp;IF(人物卡!S17="",0,人物卡!S17)&amp;"%)"</f>
        <v>考古学 (0%)</v>
      </c>
      <c r="C31" s="10"/>
      <c r="D31" s="10"/>
      <c r="E31" s="10"/>
      <c r="F31" s="10"/>
      <c r="G31" s="10"/>
      <c r="H31" s="10"/>
      <c r="I31" s="10"/>
      <c r="J31" s="11"/>
      <c r="K31" s="20">
        <f>IF(人物卡!P17="",0,人物卡!P17)</f>
        <v>0</v>
      </c>
      <c r="L31" s="11"/>
      <c r="M31" s="19" t="str">
        <f>IF(OR(人物卡!B37="√",人物卡!B37="✓",人物卡!B37="☑"),"☑","☐")</f>
        <v>☐</v>
      </c>
      <c r="N31" s="16" t="str">
        <f>人物卡!D37&amp;IF(人物卡!J37="","________",人物卡!J37)&amp;" ("&amp;IF(人物卡!S37="",0,人物卡!S37)&amp;"%)"</f>
        <v>外语：________ (0%)</v>
      </c>
      <c r="O31" s="10"/>
      <c r="P31" s="10"/>
      <c r="Q31" s="10"/>
      <c r="R31" s="10"/>
      <c r="S31" s="10"/>
      <c r="T31" s="10"/>
      <c r="U31" s="10"/>
      <c r="V31" s="11"/>
      <c r="W31" s="20">
        <f>IF(人物卡!P37="",0,人物卡!P37)</f>
        <v>0</v>
      </c>
      <c r="X31" s="11"/>
      <c r="Y31" s="19" t="str">
        <f>IF(OR(人物卡!AE27="√",人物卡!AE27="✓",人物卡!AE27="☑"),"☑","☐")</f>
        <v>☐</v>
      </c>
      <c r="Z31" s="16" t="str">
        <f>人物卡!AG27&amp;" ("&amp;IF(人物卡!AV27="",0,人物卡!AV27)&amp;"%)"</f>
        <v>精神治疗 (10%)</v>
      </c>
      <c r="AA31" s="10"/>
      <c r="AB31" s="10"/>
      <c r="AC31" s="10"/>
      <c r="AD31" s="10"/>
      <c r="AE31" s="10"/>
      <c r="AF31" s="10"/>
      <c r="AG31" s="10"/>
      <c r="AH31" s="11"/>
      <c r="AI31" s="20">
        <f>IF(人物卡!AS27="",0,人物卡!AS27)</f>
        <v>10</v>
      </c>
      <c r="AJ31" s="11"/>
    </row>
    <row r="32" ht="14.4" customHeight="1" spans="1:36">
      <c r="A32" s="19" t="str">
        <f>IF(OR(人物卡!B18="√",人物卡!B18="✓",人物卡!B18="☑"),"☑","☐")</f>
        <v>☐</v>
      </c>
      <c r="B32" s="16" t="str">
        <f>人物卡!D18&amp;IF(人物卡!J18="","________",人物卡!J18)&amp;" ("&amp;IF(人物卡!S18="",0,人物卡!S18)&amp;"%)"</f>
        <v>艺术：________ (0%)</v>
      </c>
      <c r="C32" s="10"/>
      <c r="D32" s="10"/>
      <c r="E32" s="10"/>
      <c r="F32" s="10"/>
      <c r="G32" s="10"/>
      <c r="H32" s="10"/>
      <c r="I32" s="10"/>
      <c r="J32" s="11"/>
      <c r="K32" s="20">
        <f>IF(人物卡!P18="",0,人物卡!P18)</f>
        <v>0</v>
      </c>
      <c r="L32" s="11"/>
      <c r="M32" s="19" t="str">
        <f>IF(OR(人物卡!B38="√",人物卡!B38="✓",人物卡!B38="☑"),"☑","☐")</f>
        <v>☐</v>
      </c>
      <c r="N32" s="16" t="str">
        <f>人物卡!D38&amp;IF(人物卡!J38="","________",人物卡!J38)&amp;" ("&amp;IF(人物卡!S38="",0,人物卡!S38)&amp;"%)"</f>
        <v>外语：________ (0%)</v>
      </c>
      <c r="O32" s="10"/>
      <c r="P32" s="10"/>
      <c r="Q32" s="10"/>
      <c r="R32" s="10"/>
      <c r="S32" s="10"/>
      <c r="T32" s="10"/>
      <c r="U32" s="10"/>
      <c r="V32" s="11"/>
      <c r="W32" s="20">
        <f>IF(人物卡!P38="",0,人物卡!P38)</f>
        <v>0</v>
      </c>
      <c r="X32" s="11"/>
      <c r="Y32" s="19" t="str">
        <f>IF(OR(人物卡!AE28="√",人物卡!AE28="✓",人物卡!AE28="☑"),"☑","☐")</f>
        <v>☐</v>
      </c>
      <c r="Z32" s="16" t="str">
        <f>人物卡!AG28&amp;" ("&amp;IF(人物卡!AV28="",0,人物卡!AV28)&amp;"%)"</f>
        <v>骑术 (10%)</v>
      </c>
      <c r="AA32" s="10"/>
      <c r="AB32" s="10"/>
      <c r="AC32" s="10"/>
      <c r="AD32" s="10"/>
      <c r="AE32" s="10"/>
      <c r="AF32" s="10"/>
      <c r="AG32" s="10"/>
      <c r="AH32" s="11"/>
      <c r="AI32" s="20">
        <f>IF(人物卡!AS28="",0,人物卡!AS28)</f>
        <v>10</v>
      </c>
      <c r="AJ32" s="11"/>
    </row>
    <row r="33" ht="14.4" customHeight="1" spans="1:36">
      <c r="A33" s="19" t="str">
        <f>IF(OR(人物卡!B19="√",人物卡!B19="✓",人物卡!B19="☑"),"☑","☐")</f>
        <v>☐</v>
      </c>
      <c r="B33" s="16" t="str">
        <f>人物卡!D19&amp;IF(人物卡!J19="","________",人物卡!J19)&amp;" ("&amp;IF(人物卡!S19="",0,人物卡!S19)&amp;"%)"</f>
        <v>艺术：________ (0%)</v>
      </c>
      <c r="C33" s="10"/>
      <c r="D33" s="10"/>
      <c r="E33" s="10"/>
      <c r="F33" s="10"/>
      <c r="G33" s="10"/>
      <c r="H33" s="10"/>
      <c r="I33" s="10"/>
      <c r="J33" s="11"/>
      <c r="K33" s="20">
        <f>IF(人物卡!P19="",0,人物卡!P19)</f>
        <v>0</v>
      </c>
      <c r="L33" s="11"/>
      <c r="M33" s="19" t="str">
        <f>IF(OR(人物卡!B39="√",人物卡!B39="✓",人物卡!B39="☑"),"☑","☐")</f>
        <v>☐</v>
      </c>
      <c r="N33" s="16" t="str">
        <f>人物卡!D39&amp;" ("&amp;IF(人物卡!S39="",0,人物卡!S39)&amp;"%)"</f>
        <v>法证学 (0%)</v>
      </c>
      <c r="O33" s="10"/>
      <c r="P33" s="10"/>
      <c r="Q33" s="10"/>
      <c r="R33" s="10"/>
      <c r="S33" s="10"/>
      <c r="T33" s="10"/>
      <c r="U33" s="10"/>
      <c r="V33" s="11"/>
      <c r="W33" s="20">
        <f>IF(人物卡!P39="",0,人物卡!P39)</f>
        <v>0</v>
      </c>
      <c r="X33" s="11"/>
      <c r="Y33" s="19" t="str">
        <f>IF(OR(人物卡!AE29="√",人物卡!AE29="✓",人物卡!AE29="☑"),"☑","☐")</f>
        <v>☐</v>
      </c>
      <c r="Z33" s="16" t="str">
        <f>人物卡!AG29&amp;IF(人物卡!AM29="","________",人物卡!AM29)&amp;" ("&amp;IF(人物卡!AV29="",0,人物卡!AV29)&amp;"%)"</f>
        <v>科学：________ (0%)</v>
      </c>
      <c r="AA33" s="10"/>
      <c r="AB33" s="10"/>
      <c r="AC33" s="10"/>
      <c r="AD33" s="10"/>
      <c r="AE33" s="10"/>
      <c r="AF33" s="10"/>
      <c r="AG33" s="10"/>
      <c r="AH33" s="11"/>
      <c r="AI33" s="20">
        <f>IF(人物卡!AS29="",0,人物卡!AS29)</f>
        <v>0</v>
      </c>
      <c r="AJ33" s="11"/>
    </row>
    <row r="34" ht="14.4" customHeight="1" spans="1:36">
      <c r="A34" s="19" t="str">
        <f>IF(OR(人物卡!B20="√",人物卡!B20="✓",人物卡!B20="☑"),"☑","☐")</f>
        <v>☐</v>
      </c>
      <c r="B34" s="16" t="str">
        <f>人物卡!D20&amp;IF(人物卡!J20="","________",人物卡!J20)&amp;" ("&amp;IF(人物卡!S20="",0,人物卡!S20)&amp;"%)"</f>
        <v>艺术：________ (0%)</v>
      </c>
      <c r="C34" s="10"/>
      <c r="D34" s="10"/>
      <c r="E34" s="10"/>
      <c r="F34" s="10"/>
      <c r="G34" s="10"/>
      <c r="H34" s="10"/>
      <c r="I34" s="10"/>
      <c r="J34" s="11"/>
      <c r="K34" s="20">
        <f>IF(人物卡!P20="",0,人物卡!P20)</f>
        <v>0</v>
      </c>
      <c r="L34" s="11"/>
      <c r="M34" s="19" t="str">
        <f>IF(OR(人物卡!B40="√",人物卡!B40="✓",人物卡!B40="☑"),"☑","☐")</f>
        <v>☐</v>
      </c>
      <c r="N34" s="16" t="str">
        <f>人物卡!D40&amp;" ("&amp;IF(人物卡!S40="",0,人物卡!S40)&amp;"%)"</f>
        <v>重型机械 (10%)</v>
      </c>
      <c r="O34" s="10"/>
      <c r="P34" s="10"/>
      <c r="Q34" s="10"/>
      <c r="R34" s="10"/>
      <c r="S34" s="10"/>
      <c r="T34" s="10"/>
      <c r="U34" s="10"/>
      <c r="V34" s="11"/>
      <c r="W34" s="20">
        <f>IF(人物卡!P40="",0,人物卡!P40)</f>
        <v>10</v>
      </c>
      <c r="X34" s="11"/>
      <c r="Y34" s="19" t="str">
        <f>IF(OR(人物卡!AE30="√",人物卡!AE30="✓",人物卡!AE30="☑"),"☑","☐")</f>
        <v>☐</v>
      </c>
      <c r="Z34" s="16" t="str">
        <f>人物卡!AG30&amp;IF(人物卡!AM30="","________",人物卡!AM30)&amp;" ("&amp;IF(人物卡!AV30="",0,人物卡!AV30)&amp;"%)"</f>
        <v>科学：________ (0%)</v>
      </c>
      <c r="AA34" s="10"/>
      <c r="AB34" s="10"/>
      <c r="AC34" s="10"/>
      <c r="AD34" s="10"/>
      <c r="AE34" s="10"/>
      <c r="AF34" s="10"/>
      <c r="AG34" s="10"/>
      <c r="AH34" s="11"/>
      <c r="AI34" s="20">
        <f>IF(人物卡!AS30="",0,人物卡!AS30)</f>
        <v>0</v>
      </c>
      <c r="AJ34" s="11"/>
    </row>
    <row r="35" ht="14.4" customHeight="1" spans="1:36">
      <c r="A35" s="19" t="str">
        <f>IF(OR(人物卡!B21="√",人物卡!B21="✓",人物卡!B21="☑"),"☑","☐")</f>
        <v>☐</v>
      </c>
      <c r="B35" s="16" t="str">
        <f>人物卡!D21&amp;" ("&amp;IF(人物卡!S21="",0,人物卡!S21)&amp;"%)"</f>
        <v>炮术 (0%)</v>
      </c>
      <c r="C35" s="10"/>
      <c r="D35" s="10"/>
      <c r="E35" s="10"/>
      <c r="F35" s="10"/>
      <c r="G35" s="10"/>
      <c r="H35" s="10"/>
      <c r="I35" s="10"/>
      <c r="J35" s="11"/>
      <c r="K35" s="20">
        <f>IF(人物卡!P21="",0,人物卡!P21)</f>
        <v>0</v>
      </c>
      <c r="L35" s="11"/>
      <c r="M35" s="19" t="str">
        <f>IF(OR(人物卡!B41="√",人物卡!B41="✓",人物卡!B41="☑"),"☑","☐")</f>
        <v>☐</v>
      </c>
      <c r="N35" s="16" t="str">
        <f>人物卡!D41&amp;" ("&amp;IF(人物卡!S41="",0,人物卡!S41)&amp;"%)"</f>
        <v>重型武器 (0%)</v>
      </c>
      <c r="O35" s="10"/>
      <c r="P35" s="10"/>
      <c r="Q35" s="10"/>
      <c r="R35" s="10"/>
      <c r="S35" s="10"/>
      <c r="T35" s="10"/>
      <c r="U35" s="10"/>
      <c r="V35" s="11"/>
      <c r="W35" s="20">
        <f>IF(人物卡!P41="",0,人物卡!P41)</f>
        <v>0</v>
      </c>
      <c r="X35" s="11"/>
      <c r="Y35" s="19" t="str">
        <f>IF(OR(人物卡!AE31="√",人物卡!AE31="✓",人物卡!AE31="☑"),"☑","☐")</f>
        <v>☐</v>
      </c>
      <c r="Z35" s="16" t="str">
        <f>人物卡!AG31&amp;IF(人物卡!AM31="","________",人物卡!AM31)&amp;" ("&amp;IF(人物卡!AV31="",0,人物卡!AV31)&amp;"%)"</f>
        <v>科学：________ (0%)</v>
      </c>
      <c r="AA35" s="10"/>
      <c r="AB35" s="10"/>
      <c r="AC35" s="10"/>
      <c r="AD35" s="10"/>
      <c r="AE35" s="10"/>
      <c r="AF35" s="10"/>
      <c r="AG35" s="10"/>
      <c r="AH35" s="11"/>
      <c r="AI35" s="20">
        <f>IF(人物卡!AS31="",0,人物卡!AS31)</f>
        <v>0</v>
      </c>
      <c r="AJ35" s="11"/>
    </row>
    <row r="36" ht="14.4" customHeight="1" spans="1:36">
      <c r="A36" s="19" t="str">
        <f>IF(OR(人物卡!B22="√",人物卡!B22="✓",人物卡!B22="☑"),"☑","☐")</f>
        <v>☐</v>
      </c>
      <c r="B36" s="16" t="str">
        <f>人物卡!D22&amp;" ("&amp;IF(人物卡!S22="",0,人物卡!S22)&amp;"%)"</f>
        <v>运动 (30%)</v>
      </c>
      <c r="C36" s="10"/>
      <c r="D36" s="10"/>
      <c r="E36" s="10"/>
      <c r="F36" s="10"/>
      <c r="G36" s="10"/>
      <c r="H36" s="10"/>
      <c r="I36" s="10"/>
      <c r="J36" s="11"/>
      <c r="K36" s="20">
        <f>IF(人物卡!P22="",0,人物卡!P22)</f>
        <v>30</v>
      </c>
      <c r="L36" s="11"/>
      <c r="M36" s="19" t="str">
        <f>IF(OR(人物卡!B42="√",人物卡!B42="✓",人物卡!B42="☑"),"☑","☐")</f>
        <v>☐</v>
      </c>
      <c r="N36" s="16" t="str">
        <f>人物卡!D42&amp;" ("&amp;IF(人物卡!S42="",0,人物卡!S42)&amp;"%)"</f>
        <v>历史 (10%)</v>
      </c>
      <c r="O36" s="10"/>
      <c r="P36" s="10"/>
      <c r="Q36" s="10"/>
      <c r="R36" s="10"/>
      <c r="S36" s="10"/>
      <c r="T36" s="10"/>
      <c r="U36" s="10"/>
      <c r="V36" s="11"/>
      <c r="W36" s="20">
        <f>IF(人物卡!P42="",0,人物卡!P42)</f>
        <v>10</v>
      </c>
      <c r="X36" s="11"/>
      <c r="Y36" s="19" t="str">
        <f>IF(OR(人物卡!AE32="√",人物卡!AE32="✓",人物卡!AE32="☑"),"☑","☐")</f>
        <v>☐</v>
      </c>
      <c r="Z36" s="16" t="str">
        <f>人物卡!AG32&amp;" ("&amp;IF(人物卡!AV32="",0,人物卡!AV32)&amp;"%)"</f>
        <v>搜寻 (20%)</v>
      </c>
      <c r="AA36" s="10"/>
      <c r="AB36" s="10"/>
      <c r="AC36" s="10"/>
      <c r="AD36" s="10"/>
      <c r="AE36" s="10"/>
      <c r="AF36" s="10"/>
      <c r="AG36" s="10"/>
      <c r="AH36" s="11"/>
      <c r="AI36" s="20">
        <f>IF(人物卡!AS32="",0,人物卡!AS32)</f>
        <v>20</v>
      </c>
      <c r="AJ36" s="11"/>
    </row>
    <row r="37" ht="14.4" customHeight="1" spans="1:36">
      <c r="A37" s="19" t="str">
        <f>IF(OR(人物卡!B23="√",人物卡!B23="✓",人物卡!B23="☑"),"☑","☐")</f>
        <v>☐</v>
      </c>
      <c r="B37" s="16" t="str">
        <f>人物卡!D23&amp;" ("&amp;IF(人物卡!S23="",0,人物卡!S23)&amp;"%)"</f>
        <v>行政 (10%)</v>
      </c>
      <c r="C37" s="10"/>
      <c r="D37" s="10"/>
      <c r="E37" s="10"/>
      <c r="F37" s="10"/>
      <c r="G37" s="10"/>
      <c r="H37" s="10"/>
      <c r="I37" s="10"/>
      <c r="J37" s="11"/>
      <c r="K37" s="20">
        <f>IF(人物卡!P23="",0,人物卡!P23)</f>
        <v>10</v>
      </c>
      <c r="L37" s="11"/>
      <c r="M37" s="19" t="str">
        <f>IF(OR(人物卡!B43="√",人物卡!B43="✓",人物卡!B43="☑"),"☑","☐")</f>
        <v>☐</v>
      </c>
      <c r="N37" s="16" t="str">
        <f>人物卡!D43&amp;" ("&amp;IF(人物卡!S43="",0,人物卡!S43)&amp;"%)"</f>
        <v>人源情报 (10%)</v>
      </c>
      <c r="O37" s="10"/>
      <c r="P37" s="10"/>
      <c r="Q37" s="10"/>
      <c r="R37" s="10"/>
      <c r="S37" s="10"/>
      <c r="T37" s="10"/>
      <c r="U37" s="10"/>
      <c r="V37" s="11"/>
      <c r="W37" s="20">
        <f>IF(人物卡!P43="",0,人物卡!P43)</f>
        <v>10</v>
      </c>
      <c r="X37" s="11"/>
      <c r="Y37" s="19" t="str">
        <f>IF(OR(人物卡!AE33="√",人物卡!AE33="✓",人物卡!AE33="☑"),"☑","☐")</f>
        <v>☐</v>
      </c>
      <c r="Z37" s="16" t="str">
        <f>人物卡!AG33&amp;" ("&amp;IF(人物卡!AV33="",0,人物卡!AV33)&amp;"%)"</f>
        <v>信号情报 (0%)</v>
      </c>
      <c r="AA37" s="10"/>
      <c r="AB37" s="10"/>
      <c r="AC37" s="10"/>
      <c r="AD37" s="10"/>
      <c r="AE37" s="10"/>
      <c r="AF37" s="10"/>
      <c r="AG37" s="10"/>
      <c r="AH37" s="11"/>
      <c r="AI37" s="20">
        <f>IF(人物卡!AS33="",0,人物卡!AS33)</f>
        <v>0</v>
      </c>
      <c r="AJ37" s="11"/>
    </row>
    <row r="38" ht="14.4" customHeight="1" spans="1:36">
      <c r="A38" s="19" t="str">
        <f>IF(OR(人物卡!B24="√",人物卡!B24="✓",人物卡!B24="☑"),"☑","☐")</f>
        <v>☐</v>
      </c>
      <c r="B38" s="16" t="str">
        <f>人物卡!D24&amp;" ("&amp;IF(人物卡!S24="",0,人物卡!S24)&amp;"%)"</f>
        <v>计算机科学 (0%)</v>
      </c>
      <c r="C38" s="10"/>
      <c r="D38" s="10"/>
      <c r="E38" s="10"/>
      <c r="F38" s="10"/>
      <c r="G38" s="10"/>
      <c r="H38" s="10"/>
      <c r="I38" s="10"/>
      <c r="J38" s="11"/>
      <c r="K38" s="20">
        <f>IF(人物卡!P24="",0,人物卡!P24)</f>
        <v>0</v>
      </c>
      <c r="L38" s="11"/>
      <c r="M38" s="19" t="str">
        <f>IF(OR(人物卡!AE14="√",人物卡!AE14="✓",人物卡!AE14="☑"),"☑","☐")</f>
        <v>☐</v>
      </c>
      <c r="N38" s="16" t="str">
        <f>人物卡!AG14&amp;" ("&amp;IF(人物卡!AV14="",0,人物卡!AV14)&amp;"%)"</f>
        <v>法律 (0%)</v>
      </c>
      <c r="O38" s="10"/>
      <c r="P38" s="10"/>
      <c r="Q38" s="10"/>
      <c r="R38" s="10"/>
      <c r="S38" s="10"/>
      <c r="T38" s="10"/>
      <c r="U38" s="10"/>
      <c r="V38" s="11"/>
      <c r="W38" s="20">
        <f>IF(人物卡!AS14="",0,人物卡!AS14)</f>
        <v>0</v>
      </c>
      <c r="X38" s="11"/>
      <c r="Y38" s="19" t="str">
        <f>IF(OR(人物卡!AE34="√",人物卡!AE34="✓",人物卡!AE34="☑"),"☑","☐")</f>
        <v>☐</v>
      </c>
      <c r="Z38" s="16" t="str">
        <f>人物卡!AG34&amp;" ("&amp;IF(人物卡!AV34="",0,人物卡!AV34)&amp;"%)"</f>
        <v>潜藏 (10%)</v>
      </c>
      <c r="AA38" s="10"/>
      <c r="AB38" s="10"/>
      <c r="AC38" s="10"/>
      <c r="AD38" s="10"/>
      <c r="AE38" s="10"/>
      <c r="AF38" s="10"/>
      <c r="AG38" s="10"/>
      <c r="AH38" s="11"/>
      <c r="AI38" s="20">
        <f>IF(人物卡!AS34="",0,人物卡!AS34)</f>
        <v>10</v>
      </c>
      <c r="AJ38" s="11"/>
    </row>
    <row r="39" ht="14.4" customHeight="1" spans="1:36">
      <c r="A39" s="19" t="str">
        <f>IF(OR(人物卡!B25="√",人物卡!B25="✓",人物卡!B25="☑"),"☑","☐")</f>
        <v>☐</v>
      </c>
      <c r="B39" s="16" t="str">
        <f>人物卡!D25&amp;IF(人物卡!J25="","________",人物卡!J25)&amp;" ("&amp;IF(人物卡!S25="",0,人物卡!S25)&amp;"%)"</f>
        <v>工艺：________ (0%)</v>
      </c>
      <c r="C39" s="10"/>
      <c r="D39" s="10"/>
      <c r="E39" s="10"/>
      <c r="F39" s="10"/>
      <c r="G39" s="10"/>
      <c r="H39" s="10"/>
      <c r="I39" s="10"/>
      <c r="J39" s="11"/>
      <c r="K39" s="20">
        <f>IF(人物卡!P25="",0,人物卡!P25)</f>
        <v>0</v>
      </c>
      <c r="L39" s="11"/>
      <c r="M39" s="19" t="str">
        <f>IF(OR(人物卡!AE15="√",人物卡!AE15="✓",人物卡!AE15="☑"),"☑","☐")</f>
        <v>☐</v>
      </c>
      <c r="N39" s="16" t="str">
        <f>人物卡!AG15&amp;" ("&amp;IF(人物卡!AV15="",0,人物卡!AV15)&amp;"%)"</f>
        <v>医学 (0%)</v>
      </c>
      <c r="O39" s="10"/>
      <c r="P39" s="10"/>
      <c r="Q39" s="10"/>
      <c r="R39" s="10"/>
      <c r="S39" s="10"/>
      <c r="T39" s="10"/>
      <c r="U39" s="10"/>
      <c r="V39" s="11"/>
      <c r="W39" s="20">
        <f>IF(人物卡!AS15="",0,人物卡!AS15)</f>
        <v>0</v>
      </c>
      <c r="X39" s="11"/>
      <c r="Y39" s="19" t="str">
        <f>IF(OR(人物卡!AE35="√",人物卡!AE35="✓",人物卡!AE35="☑"),"☑","☐")</f>
        <v>☐</v>
      </c>
      <c r="Z39" s="16" t="str">
        <f>人物卡!AG35&amp;" ("&amp;IF(人物卡!AV35="",0,人物卡!AV35)&amp;"%)"</f>
        <v>手术 (0%)</v>
      </c>
      <c r="AA39" s="10"/>
      <c r="AB39" s="10"/>
      <c r="AC39" s="10"/>
      <c r="AD39" s="10"/>
      <c r="AE39" s="10"/>
      <c r="AF39" s="10"/>
      <c r="AG39" s="10"/>
      <c r="AH39" s="11"/>
      <c r="AI39" s="20">
        <f>IF(人物卡!AS35="",0,人物卡!AS35)</f>
        <v>0</v>
      </c>
      <c r="AJ39" s="11"/>
    </row>
    <row r="40" ht="14.4" customHeight="1" spans="1:36">
      <c r="A40" s="19" t="str">
        <f>IF(OR(人物卡!B26="√",人物卡!B26="✓",人物卡!B26="☑"),"☑","☐")</f>
        <v>☐</v>
      </c>
      <c r="B40" s="16" t="str">
        <f>人物卡!D26&amp;IF(人物卡!J26="","________",人物卡!J26)&amp;" ("&amp;IF(人物卡!S26="",0,人物卡!S26)&amp;"%)"</f>
        <v>工艺：________ (0%)</v>
      </c>
      <c r="C40" s="10"/>
      <c r="D40" s="10"/>
      <c r="E40" s="10"/>
      <c r="F40" s="10"/>
      <c r="G40" s="10"/>
      <c r="H40" s="10"/>
      <c r="I40" s="10"/>
      <c r="J40" s="11"/>
      <c r="K40" s="20">
        <f>IF(人物卡!P26="",0,人物卡!P26)</f>
        <v>0</v>
      </c>
      <c r="L40" s="11"/>
      <c r="M40" s="19" t="str">
        <f>IF(OR(人物卡!AE16="√",人物卡!AE16="✓",人物卡!AE16="☑"),"☑","☐")</f>
        <v>☐</v>
      </c>
      <c r="N40" s="16" t="str">
        <f>人物卡!AG16&amp;" ("&amp;IF(人物卡!AV16="",0,人物卡!AV16)&amp;"%)"</f>
        <v>近战武器 (30%)</v>
      </c>
      <c r="O40" s="10"/>
      <c r="P40" s="10"/>
      <c r="Q40" s="10"/>
      <c r="R40" s="10"/>
      <c r="S40" s="10"/>
      <c r="T40" s="10"/>
      <c r="U40" s="10"/>
      <c r="V40" s="11"/>
      <c r="W40" s="20">
        <f>IF(人物卡!AS16="",0,人物卡!AS16)</f>
        <v>30</v>
      </c>
      <c r="X40" s="11"/>
      <c r="Y40" s="19" t="str">
        <f>IF(OR(人物卡!AE36="√",人物卡!AE36="✓",人物卡!AE36="☑"),"☑","☐")</f>
        <v>☐</v>
      </c>
      <c r="Z40" s="16" t="str">
        <f>人物卡!AG36&amp;" ("&amp;IF(人物卡!AV36="",0,人物卡!AV36)&amp;"%)"</f>
        <v>生存 (10%)</v>
      </c>
      <c r="AA40" s="10"/>
      <c r="AB40" s="10"/>
      <c r="AC40" s="10"/>
      <c r="AD40" s="10"/>
      <c r="AE40" s="10"/>
      <c r="AF40" s="10"/>
      <c r="AG40" s="10"/>
      <c r="AH40" s="11"/>
      <c r="AI40" s="20">
        <f>IF(人物卡!AS36="",0,人物卡!AS36)</f>
        <v>10</v>
      </c>
      <c r="AJ40" s="11"/>
    </row>
    <row r="41" ht="14.4" customHeight="1" spans="1:36">
      <c r="A41" s="19" t="str">
        <f>IF(OR(人物卡!B27="√",人物卡!B27="✓",人物卡!B27="☑"),"☑","☐")</f>
        <v>☐</v>
      </c>
      <c r="B41" s="16" t="str">
        <f>人物卡!D27&amp;IF(人物卡!J27="","________",人物卡!J27)&amp;" ("&amp;IF(人物卡!S27="",0,人物卡!S27)&amp;"%)"</f>
        <v>工艺：________ (0%)</v>
      </c>
      <c r="C41" s="10"/>
      <c r="D41" s="10"/>
      <c r="E41" s="10"/>
      <c r="F41" s="10"/>
      <c r="G41" s="10"/>
      <c r="H41" s="10"/>
      <c r="I41" s="10"/>
      <c r="J41" s="11"/>
      <c r="K41" s="20">
        <f>IF(人物卡!P27="",0,人物卡!P27)</f>
        <v>0</v>
      </c>
      <c r="L41" s="11"/>
      <c r="M41" s="19" t="str">
        <f>IF(OR(人物卡!AE17="√",人物卡!AE17="✓",人物卡!AE17="☑"),"☑","☐")</f>
        <v>☐</v>
      </c>
      <c r="N41" s="16" t="str">
        <f>人物卡!AG17&amp;IF(人物卡!AM17="","________",人物卡!AM17)&amp;" ("&amp;IF(人物卡!AV17="",0,人物卡!AV17)&amp;"%)"</f>
        <v>军事科学：________ (0%)</v>
      </c>
      <c r="O41" s="10"/>
      <c r="P41" s="10"/>
      <c r="Q41" s="10"/>
      <c r="R41" s="10"/>
      <c r="S41" s="10"/>
      <c r="T41" s="10"/>
      <c r="U41" s="10"/>
      <c r="V41" s="11"/>
      <c r="W41" s="20">
        <f>IF(人物卡!AS17="",0,人物卡!AS17)</f>
        <v>0</v>
      </c>
      <c r="X41" s="11"/>
      <c r="Y41" s="19" t="str">
        <f>IF(OR(人物卡!AE37="√",人物卡!AE37="✓",人物卡!AE37="☑"),"☑","☐")</f>
        <v>☐</v>
      </c>
      <c r="Z41" s="16" t="str">
        <f>人物卡!AG37&amp;" ("&amp;IF(人物卡!AV37="",0,人物卡!AV37)&amp;"%)"</f>
        <v>游泳 (20%)</v>
      </c>
      <c r="AA41" s="10"/>
      <c r="AB41" s="10"/>
      <c r="AC41" s="10"/>
      <c r="AD41" s="10"/>
      <c r="AE41" s="10"/>
      <c r="AF41" s="10"/>
      <c r="AG41" s="10"/>
      <c r="AH41" s="11"/>
      <c r="AI41" s="20">
        <f>IF(人物卡!AS37="",0,人物卡!AS37)</f>
        <v>20</v>
      </c>
      <c r="AJ41" s="11"/>
    </row>
    <row r="42" ht="14.4" customHeight="1" spans="1:36">
      <c r="A42" s="19" t="str">
        <f>IF(OR(人物卡!B28="√",人物卡!B28="✓",人物卡!B28="☑"),"☑","☐")</f>
        <v>☐</v>
      </c>
      <c r="B42" s="16" t="str">
        <f>人物卡!D28&amp;IF(人物卡!J28="","________",人物卡!J28)&amp;" ("&amp;IF(人物卡!S28="",0,人物卡!S28)&amp;"%)"</f>
        <v>工艺：________ (0%)</v>
      </c>
      <c r="C42" s="10"/>
      <c r="D42" s="10"/>
      <c r="E42" s="10"/>
      <c r="F42" s="10"/>
      <c r="G42" s="10"/>
      <c r="H42" s="10"/>
      <c r="I42" s="10"/>
      <c r="J42" s="11"/>
      <c r="K42" s="20">
        <f>IF(人物卡!P28="",0,人物卡!P28)</f>
        <v>0</v>
      </c>
      <c r="L42" s="11"/>
      <c r="M42" s="19" t="str">
        <f>IF(OR(人物卡!AE18="√",人物卡!AE18="✓",人物卡!AE18="☑"),"☑","☐")</f>
        <v>☐</v>
      </c>
      <c r="N42" s="16" t="str">
        <f>人物卡!AG18&amp;IF(人物卡!AM18="","________",人物卡!AM18)&amp;" ("&amp;IF(人物卡!AV18="",0,人物卡!AV18)&amp;"%)"</f>
        <v>军事科学：________ (0%)</v>
      </c>
      <c r="O42" s="10"/>
      <c r="P42" s="10"/>
      <c r="Q42" s="10"/>
      <c r="R42" s="10"/>
      <c r="S42" s="10"/>
      <c r="T42" s="10"/>
      <c r="U42" s="10"/>
      <c r="V42" s="11"/>
      <c r="W42" s="20">
        <f>IF(人物卡!AS18="",0,人物卡!AS18)</f>
        <v>0</v>
      </c>
      <c r="X42" s="11"/>
      <c r="Y42" s="19" t="str">
        <f>IF(OR(人物卡!AE38="√",人物卡!AE38="✓",人物卡!AE38="☑"),"☑","☐")</f>
        <v>☐</v>
      </c>
      <c r="Z42" s="16" t="str">
        <f>人物卡!AG38&amp;" ("&amp;IF(人物卡!AV38="",0,人物卡!AV38)&amp;"%)"</f>
        <v>徒手搏斗 (40%)</v>
      </c>
      <c r="AA42" s="10"/>
      <c r="AB42" s="10"/>
      <c r="AC42" s="10"/>
      <c r="AD42" s="10"/>
      <c r="AE42" s="10"/>
      <c r="AF42" s="10"/>
      <c r="AG42" s="10"/>
      <c r="AH42" s="11"/>
      <c r="AI42" s="20">
        <f>IF(人物卡!AS38="",0,人物卡!AS38)</f>
        <v>40</v>
      </c>
      <c r="AJ42" s="11"/>
    </row>
    <row r="43" ht="14.4" customHeight="1" spans="1:36">
      <c r="A43" s="19" t="str">
        <f>IF(OR(人物卡!B29="√",人物卡!B29="✓",人物卡!B29="☑"),"☑","☐")</f>
        <v>☐</v>
      </c>
      <c r="B43" s="16" t="str">
        <f>人物卡!D29&amp;" ("&amp;IF(人物卡!S29="",0,人物卡!S29)&amp;"%)"</f>
        <v>犯罪学 (10%)</v>
      </c>
      <c r="C43" s="10"/>
      <c r="D43" s="10"/>
      <c r="E43" s="10"/>
      <c r="F43" s="10"/>
      <c r="G43" s="10"/>
      <c r="H43" s="10"/>
      <c r="I43" s="10"/>
      <c r="J43" s="11"/>
      <c r="K43" s="20">
        <f>IF(人物卡!P29="",0,人物卡!P29)</f>
        <v>10</v>
      </c>
      <c r="L43" s="11"/>
      <c r="M43" s="19" t="str">
        <f>IF(OR(人物卡!AE19="√",人物卡!AE19="✓",人物卡!AE19="☑"),"☑","☐")</f>
        <v>☐</v>
      </c>
      <c r="N43" s="16" t="str">
        <f>人物卡!AG19&amp;IF(人物卡!AM19="","________",人物卡!AM19)&amp;" ("&amp;IF(人物卡!AV19="",0,人物卡!AV19)&amp;"%)"</f>
        <v>军事科学：________ (0%)</v>
      </c>
      <c r="O43" s="10"/>
      <c r="P43" s="10"/>
      <c r="Q43" s="10"/>
      <c r="R43" s="10"/>
      <c r="S43" s="10"/>
      <c r="T43" s="10"/>
      <c r="U43" s="10"/>
      <c r="V43" s="11"/>
      <c r="W43" s="20">
        <f>IF(人物卡!AS19="",0,人物卡!AS19)</f>
        <v>0</v>
      </c>
      <c r="X43" s="11"/>
      <c r="Y43" s="15"/>
      <c r="Z43" s="16" t="str">
        <f>人物卡!AG39&amp;" ("&amp;IF(人物卡!AV39="",0,人物卡!AV39)&amp;"%)"</f>
        <v>非自然知识 (0%)</v>
      </c>
      <c r="AA43" s="10"/>
      <c r="AB43" s="10"/>
      <c r="AC43" s="10"/>
      <c r="AD43" s="10"/>
      <c r="AE43" s="10"/>
      <c r="AF43" s="10"/>
      <c r="AG43" s="10"/>
      <c r="AH43" s="11"/>
      <c r="AI43" s="20">
        <f>IF(人物卡!AS39="",0,人物卡!AS39)</f>
        <v>0</v>
      </c>
      <c r="AJ43" s="11"/>
    </row>
    <row r="44" ht="14.4" customHeight="1" spans="1:36">
      <c r="A44" s="19" t="str">
        <f>IF(OR(人物卡!B30="√",人物卡!B30="✓",人物卡!B30="☑"),"☑","☐")</f>
        <v>☐</v>
      </c>
      <c r="B44" s="16" t="str">
        <f>人物卡!D30&amp;" ("&amp;IF(人物卡!S30="",0,人物卡!S30)&amp;"%)"</f>
        <v>爆破 (0%)</v>
      </c>
      <c r="C44" s="10"/>
      <c r="D44" s="10"/>
      <c r="E44" s="10"/>
      <c r="F44" s="10"/>
      <c r="G44" s="10"/>
      <c r="H44" s="10"/>
      <c r="I44" s="10"/>
      <c r="J44" s="11"/>
      <c r="K44" s="20">
        <f>IF(人物卡!P30="",0,人物卡!P30)</f>
        <v>0</v>
      </c>
      <c r="L44" s="11"/>
      <c r="M44" s="19" t="str">
        <f>IF(OR(人物卡!AE20="√",人物卡!AE20="✓",人物卡!AE20="☑"),"☑","☐")</f>
        <v>☐</v>
      </c>
      <c r="N44" s="16" t="str">
        <f>人物卡!AG20&amp;" ("&amp;IF(人物卡!AV20="",0,人物卡!AV20)&amp;"%)"</f>
        <v>导航 (10%)</v>
      </c>
      <c r="O44" s="10"/>
      <c r="P44" s="10"/>
      <c r="Q44" s="10"/>
      <c r="R44" s="10"/>
      <c r="S44" s="10"/>
      <c r="T44" s="10"/>
      <c r="U44" s="10"/>
      <c r="V44" s="11"/>
      <c r="W44" s="20">
        <f>IF(人物卡!AS20="",0,人物卡!AS20)</f>
        <v>10</v>
      </c>
      <c r="X44" s="11"/>
      <c r="Y44" s="19" t="str">
        <f>IF(OR(人物卡!AE40="√",人物卡!AE40="✓",人物卡!AE40="☑"),"☑","☐")</f>
        <v>☐</v>
      </c>
      <c r="Z44" s="16" t="str">
        <f ca="1">IF(人物卡!AG40="","其他技能：________",人物卡!AG40)</f>
        <v>其他技能：________</v>
      </c>
      <c r="AA44" s="10"/>
      <c r="AB44" s="10"/>
      <c r="AC44" s="10"/>
      <c r="AD44" s="10"/>
      <c r="AE44" s="10"/>
      <c r="AF44" s="10"/>
      <c r="AG44" s="10"/>
      <c r="AH44" s="11"/>
      <c r="AI44" s="20">
        <f>IF(人物卡!AS40="",0,人物卡!AS40)</f>
        <v>0</v>
      </c>
      <c r="AJ44" s="11"/>
    </row>
    <row r="45" ht="14.4" customHeight="1" spans="1:36">
      <c r="A45" s="19" t="str">
        <f>IF(OR(人物卡!B31="√",人物卡!B31="✓",人物卡!B31="☑"),"☑","☐")</f>
        <v>☐</v>
      </c>
      <c r="B45" s="16" t="str">
        <f>人物卡!D31&amp;" ("&amp;IF(人物卡!S31="",0,人物卡!S31)&amp;"%)"</f>
        <v>乔装 (10%)</v>
      </c>
      <c r="C45" s="10"/>
      <c r="D45" s="10"/>
      <c r="E45" s="10"/>
      <c r="F45" s="10"/>
      <c r="G45" s="10"/>
      <c r="H45" s="10"/>
      <c r="I45" s="10"/>
      <c r="J45" s="11"/>
      <c r="K45" s="20">
        <f>IF(人物卡!P31="",0,人物卡!P31)</f>
        <v>10</v>
      </c>
      <c r="L45" s="11"/>
      <c r="M45" s="19" t="str">
        <f>IF(OR(人物卡!AE21="√",人物卡!AE21="✓",人物卡!AE21="☑"),"☑","☐")</f>
        <v>☐</v>
      </c>
      <c r="N45" s="16" t="str">
        <f>人物卡!AG21&amp;" ("&amp;IF(人物卡!AV21="",0,人物卡!AV21)&amp;"%)"</f>
        <v>神秘学 (10%)</v>
      </c>
      <c r="O45" s="10"/>
      <c r="P45" s="10"/>
      <c r="Q45" s="10"/>
      <c r="R45" s="10"/>
      <c r="S45" s="10"/>
      <c r="T45" s="10"/>
      <c r="U45" s="10"/>
      <c r="V45" s="11"/>
      <c r="W45" s="20">
        <f>IF(人物卡!AS21="",0,人物卡!AS21)</f>
        <v>10</v>
      </c>
      <c r="X45" s="11"/>
      <c r="Y45" s="19" t="str">
        <f>IF(OR(人物卡!AE41="√",人物卡!AE41="✓",人物卡!AE41="☑"),"☑","☐")</f>
        <v>☐</v>
      </c>
      <c r="Z45" s="16" t="str">
        <f ca="1">IF(人物卡!AG41="","其他技能：________",人物卡!AG41)</f>
        <v>其他技能：________</v>
      </c>
      <c r="AA45" s="10"/>
      <c r="AB45" s="10"/>
      <c r="AC45" s="10"/>
      <c r="AD45" s="10"/>
      <c r="AE45" s="10"/>
      <c r="AF45" s="10"/>
      <c r="AG45" s="10"/>
      <c r="AH45" s="11"/>
      <c r="AI45" s="20">
        <f>IF(人物卡!AS41="",0,人物卡!AS41)</f>
        <v>0</v>
      </c>
      <c r="AJ45" s="11"/>
    </row>
    <row r="46" ht="14.4" customHeight="1" spans="1:36">
      <c r="A46" s="19" t="str">
        <f>IF(OR(人物卡!B32="√",人物卡!B32="✓",人物卡!B32="☑"),"☑","☐")</f>
        <v>☐</v>
      </c>
      <c r="B46" s="16" t="str">
        <f>人物卡!D32&amp;" ("&amp;IF(人物卡!S32="",0,人物卡!S32)&amp;"%)"</f>
        <v>闪避 (30%)</v>
      </c>
      <c r="C46" s="10"/>
      <c r="D46" s="10"/>
      <c r="E46" s="10"/>
      <c r="F46" s="10"/>
      <c r="G46" s="10"/>
      <c r="H46" s="10"/>
      <c r="I46" s="10"/>
      <c r="J46" s="11"/>
      <c r="K46" s="20">
        <f>IF(人物卡!P32="",0,人物卡!P32)</f>
        <v>30</v>
      </c>
      <c r="L46" s="11"/>
      <c r="M46" s="19" t="str">
        <f>IF(OR(人物卡!AE22="√",人物卡!AE22="✓",人物卡!AE22="☑"),"☑","☐")</f>
        <v>☐</v>
      </c>
      <c r="N46" s="16" t="str">
        <f>人物卡!AG22&amp;" ("&amp;IF(人物卡!AV22="",0,人物卡!AV22)&amp;"%)"</f>
        <v>说服 (20%)</v>
      </c>
      <c r="O46" s="10"/>
      <c r="P46" s="10"/>
      <c r="Q46" s="10"/>
      <c r="R46" s="10"/>
      <c r="S46" s="10"/>
      <c r="T46" s="10"/>
      <c r="U46" s="10"/>
      <c r="V46" s="11"/>
      <c r="W46" s="20">
        <f>IF(人物卡!AS22="",0,人物卡!AS22)</f>
        <v>20</v>
      </c>
      <c r="X46" s="11"/>
      <c r="Y46" s="19" t="str">
        <f>IF(OR(人物卡!AE42="√",人物卡!AE42="✓",人物卡!AE42="☑"),"☑","☐")</f>
        <v>☐</v>
      </c>
      <c r="Z46" s="16" t="str">
        <f ca="1">IF(人物卡!AG42="","其他技能：________",人物卡!AG42)</f>
        <v>其他技能：________</v>
      </c>
      <c r="AA46" s="10"/>
      <c r="AB46" s="10"/>
      <c r="AC46" s="10"/>
      <c r="AD46" s="10"/>
      <c r="AE46" s="10"/>
      <c r="AF46" s="10"/>
      <c r="AG46" s="10"/>
      <c r="AH46" s="11"/>
      <c r="AI46" s="20">
        <f>IF(人物卡!AS42="",0,人物卡!AS42)</f>
        <v>0</v>
      </c>
      <c r="AJ46" s="11"/>
    </row>
    <row r="47" ht="14.4" customHeight="1" spans="1:36">
      <c r="A47" s="19" t="str">
        <f>IF(OR(人物卡!B33="√",人物卡!B33="✓",人物卡!B33="☑"),"☑","☐")</f>
        <v>☐</v>
      </c>
      <c r="B47" s="16" t="str">
        <f>人物卡!D33&amp;" ("&amp;IF(人物卡!S33="",0,人物卡!S33)&amp;"%)"</f>
        <v>机动车驾驶 (20%)</v>
      </c>
      <c r="C47" s="10"/>
      <c r="D47" s="10"/>
      <c r="E47" s="10"/>
      <c r="F47" s="10"/>
      <c r="G47" s="10"/>
      <c r="H47" s="10"/>
      <c r="I47" s="10"/>
      <c r="J47" s="11"/>
      <c r="K47" s="20">
        <f>IF(人物卡!P33="",0,人物卡!P33)</f>
        <v>20</v>
      </c>
      <c r="L47" s="11"/>
      <c r="M47" s="19" t="str">
        <f>IF(OR(人物卡!AE23="√",人物卡!AE23="✓",人物卡!AE23="☑"),"☑","☐")</f>
        <v>☐</v>
      </c>
      <c r="N47" s="16" t="str">
        <f>人物卡!AG23&amp;" ("&amp;IF(人物卡!AV23="",0,人物卡!AV23)&amp;"%)"</f>
        <v>药学 (0%)</v>
      </c>
      <c r="O47" s="10"/>
      <c r="P47" s="10"/>
      <c r="Q47" s="10"/>
      <c r="R47" s="10"/>
      <c r="S47" s="10"/>
      <c r="T47" s="10"/>
      <c r="U47" s="10"/>
      <c r="V47" s="11"/>
      <c r="W47" s="20">
        <f>IF(人物卡!AS23="",0,人物卡!AS23)</f>
        <v>0</v>
      </c>
      <c r="X47" s="11"/>
      <c r="Y47" s="19" t="str">
        <f>IF(OR(人物卡!AE43="√",人物卡!AE43="✓",人物卡!AE43="☑"),"☑","☐")</f>
        <v>☐</v>
      </c>
      <c r="Z47" s="16" t="str">
        <f ca="1">IF(人物卡!AG43="","其他技能：________",人物卡!AG43)</f>
        <v>其他技能：________</v>
      </c>
      <c r="AA47" s="10"/>
      <c r="AB47" s="10"/>
      <c r="AC47" s="10"/>
      <c r="AD47" s="10"/>
      <c r="AE47" s="10"/>
      <c r="AF47" s="10"/>
      <c r="AG47" s="10"/>
      <c r="AH47" s="11"/>
      <c r="AI47" s="20">
        <f>IF(人物卡!AS43="",0,人物卡!AS43)</f>
        <v>0</v>
      </c>
      <c r="AJ47" s="11"/>
    </row>
    <row r="48" ht="14.4" customHeight="1" spans="1:36">
      <c r="A48" s="21" t="s">
        <v>3328</v>
      </c>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3"/>
    </row>
    <row r="49" ht="14.4" customHeight="1" spans="1:36">
      <c r="A49" s="6"/>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8"/>
    </row>
    <row r="50" ht="14.4" customHeight="1" spans="1:36">
      <c r="A50" s="22" t="s">
        <v>3329</v>
      </c>
    </row>
    <row r="51" ht="14.4" customHeight="1" spans="1:36">
      <c r="A51" s="23" t="str">
        <f>"玩家："&amp;IF(人物卡!E3="","",人物卡!E3)</f>
        <v>玩家：</v>
      </c>
      <c r="T51" s="23" t="str">
        <f>"年代："&amp;IF(人物卡!Q6="","",人物卡!Q6)</f>
        <v>年代：</v>
      </c>
    </row>
    <row r="52" ht="14.4" customHeight="1" spans="1:36">
      <c r="A52" s="24" t="s">
        <v>3330</v>
      </c>
    </row>
    <row r="53" ht="14.4" customHeight="1" spans="1:36">
      <c r="A53" s="25" t="s">
        <v>3331</v>
      </c>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3"/>
    </row>
    <row r="54" ht="14.4" customHeight="1" spans="1:36">
      <c r="A54" s="4"/>
      <c r="AJ54" s="5"/>
    </row>
    <row r="55" ht="14.4" customHeight="1" spans="1:36">
      <c r="A55" s="6"/>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8"/>
    </row>
    <row r="56" ht="14.4" customHeight="1" spans="1:36">
      <c r="A56" s="9" t="s">
        <v>3332</v>
      </c>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1"/>
    </row>
    <row r="57" ht="14.4" customHeight="1" spans="1:36">
      <c r="A57" s="26" t="str">
        <f>IF(人物卡!EI17="","",人物卡!EI17)</f>
        <v/>
      </c>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3"/>
    </row>
    <row r="58" ht="14.4" customHeight="1" spans="1:36">
      <c r="A58" s="4"/>
      <c r="AJ58" s="5"/>
    </row>
    <row r="59" ht="14.4" customHeight="1" spans="1:36">
      <c r="A59" s="4"/>
      <c r="AJ59" s="5"/>
    </row>
    <row r="60" ht="14.4" customHeight="1" spans="1:36">
      <c r="A60" s="4"/>
      <c r="AJ60" s="5"/>
    </row>
    <row r="61" ht="14.4" customHeight="1" spans="1:36">
      <c r="A61" s="6"/>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8"/>
    </row>
    <row r="62" ht="14.4" customHeight="1" spans="1:36">
      <c r="A62" s="16" t="s">
        <v>3333</v>
      </c>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1"/>
    </row>
    <row r="63" ht="14.4" customHeight="1" spans="1:36">
      <c r="A63" s="9" t="s">
        <v>3334</v>
      </c>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1"/>
    </row>
    <row r="64" ht="14.4" customHeight="1" spans="1:36">
      <c r="A64" s="26" t="str">
        <f>IFERROR(MID(""&amp;IF((IF(人物卡!EK8="","","护甲："&amp;人物卡!EK8))="","",CHAR(10)&amp;(IF(人物卡!EK8="","","护甲："&amp;人物卡!EK8)))&amp;IF((IF(人物卡!CZ3="","",人物卡!CZ3))="","",CHAR(10)&amp;(IF(人物卡!CZ3="","",人物卡!CZ3)))&amp;IF((IF(人物卡!DR3="","",人物卡!DR3))="","",CHAR(10)&amp;(IF(人物卡!DR3="","",人物卡!DR3)))&amp;IF((IF(人物卡!EI3="","",人物卡!EI3))="","",CHAR(10)&amp;(IF(人物卡!EI3="","",人物卡!EI3))),2,32767),"")</f>
        <v/>
      </c>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3"/>
    </row>
    <row r="65" ht="14.4" customHeight="1" spans="1:36">
      <c r="A65" s="4"/>
      <c r="AJ65" s="5"/>
    </row>
    <row r="66" ht="14.4" customHeight="1" spans="1:36">
      <c r="A66" s="4"/>
      <c r="AJ66" s="5"/>
    </row>
    <row r="67" ht="14.4" customHeight="1" spans="1:36">
      <c r="A67" s="4"/>
      <c r="AJ67" s="5"/>
    </row>
    <row r="68" ht="14.4" customHeight="1" spans="1:36">
      <c r="A68" s="4"/>
      <c r="AJ68" s="5"/>
    </row>
    <row r="69" ht="14.4" customHeight="1" spans="1:36">
      <c r="A69" s="6"/>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8"/>
    </row>
    <row r="70" ht="14.4" customHeight="1" spans="1:36">
      <c r="A70" s="16" t="s">
        <v>3335</v>
      </c>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1"/>
    </row>
    <row r="71" ht="14.4" customHeight="1" spans="1:36">
      <c r="A71" s="9" t="s">
        <v>3336</v>
      </c>
      <c r="B71" s="11"/>
      <c r="C71" s="9" t="s">
        <v>3337</v>
      </c>
      <c r="D71" s="10"/>
      <c r="E71" s="10"/>
      <c r="F71" s="10"/>
      <c r="G71" s="10"/>
      <c r="H71" s="11"/>
      <c r="I71" s="9" t="s">
        <v>3338</v>
      </c>
      <c r="J71" s="10"/>
      <c r="K71" s="10"/>
      <c r="L71" s="11"/>
      <c r="M71" s="9" t="s">
        <v>56</v>
      </c>
      <c r="N71" s="10"/>
      <c r="O71" s="10"/>
      <c r="P71" s="10"/>
      <c r="Q71" s="11"/>
      <c r="R71" s="9" t="s">
        <v>3339</v>
      </c>
      <c r="S71" s="10"/>
      <c r="T71" s="10"/>
      <c r="U71" s="10"/>
      <c r="V71" s="11"/>
      <c r="W71" s="9" t="s">
        <v>3340</v>
      </c>
      <c r="X71" s="10"/>
      <c r="Y71" s="10"/>
      <c r="Z71" s="10"/>
      <c r="AA71" s="11"/>
      <c r="AB71" s="9" t="s">
        <v>3341</v>
      </c>
      <c r="AC71" s="10"/>
      <c r="AD71" s="10"/>
      <c r="AE71" s="11"/>
      <c r="AF71" s="9" t="s">
        <v>2671</v>
      </c>
      <c r="AG71" s="10"/>
      <c r="AH71" s="11"/>
      <c r="AI71" s="9" t="s">
        <v>3342</v>
      </c>
      <c r="AJ71" s="11"/>
    </row>
    <row r="72" ht="14.4" customHeight="1" spans="1:36">
      <c r="A72" s="19" t="s">
        <v>3343</v>
      </c>
      <c r="B72" s="11"/>
      <c r="C72" s="14" t="str">
        <f>IF(人物卡!CZ14="","",人物卡!CZ14)</f>
        <v/>
      </c>
      <c r="D72" s="10"/>
      <c r="E72" s="10"/>
      <c r="F72" s="10"/>
      <c r="G72" s="10"/>
      <c r="H72" s="11"/>
      <c r="I72" s="27" t="str">
        <f ca="1">IF(人物卡!DM14="","",人物卡!DM14)</f>
        <v/>
      </c>
      <c r="J72" s="10"/>
      <c r="K72" s="10"/>
      <c r="L72" s="11"/>
      <c r="M72" s="27" t="str">
        <f>IF(人物卡!DZ14="","",人物卡!DZ14)</f>
        <v/>
      </c>
      <c r="N72" s="10"/>
      <c r="O72" s="10"/>
      <c r="P72" s="10"/>
      <c r="Q72" s="11"/>
      <c r="R72" s="27" t="str">
        <f ca="1">IF(AND(ISNUMBER(SEARCH("/",人物卡!$DQ$14&amp;"")),ISNUMBER(SEARCH("%",人物卡!$DQ$14&amp;"")),ISERROR(SEARCH("%",LEFT(人物卡!$DQ$14&amp;"",IFERROR(FIND("/",人物卡!$DQ$14&amp;""),1)-1)))),TRIM(LEFT(人物卡!$DQ$14,FIND("/",人物卡!$DQ$14)-1)),IF(OR(ISNUMBER(SEARCH("%",人物卡!DQ14&amp;"")),AND(ISNUMBER(人物卡!DQ14),人物卡!DQ14&gt;0,人物卡!DQ14&lt;1),LEFT(CELL("format",人物卡!DQ14),1)="P"),"",IF(人物卡!DQ14="","",人物卡!DQ14)))</f>
        <v/>
      </c>
      <c r="S72" s="10"/>
      <c r="T72" s="10"/>
      <c r="U72" s="10"/>
      <c r="V72" s="11"/>
      <c r="W72" s="27" t="str">
        <f>IF(人物卡!DW14="","",人物卡!DW14)</f>
        <v/>
      </c>
      <c r="X72" s="10"/>
      <c r="Y72" s="10"/>
      <c r="Z72" s="10"/>
      <c r="AA72" s="11"/>
      <c r="AB72" s="27" t="str">
        <f ca="1">IF(AND(ISNUMBER(SEARCH("/",人物卡!$DQ$14&amp;"")),ISNUMBER(SEARCH("%",人物卡!$DQ$14&amp;"")),ISERROR(SEARCH("%",LEFT(人物卡!$DQ$14&amp;"",IFERROR(FIND("/",人物卡!$DQ$14&amp;""),1)-1)))),TRIM(MID(人物卡!$DQ$14,FIND("/",人物卡!$DQ$14)+1,99)),IF(OR(ISNUMBER(SEARCH("%",人物卡!DQ14&amp;"")),AND(ISNUMBER(人物卡!DQ14),人物卡!DQ14&gt;0,人物卡!DQ14&lt;1),LEFT(CELL("format",人物卡!DQ14),1)="P"),IF(ISNUMBER(人物卡!DQ14),TEXT(人物卡!DQ14,"0%"),人物卡!DQ14),""))</f>
        <v/>
      </c>
      <c r="AC72" s="10"/>
      <c r="AD72" s="10"/>
      <c r="AE72" s="11"/>
      <c r="AF72" s="27" t="str">
        <f>IF(人物卡!ED14="","",人物卡!ED14)</f>
        <v/>
      </c>
      <c r="AG72" s="10"/>
      <c r="AH72" s="11"/>
      <c r="AI72" s="15"/>
      <c r="AJ72" s="11"/>
    </row>
    <row r="73" ht="14.4" customHeight="1" spans="1:36">
      <c r="A73" s="19" t="s">
        <v>3344</v>
      </c>
      <c r="B73" s="11"/>
      <c r="C73" s="14" t="str">
        <f>IF(人物卡!CZ15="","",人物卡!CZ15)</f>
        <v/>
      </c>
      <c r="D73" s="10"/>
      <c r="E73" s="10"/>
      <c r="F73" s="10"/>
      <c r="G73" s="10"/>
      <c r="H73" s="11"/>
      <c r="I73" s="27" t="str">
        <f ca="1">IF(人物卡!DM15="","",人物卡!DM15)</f>
        <v/>
      </c>
      <c r="J73" s="10"/>
      <c r="K73" s="10"/>
      <c r="L73" s="11"/>
      <c r="M73" s="27" t="str">
        <f>IF(人物卡!DZ15="","",人物卡!DZ15)</f>
        <v/>
      </c>
      <c r="N73" s="10"/>
      <c r="O73" s="10"/>
      <c r="P73" s="10"/>
      <c r="Q73" s="11"/>
      <c r="R73" s="27" t="str">
        <f ca="1">IF(AND(ISNUMBER(SEARCH("/",人物卡!$DQ$15&amp;"")),ISNUMBER(SEARCH("%",人物卡!$DQ$15&amp;"")),ISERROR(SEARCH("%",LEFT(人物卡!$DQ$15&amp;"",IFERROR(FIND("/",人物卡!$DQ$15&amp;""),1)-1)))),TRIM(LEFT(人物卡!$DQ$15,FIND("/",人物卡!$DQ$15)-1)),IF(OR(ISNUMBER(SEARCH("%",人物卡!DQ15&amp;"")),AND(ISNUMBER(人物卡!DQ15),人物卡!DQ15&gt;0,人物卡!DQ15&lt;1),LEFT(CELL("format",人物卡!DQ15),1)="P"),"",IF(人物卡!DQ15="","",人物卡!DQ15)))</f>
        <v/>
      </c>
      <c r="S73" s="10"/>
      <c r="T73" s="10"/>
      <c r="U73" s="10"/>
      <c r="V73" s="11"/>
      <c r="W73" s="27" t="str">
        <f>IF(人物卡!DW15="","",人物卡!DW15)</f>
        <v/>
      </c>
      <c r="X73" s="10"/>
      <c r="Y73" s="10"/>
      <c r="Z73" s="10"/>
      <c r="AA73" s="11"/>
      <c r="AB73" s="27" t="str">
        <f ca="1">IF(AND(ISNUMBER(SEARCH("/",人物卡!$DQ$15&amp;"")),ISNUMBER(SEARCH("%",人物卡!$DQ$15&amp;"")),ISERROR(SEARCH("%",LEFT(人物卡!$DQ$15&amp;"",IFERROR(FIND("/",人物卡!$DQ$15&amp;""),1)-1)))),TRIM(MID(人物卡!$DQ$15,FIND("/",人物卡!$DQ$15)+1,99)),IF(OR(ISNUMBER(SEARCH("%",人物卡!DQ15&amp;"")),AND(ISNUMBER(人物卡!DQ15),人物卡!DQ15&gt;0,人物卡!DQ15&lt;1),LEFT(CELL("format",人物卡!DQ15),1)="P"),IF(ISNUMBER(人物卡!DQ15),TEXT(人物卡!DQ15,"0%"),人物卡!DQ15),""))</f>
        <v/>
      </c>
      <c r="AC73" s="10"/>
      <c r="AD73" s="10"/>
      <c r="AE73" s="11"/>
      <c r="AF73" s="27" t="str">
        <f>IF(人物卡!ED15="","",人物卡!ED15)</f>
        <v/>
      </c>
      <c r="AG73" s="10"/>
      <c r="AH73" s="11"/>
      <c r="AI73" s="15"/>
      <c r="AJ73" s="11"/>
    </row>
    <row r="74" ht="14.4" customHeight="1" spans="1:36">
      <c r="A74" s="19" t="s">
        <v>3345</v>
      </c>
      <c r="B74" s="11"/>
      <c r="C74" s="14" t="str">
        <f>IF(人物卡!CZ16="","",人物卡!CZ16)</f>
        <v/>
      </c>
      <c r="D74" s="10"/>
      <c r="E74" s="10"/>
      <c r="F74" s="10"/>
      <c r="G74" s="10"/>
      <c r="H74" s="11"/>
      <c r="I74" s="27" t="str">
        <f ca="1">IF(人物卡!DM16="","",人物卡!DM16)</f>
        <v/>
      </c>
      <c r="J74" s="10"/>
      <c r="K74" s="10"/>
      <c r="L74" s="11"/>
      <c r="M74" s="27" t="str">
        <f>IF(人物卡!DZ16="","",人物卡!DZ16)</f>
        <v/>
      </c>
      <c r="N74" s="10"/>
      <c r="O74" s="10"/>
      <c r="P74" s="10"/>
      <c r="Q74" s="11"/>
      <c r="R74" s="27" t="str">
        <f ca="1">IF(AND(ISNUMBER(SEARCH("/",人物卡!$DQ$16&amp;"")),ISNUMBER(SEARCH("%",人物卡!$DQ$16&amp;"")),ISERROR(SEARCH("%",LEFT(人物卡!$DQ$16&amp;"",IFERROR(FIND("/",人物卡!$DQ$16&amp;""),1)-1)))),TRIM(LEFT(人物卡!$DQ$16,FIND("/",人物卡!$DQ$16)-1)),IF(OR(ISNUMBER(SEARCH("%",人物卡!DQ16&amp;"")),AND(ISNUMBER(人物卡!DQ16),人物卡!DQ16&gt;0,人物卡!DQ16&lt;1),LEFT(CELL("format",人物卡!DQ16),1)="P"),"",IF(人物卡!DQ16="","",人物卡!DQ16)))</f>
        <v/>
      </c>
      <c r="S74" s="10"/>
      <c r="T74" s="10"/>
      <c r="U74" s="10"/>
      <c r="V74" s="11"/>
      <c r="W74" s="27" t="str">
        <f>IF(人物卡!DW16="","",人物卡!DW16)</f>
        <v/>
      </c>
      <c r="X74" s="10"/>
      <c r="Y74" s="10"/>
      <c r="Z74" s="10"/>
      <c r="AA74" s="11"/>
      <c r="AB74" s="27" t="str">
        <f ca="1">IF(AND(ISNUMBER(SEARCH("/",人物卡!$DQ$16&amp;"")),ISNUMBER(SEARCH("%",人物卡!$DQ$16&amp;"")),ISERROR(SEARCH("%",LEFT(人物卡!$DQ$16&amp;"",IFERROR(FIND("/",人物卡!$DQ$16&amp;""),1)-1)))),TRIM(MID(人物卡!$DQ$16,FIND("/",人物卡!$DQ$16)+1,99)),IF(OR(ISNUMBER(SEARCH("%",人物卡!DQ16&amp;"")),AND(ISNUMBER(人物卡!DQ16),人物卡!DQ16&gt;0,人物卡!DQ16&lt;1),LEFT(CELL("format",人物卡!DQ16),1)="P"),IF(ISNUMBER(人物卡!DQ16),TEXT(人物卡!DQ16,"0%"),人物卡!DQ16),""))</f>
        <v/>
      </c>
      <c r="AC74" s="10"/>
      <c r="AD74" s="10"/>
      <c r="AE74" s="11"/>
      <c r="AF74" s="27" t="str">
        <f>IF(人物卡!ED16="","",人物卡!ED16)</f>
        <v/>
      </c>
      <c r="AG74" s="10"/>
      <c r="AH74" s="11"/>
      <c r="AI74" s="15"/>
      <c r="AJ74" s="11"/>
    </row>
    <row r="75" ht="14.4" customHeight="1" spans="1:36">
      <c r="A75" s="19" t="s">
        <v>3346</v>
      </c>
      <c r="B75" s="11"/>
      <c r="C75" s="14" t="str">
        <f>IF(人物卡!CZ17="","",人物卡!CZ17)</f>
        <v/>
      </c>
      <c r="D75" s="10"/>
      <c r="E75" s="10"/>
      <c r="F75" s="10"/>
      <c r="G75" s="10"/>
      <c r="H75" s="11"/>
      <c r="I75" s="27" t="str">
        <f ca="1">IF(人物卡!DM17="","",人物卡!DM17)</f>
        <v/>
      </c>
      <c r="J75" s="10"/>
      <c r="K75" s="10"/>
      <c r="L75" s="11"/>
      <c r="M75" s="27" t="str">
        <f>IF(人物卡!DZ17="","",人物卡!DZ17)</f>
        <v/>
      </c>
      <c r="N75" s="10"/>
      <c r="O75" s="10"/>
      <c r="P75" s="10"/>
      <c r="Q75" s="11"/>
      <c r="R75" s="27" t="str">
        <f ca="1">IF(AND(ISNUMBER(SEARCH("/",人物卡!$DQ$17&amp;"")),ISNUMBER(SEARCH("%",人物卡!$DQ$17&amp;"")),ISERROR(SEARCH("%",LEFT(人物卡!$DQ$17&amp;"",IFERROR(FIND("/",人物卡!$DQ$17&amp;""),1)-1)))),TRIM(LEFT(人物卡!$DQ$17,FIND("/",人物卡!$DQ$17)-1)),IF(OR(ISNUMBER(SEARCH("%",人物卡!DQ17&amp;"")),AND(ISNUMBER(人物卡!DQ17),人物卡!DQ17&gt;0,人物卡!DQ17&lt;1),LEFT(CELL("format",人物卡!DQ17),1)="P"),"",IF(人物卡!DQ17="","",人物卡!DQ17)))</f>
        <v/>
      </c>
      <c r="S75" s="10"/>
      <c r="T75" s="10"/>
      <c r="U75" s="10"/>
      <c r="V75" s="11"/>
      <c r="W75" s="27" t="str">
        <f>IF(人物卡!DW17="","",人物卡!DW17)</f>
        <v/>
      </c>
      <c r="X75" s="10"/>
      <c r="Y75" s="10"/>
      <c r="Z75" s="10"/>
      <c r="AA75" s="11"/>
      <c r="AB75" s="27" t="str">
        <f ca="1">IF(AND(ISNUMBER(SEARCH("/",人物卡!$DQ$17&amp;"")),ISNUMBER(SEARCH("%",人物卡!$DQ$17&amp;"")),ISERROR(SEARCH("%",LEFT(人物卡!$DQ$17&amp;"",IFERROR(FIND("/",人物卡!$DQ$17&amp;""),1)-1)))),TRIM(MID(人物卡!$DQ$17,FIND("/",人物卡!$DQ$17)+1,99)),IF(OR(ISNUMBER(SEARCH("%",人物卡!DQ17&amp;"")),AND(ISNUMBER(人物卡!DQ17),人物卡!DQ17&gt;0,人物卡!DQ17&lt;1),LEFT(CELL("format",人物卡!DQ17),1)="P"),IF(ISNUMBER(人物卡!DQ17),TEXT(人物卡!DQ17,"0%"),人物卡!DQ17),""))</f>
        <v/>
      </c>
      <c r="AC75" s="10"/>
      <c r="AD75" s="10"/>
      <c r="AE75" s="11"/>
      <c r="AF75" s="27" t="str">
        <f>IF(人物卡!ED17="","",人物卡!ED17)</f>
        <v/>
      </c>
      <c r="AG75" s="10"/>
      <c r="AH75" s="11"/>
      <c r="AI75" s="15"/>
      <c r="AJ75" s="11"/>
    </row>
    <row r="76" ht="14.4" customHeight="1" spans="1:36">
      <c r="A76" s="19" t="s">
        <v>3347</v>
      </c>
      <c r="B76" s="11"/>
      <c r="C76" s="14" t="str">
        <f>IF(人物卡!CZ18="","",人物卡!CZ18)</f>
        <v/>
      </c>
      <c r="D76" s="10"/>
      <c r="E76" s="10"/>
      <c r="F76" s="10"/>
      <c r="G76" s="10"/>
      <c r="H76" s="11"/>
      <c r="I76" s="27" t="str">
        <f ca="1">IF(人物卡!DM18="","",人物卡!DM18)</f>
        <v/>
      </c>
      <c r="J76" s="10"/>
      <c r="K76" s="10"/>
      <c r="L76" s="11"/>
      <c r="M76" s="27" t="str">
        <f>IF(人物卡!DZ18="","",人物卡!DZ18)</f>
        <v/>
      </c>
      <c r="N76" s="10"/>
      <c r="O76" s="10"/>
      <c r="P76" s="10"/>
      <c r="Q76" s="11"/>
      <c r="R76" s="27" t="str">
        <f ca="1">IF(AND(ISNUMBER(SEARCH("/",人物卡!$DQ$18&amp;"")),ISNUMBER(SEARCH("%",人物卡!$DQ$18&amp;"")),ISERROR(SEARCH("%",LEFT(人物卡!$DQ$18&amp;"",IFERROR(FIND("/",人物卡!$DQ$18&amp;""),1)-1)))),TRIM(LEFT(人物卡!$DQ$18,FIND("/",人物卡!$DQ$18)-1)),IF(OR(ISNUMBER(SEARCH("%",人物卡!DQ18&amp;"")),AND(ISNUMBER(人物卡!DQ18),人物卡!DQ18&gt;0,人物卡!DQ18&lt;1),LEFT(CELL("format",人物卡!DQ18),1)="P"),"",IF(人物卡!DQ18="","",人物卡!DQ18)))</f>
        <v/>
      </c>
      <c r="S76" s="10"/>
      <c r="T76" s="10"/>
      <c r="U76" s="10"/>
      <c r="V76" s="11"/>
      <c r="W76" s="27" t="str">
        <f>IF(人物卡!DW18="","",人物卡!DW18)</f>
        <v/>
      </c>
      <c r="X76" s="10"/>
      <c r="Y76" s="10"/>
      <c r="Z76" s="10"/>
      <c r="AA76" s="11"/>
      <c r="AB76" s="27" t="str">
        <f ca="1">IF(AND(ISNUMBER(SEARCH("/",人物卡!$DQ$18&amp;"")),ISNUMBER(SEARCH("%",人物卡!$DQ$18&amp;"")),ISERROR(SEARCH("%",LEFT(人物卡!$DQ$18&amp;"",IFERROR(FIND("/",人物卡!$DQ$18&amp;""),1)-1)))),TRIM(MID(人物卡!$DQ$18,FIND("/",人物卡!$DQ$18)+1,99)),IF(OR(ISNUMBER(SEARCH("%",人物卡!DQ18&amp;"")),AND(ISNUMBER(人物卡!DQ18),人物卡!DQ18&gt;0,人物卡!DQ18&lt;1),LEFT(CELL("format",人物卡!DQ18),1)="P"),IF(ISNUMBER(人物卡!DQ18),TEXT(人物卡!DQ18,"0%"),人物卡!DQ18),""))</f>
        <v/>
      </c>
      <c r="AC76" s="10"/>
      <c r="AD76" s="10"/>
      <c r="AE76" s="11"/>
      <c r="AF76" s="27" t="str">
        <f>IF(人物卡!ED18="","",人物卡!ED18)</f>
        <v/>
      </c>
      <c r="AG76" s="10"/>
      <c r="AH76" s="11"/>
      <c r="AI76" s="15"/>
      <c r="AJ76" s="11"/>
    </row>
    <row r="77" ht="14.4" customHeight="1" spans="1:36">
      <c r="A77" s="19" t="s">
        <v>3348</v>
      </c>
      <c r="B77" s="11"/>
      <c r="C77" s="14" t="str">
        <f>IF(人物卡!CZ19="","",人物卡!CZ19)</f>
        <v/>
      </c>
      <c r="D77" s="10"/>
      <c r="E77" s="10"/>
      <c r="F77" s="10"/>
      <c r="G77" s="10"/>
      <c r="H77" s="11"/>
      <c r="I77" s="27" t="str">
        <f ca="1">IF(人物卡!DM19="","",人物卡!DM19)</f>
        <v/>
      </c>
      <c r="J77" s="10"/>
      <c r="K77" s="10"/>
      <c r="L77" s="11"/>
      <c r="M77" s="27" t="str">
        <f>IF(人物卡!DZ19="","",人物卡!DZ19)</f>
        <v/>
      </c>
      <c r="N77" s="10"/>
      <c r="O77" s="10"/>
      <c r="P77" s="10"/>
      <c r="Q77" s="11"/>
      <c r="R77" s="27" t="str">
        <f ca="1">IF(AND(ISNUMBER(SEARCH("/",人物卡!$DQ$19&amp;"")),ISNUMBER(SEARCH("%",人物卡!$DQ$19&amp;"")),ISERROR(SEARCH("%",LEFT(人物卡!$DQ$19&amp;"",IFERROR(FIND("/",人物卡!$DQ$19&amp;""),1)-1)))),TRIM(LEFT(人物卡!$DQ$19,FIND("/",人物卡!$DQ$19)-1)),IF(OR(ISNUMBER(SEARCH("%",人物卡!DQ19&amp;"")),AND(ISNUMBER(人物卡!DQ19),人物卡!DQ19&gt;0,人物卡!DQ19&lt;1),LEFT(CELL("format",人物卡!DQ19),1)="P"),"",IF(人物卡!DQ19="","",人物卡!DQ19)))</f>
        <v/>
      </c>
      <c r="S77" s="10"/>
      <c r="T77" s="10"/>
      <c r="U77" s="10"/>
      <c r="V77" s="11"/>
      <c r="W77" s="27" t="str">
        <f>IF(人物卡!DW19="","",人物卡!DW19)</f>
        <v/>
      </c>
      <c r="X77" s="10"/>
      <c r="Y77" s="10"/>
      <c r="Z77" s="10"/>
      <c r="AA77" s="11"/>
      <c r="AB77" s="27" t="str">
        <f ca="1">IF(AND(ISNUMBER(SEARCH("/",人物卡!$DQ$19&amp;"")),ISNUMBER(SEARCH("%",人物卡!$DQ$19&amp;"")),ISERROR(SEARCH("%",LEFT(人物卡!$DQ$19&amp;"",IFERROR(FIND("/",人物卡!$DQ$19&amp;""),1)-1)))),TRIM(MID(人物卡!$DQ$19,FIND("/",人物卡!$DQ$19)+1,99)),IF(OR(ISNUMBER(SEARCH("%",人物卡!DQ19&amp;"")),AND(ISNUMBER(人物卡!DQ19),人物卡!DQ19&gt;0,人物卡!DQ19&lt;1),LEFT(CELL("format",人物卡!DQ19),1)="P"),IF(ISNUMBER(人物卡!DQ19),TEXT(人物卡!DQ19,"0%"),人物卡!DQ19),""))</f>
        <v/>
      </c>
      <c r="AC77" s="10"/>
      <c r="AD77" s="10"/>
      <c r="AE77" s="11"/>
      <c r="AF77" s="27" t="str">
        <f>IF(人物卡!ED19="","",人物卡!ED19)</f>
        <v/>
      </c>
      <c r="AG77" s="10"/>
      <c r="AH77" s="11"/>
      <c r="AI77" s="15"/>
      <c r="AJ77" s="11"/>
    </row>
    <row r="78" ht="14.4" customHeight="1" spans="1:36">
      <c r="A78" s="19" t="s">
        <v>3349</v>
      </c>
      <c r="B78" s="11"/>
      <c r="C78" s="14" t="str">
        <f>IF(人物卡!CZ20="","",人物卡!CZ20)</f>
        <v/>
      </c>
      <c r="D78" s="10"/>
      <c r="E78" s="10"/>
      <c r="F78" s="10"/>
      <c r="G78" s="10"/>
      <c r="H78" s="11"/>
      <c r="I78" s="27" t="str">
        <f ca="1">IF(人物卡!DM20="","",人物卡!DM20)</f>
        <v/>
      </c>
      <c r="J78" s="10"/>
      <c r="K78" s="10"/>
      <c r="L78" s="11"/>
      <c r="M78" s="27" t="str">
        <f>IF(人物卡!DZ20="","",人物卡!DZ20)</f>
        <v/>
      </c>
      <c r="N78" s="10"/>
      <c r="O78" s="10"/>
      <c r="P78" s="10"/>
      <c r="Q78" s="11"/>
      <c r="R78" s="27" t="str">
        <f ca="1">IF(AND(ISNUMBER(SEARCH("/",人物卡!$DQ$20&amp;"")),ISNUMBER(SEARCH("%",人物卡!$DQ$20&amp;"")),ISERROR(SEARCH("%",LEFT(人物卡!$DQ$20&amp;"",IFERROR(FIND("/",人物卡!$DQ$20&amp;""),1)-1)))),TRIM(LEFT(人物卡!$DQ$20,FIND("/",人物卡!$DQ$20)-1)),IF(OR(ISNUMBER(SEARCH("%",人物卡!DQ20&amp;"")),AND(ISNUMBER(人物卡!DQ20),人物卡!DQ20&gt;0,人物卡!DQ20&lt;1),LEFT(CELL("format",人物卡!DQ20),1)="P"),"",IF(人物卡!DQ20="","",人物卡!DQ20)))</f>
        <v/>
      </c>
      <c r="S78" s="10"/>
      <c r="T78" s="10"/>
      <c r="U78" s="10"/>
      <c r="V78" s="11"/>
      <c r="W78" s="27" t="str">
        <f>IF(人物卡!DW20="","",人物卡!DW20)</f>
        <v/>
      </c>
      <c r="X78" s="10"/>
      <c r="Y78" s="10"/>
      <c r="Z78" s="10"/>
      <c r="AA78" s="11"/>
      <c r="AB78" s="27" t="str">
        <f ca="1">IF(AND(ISNUMBER(SEARCH("/",人物卡!$DQ$20&amp;"")),ISNUMBER(SEARCH("%",人物卡!$DQ$20&amp;"")),ISERROR(SEARCH("%",LEFT(人物卡!$DQ$20&amp;"",IFERROR(FIND("/",人物卡!$DQ$20&amp;""),1)-1)))),TRIM(MID(人物卡!$DQ$20,FIND("/",人物卡!$DQ$20)+1,99)),IF(OR(ISNUMBER(SEARCH("%",人物卡!DQ20&amp;"")),AND(ISNUMBER(人物卡!DQ20),人物卡!DQ20&gt;0,人物卡!DQ20&lt;1),LEFT(CELL("format",人物卡!DQ20),1)="P"),IF(ISNUMBER(人物卡!DQ20),TEXT(人物卡!DQ20,"0%"),人物卡!DQ20),""))</f>
        <v/>
      </c>
      <c r="AC78" s="10"/>
      <c r="AD78" s="10"/>
      <c r="AE78" s="11"/>
      <c r="AF78" s="27" t="str">
        <f>IF(人物卡!ED20="","",人物卡!ED20)</f>
        <v/>
      </c>
      <c r="AG78" s="10"/>
      <c r="AH78" s="11"/>
      <c r="AI78" s="15"/>
      <c r="AJ78" s="11"/>
    </row>
    <row r="79" ht="14.4" customHeight="1" spans="1:36">
      <c r="A79" s="9" t="s">
        <v>3350</v>
      </c>
      <c r="B79" s="10"/>
      <c r="C79" s="10"/>
      <c r="D79" s="10"/>
      <c r="E79" s="10"/>
      <c r="F79" s="10"/>
      <c r="G79" s="10"/>
      <c r="H79" s="10"/>
      <c r="I79" s="10"/>
      <c r="J79" s="10"/>
      <c r="K79" s="10"/>
      <c r="L79" s="10"/>
      <c r="M79" s="10"/>
      <c r="N79" s="10"/>
      <c r="O79" s="10"/>
      <c r="P79" s="10"/>
      <c r="Q79" s="10"/>
      <c r="R79" s="11"/>
      <c r="S79" s="9" t="s">
        <v>3351</v>
      </c>
      <c r="T79" s="10"/>
      <c r="U79" s="10"/>
      <c r="V79" s="10"/>
      <c r="W79" s="10"/>
      <c r="X79" s="10"/>
      <c r="Y79" s="10"/>
      <c r="Z79" s="10"/>
      <c r="AA79" s="10"/>
      <c r="AB79" s="10"/>
      <c r="AC79" s="10"/>
      <c r="AD79" s="10"/>
      <c r="AE79" s="10"/>
      <c r="AF79" s="10"/>
      <c r="AG79" s="10"/>
      <c r="AH79" s="10"/>
      <c r="AI79" s="10"/>
      <c r="AJ79" s="11"/>
    </row>
    <row r="80" ht="14.4" customHeight="1" spans="1:36">
      <c r="A80" s="18" t="str">
        <f>IFERROR(MID(""&amp;IF((IF(人物卡!BI27="","",人物卡!BI27))="","",CHAR(10)&amp;(IF(人物卡!BI27="","",人物卡!BI27)))&amp;IF((IF(人物卡!EI23="","",人物卡!EI23))="","",CHAR(10)&amp;(IF(人物卡!EI23="","",人物卡!EI23))),2,32767),"")</f>
        <v/>
      </c>
      <c r="B80" s="2"/>
      <c r="C80" s="2"/>
      <c r="D80" s="2"/>
      <c r="E80" s="2"/>
      <c r="F80" s="2"/>
      <c r="G80" s="2"/>
      <c r="H80" s="2"/>
      <c r="I80" s="2"/>
      <c r="J80" s="2"/>
      <c r="K80" s="2"/>
      <c r="L80" s="2"/>
      <c r="M80" s="2"/>
      <c r="N80" s="2"/>
      <c r="O80" s="2"/>
      <c r="P80" s="2"/>
      <c r="Q80" s="2"/>
      <c r="R80" s="3"/>
      <c r="S80" s="26"/>
      <c r="T80" s="2"/>
      <c r="U80" s="2"/>
      <c r="V80" s="2"/>
      <c r="W80" s="2"/>
      <c r="X80" s="2"/>
      <c r="Y80" s="2"/>
      <c r="Z80" s="2"/>
      <c r="AA80" s="2"/>
      <c r="AB80" s="2"/>
      <c r="AC80" s="2"/>
      <c r="AD80" s="2"/>
      <c r="AE80" s="2"/>
      <c r="AF80" s="2"/>
      <c r="AG80" s="2"/>
      <c r="AH80" s="2"/>
      <c r="AI80" s="2"/>
      <c r="AJ80" s="3"/>
    </row>
    <row r="81" ht="14.4" customHeight="1" spans="1:36">
      <c r="A81" s="4"/>
      <c r="R81" s="5"/>
      <c r="S81" s="4"/>
      <c r="AJ81" s="5"/>
    </row>
    <row r="82" ht="14.4" customHeight="1" spans="1:36">
      <c r="A82" s="4"/>
      <c r="R82" s="5"/>
      <c r="S82" s="4"/>
      <c r="AJ82" s="5"/>
    </row>
    <row r="83" ht="14.4" customHeight="1" spans="1:36">
      <c r="A83" s="4"/>
      <c r="R83" s="5"/>
      <c r="S83" s="6"/>
      <c r="T83" s="7"/>
      <c r="U83" s="7"/>
      <c r="V83" s="7"/>
      <c r="W83" s="7"/>
      <c r="X83" s="7"/>
      <c r="Y83" s="7"/>
      <c r="Z83" s="7"/>
      <c r="AA83" s="7"/>
      <c r="AB83" s="7"/>
      <c r="AC83" s="7"/>
      <c r="AD83" s="7"/>
      <c r="AE83" s="7"/>
      <c r="AF83" s="7"/>
      <c r="AG83" s="7"/>
      <c r="AH83" s="7"/>
      <c r="AI83" s="7"/>
      <c r="AJ83" s="8"/>
    </row>
    <row r="84" ht="14.4" customHeight="1" spans="1:36">
      <c r="A84" s="4"/>
      <c r="R84" s="5"/>
      <c r="S84" s="9" t="s">
        <v>3352</v>
      </c>
      <c r="T84" s="10"/>
      <c r="U84" s="10"/>
      <c r="V84" s="10"/>
      <c r="W84" s="10"/>
      <c r="X84" s="10"/>
      <c r="Y84" s="10"/>
      <c r="Z84" s="10"/>
      <c r="AA84" s="11"/>
      <c r="AB84" s="9" t="s">
        <v>8</v>
      </c>
      <c r="AC84" s="10"/>
      <c r="AD84" s="10"/>
      <c r="AE84" s="10"/>
      <c r="AF84" s="10"/>
      <c r="AG84" s="10"/>
      <c r="AH84" s="10"/>
      <c r="AI84" s="10"/>
      <c r="AJ84" s="11"/>
    </row>
    <row r="85" ht="14.4" customHeight="1" spans="1:36">
      <c r="A85" s="4"/>
      <c r="R85" s="5"/>
      <c r="S85" s="14" t="str">
        <f>IF(人物卡!BX3="","",人物卡!BX3)</f>
        <v/>
      </c>
      <c r="T85" s="10"/>
      <c r="U85" s="10"/>
      <c r="V85" s="10"/>
      <c r="W85" s="10"/>
      <c r="X85" s="10"/>
      <c r="Y85" s="10"/>
      <c r="Z85" s="10"/>
      <c r="AA85" s="11"/>
      <c r="AB85" s="14" t="str">
        <f>IF(人物卡!CP3="","",人物卡!CP3)</f>
        <v/>
      </c>
      <c r="AC85" s="10"/>
      <c r="AD85" s="10"/>
      <c r="AE85" s="10"/>
      <c r="AF85" s="10"/>
      <c r="AG85" s="10"/>
      <c r="AH85" s="10"/>
      <c r="AI85" s="10"/>
      <c r="AJ85" s="11"/>
    </row>
    <row r="86" ht="14.4" customHeight="1" spans="1:36">
      <c r="A86" s="4"/>
      <c r="R86" s="5"/>
      <c r="S86" s="14" t="str">
        <f>IF(人物卡!BX4="","",人物卡!BX4)</f>
        <v/>
      </c>
      <c r="T86" s="10"/>
      <c r="U86" s="10"/>
      <c r="V86" s="10"/>
      <c r="W86" s="10"/>
      <c r="X86" s="10"/>
      <c r="Y86" s="10"/>
      <c r="Z86" s="10"/>
      <c r="AA86" s="11"/>
      <c r="AB86" s="14" t="str">
        <f>IF(人物卡!CP4="","",人物卡!CP4)</f>
        <v/>
      </c>
      <c r="AC86" s="10"/>
      <c r="AD86" s="10"/>
      <c r="AE86" s="10"/>
      <c r="AF86" s="10"/>
      <c r="AG86" s="10"/>
      <c r="AH86" s="10"/>
      <c r="AI86" s="10"/>
      <c r="AJ86" s="11"/>
    </row>
    <row r="87" ht="14.4" customHeight="1" spans="1:36">
      <c r="A87" s="4"/>
      <c r="R87" s="5"/>
      <c r="S87" s="14" t="str">
        <f>IF(人物卡!BX5="","",人物卡!BX5)</f>
        <v/>
      </c>
      <c r="T87" s="10"/>
      <c r="U87" s="10"/>
      <c r="V87" s="10"/>
      <c r="W87" s="10"/>
      <c r="X87" s="10"/>
      <c r="Y87" s="10"/>
      <c r="Z87" s="10"/>
      <c r="AA87" s="11"/>
      <c r="AB87" s="14" t="str">
        <f>IF(人物卡!CP5="","",人物卡!CP5)</f>
        <v/>
      </c>
      <c r="AC87" s="10"/>
      <c r="AD87" s="10"/>
      <c r="AE87" s="10"/>
      <c r="AF87" s="10"/>
      <c r="AG87" s="10"/>
      <c r="AH87" s="10"/>
      <c r="AI87" s="10"/>
      <c r="AJ87" s="11"/>
    </row>
    <row r="88" ht="14.4" customHeight="1" spans="1:36">
      <c r="A88" s="4"/>
      <c r="R88" s="5"/>
      <c r="S88" s="14" t="str">
        <f>IF(人物卡!BX6="","",人物卡!BX6)</f>
        <v/>
      </c>
      <c r="T88" s="10"/>
      <c r="U88" s="10"/>
      <c r="V88" s="10"/>
      <c r="W88" s="10"/>
      <c r="X88" s="10"/>
      <c r="Y88" s="10"/>
      <c r="Z88" s="10"/>
      <c r="AA88" s="11"/>
      <c r="AB88" s="14" t="str">
        <f>IF(人物卡!CP6="","",人物卡!CP6)</f>
        <v/>
      </c>
      <c r="AC88" s="10"/>
      <c r="AD88" s="10"/>
      <c r="AE88" s="10"/>
      <c r="AF88" s="10"/>
      <c r="AG88" s="10"/>
      <c r="AH88" s="10"/>
      <c r="AI88" s="10"/>
      <c r="AJ88" s="11"/>
    </row>
    <row r="89" ht="14.4" customHeight="1" spans="1:36">
      <c r="A89" s="4"/>
      <c r="R89" s="5"/>
      <c r="S89" s="14" t="str">
        <f>IF(人物卡!BX7="","",人物卡!BX7)</f>
        <v/>
      </c>
      <c r="T89" s="10"/>
      <c r="U89" s="10"/>
      <c r="V89" s="10"/>
      <c r="W89" s="10"/>
      <c r="X89" s="10"/>
      <c r="Y89" s="10"/>
      <c r="Z89" s="10"/>
      <c r="AA89" s="11"/>
      <c r="AB89" s="14" t="str">
        <f>IF(人物卡!CP7="","",人物卡!CP7)</f>
        <v/>
      </c>
      <c r="AC89" s="10"/>
      <c r="AD89" s="10"/>
      <c r="AE89" s="10"/>
      <c r="AF89" s="10"/>
      <c r="AG89" s="10"/>
      <c r="AH89" s="10"/>
      <c r="AI89" s="10"/>
      <c r="AJ89" s="11"/>
    </row>
    <row r="90" ht="14.4" customHeight="1" spans="1:36">
      <c r="A90" s="4"/>
      <c r="R90" s="5"/>
      <c r="S90" s="14" t="str">
        <f>IF(人物卡!BX8="","",人物卡!BX8)</f>
        <v/>
      </c>
      <c r="T90" s="10"/>
      <c r="U90" s="10"/>
      <c r="V90" s="10"/>
      <c r="W90" s="10"/>
      <c r="X90" s="10"/>
      <c r="Y90" s="10"/>
      <c r="Z90" s="10"/>
      <c r="AA90" s="11"/>
      <c r="AB90" s="14" t="str">
        <f>IF(人物卡!CP8="","",人物卡!CP8)</f>
        <v/>
      </c>
      <c r="AC90" s="10"/>
      <c r="AD90" s="10"/>
      <c r="AE90" s="10"/>
      <c r="AF90" s="10"/>
      <c r="AG90" s="10"/>
      <c r="AH90" s="10"/>
      <c r="AI90" s="10"/>
      <c r="AJ90" s="11"/>
    </row>
    <row r="91" ht="14.4" customHeight="1" spans="1:36">
      <c r="A91" s="4"/>
      <c r="R91" s="5"/>
      <c r="S91" s="14" t="str">
        <f>IF(人物卡!BX9="","",人物卡!BX9)</f>
        <v/>
      </c>
      <c r="T91" s="10"/>
      <c r="U91" s="10"/>
      <c r="V91" s="10"/>
      <c r="W91" s="10"/>
      <c r="X91" s="10"/>
      <c r="Y91" s="10"/>
      <c r="Z91" s="10"/>
      <c r="AA91" s="11"/>
      <c r="AB91" s="14" t="str">
        <f>IF(人物卡!CP9="","",人物卡!CP9)</f>
        <v/>
      </c>
      <c r="AC91" s="10"/>
      <c r="AD91" s="10"/>
      <c r="AE91" s="10"/>
      <c r="AF91" s="10"/>
      <c r="AG91" s="10"/>
      <c r="AH91" s="10"/>
      <c r="AI91" s="10"/>
      <c r="AJ91" s="11"/>
    </row>
    <row r="92" ht="14.4" customHeight="1" spans="1:36">
      <c r="A92" s="4"/>
      <c r="R92" s="5"/>
      <c r="S92" s="14" t="str">
        <f>IF(人物卡!BX10="","",人物卡!BX10)</f>
        <v/>
      </c>
      <c r="T92" s="10"/>
      <c r="U92" s="10"/>
      <c r="V92" s="10"/>
      <c r="W92" s="10"/>
      <c r="X92" s="10"/>
      <c r="Y92" s="10"/>
      <c r="Z92" s="10"/>
      <c r="AA92" s="11"/>
      <c r="AB92" s="14" t="str">
        <f>IF(人物卡!CP10="","",人物卡!CP10)</f>
        <v/>
      </c>
      <c r="AC92" s="10"/>
      <c r="AD92" s="10"/>
      <c r="AE92" s="10"/>
      <c r="AF92" s="10"/>
      <c r="AG92" s="10"/>
      <c r="AH92" s="10"/>
      <c r="AI92" s="10"/>
      <c r="AJ92" s="11"/>
    </row>
    <row r="93" ht="14.4" customHeight="1" spans="1:36">
      <c r="A93" s="6"/>
      <c r="B93" s="7"/>
      <c r="C93" s="7"/>
      <c r="D93" s="7"/>
      <c r="E93" s="7"/>
      <c r="F93" s="7"/>
      <c r="G93" s="7"/>
      <c r="H93" s="7"/>
      <c r="I93" s="7"/>
      <c r="J93" s="7"/>
      <c r="K93" s="7"/>
      <c r="L93" s="7"/>
      <c r="M93" s="7"/>
      <c r="N93" s="7"/>
      <c r="O93" s="7"/>
      <c r="P93" s="7"/>
      <c r="Q93" s="7"/>
      <c r="R93" s="8"/>
      <c r="S93" s="14" t="str">
        <f>IF(人物卡!BX11="","",人物卡!BX11)</f>
        <v/>
      </c>
      <c r="T93" s="10"/>
      <c r="U93" s="10"/>
      <c r="V93" s="10"/>
      <c r="W93" s="10"/>
      <c r="X93" s="10"/>
      <c r="Y93" s="10"/>
      <c r="Z93" s="10"/>
      <c r="AA93" s="11"/>
      <c r="AB93" s="14" t="str">
        <f>IF(人物卡!CP11="","",人物卡!CP11)</f>
        <v/>
      </c>
      <c r="AC93" s="10"/>
      <c r="AD93" s="10"/>
      <c r="AE93" s="10"/>
      <c r="AF93" s="10"/>
      <c r="AG93" s="10"/>
      <c r="AH93" s="10"/>
      <c r="AI93" s="10"/>
      <c r="AJ93" s="11"/>
    </row>
    <row r="94" ht="14.4" customHeight="1" spans="1:36">
      <c r="A94" s="9" t="s">
        <v>3353</v>
      </c>
      <c r="B94" s="10"/>
      <c r="C94" s="10"/>
      <c r="D94" s="10"/>
      <c r="E94" s="10"/>
      <c r="F94" s="10"/>
      <c r="G94" s="10"/>
      <c r="H94" s="10"/>
      <c r="I94" s="10"/>
      <c r="J94" s="10"/>
      <c r="K94" s="10"/>
      <c r="L94" s="10"/>
      <c r="M94" s="10"/>
      <c r="N94" s="11"/>
      <c r="O94" s="9" t="s">
        <v>3308</v>
      </c>
      <c r="P94" s="10"/>
      <c r="Q94" s="10"/>
      <c r="R94" s="11"/>
      <c r="S94" s="21" t="s">
        <v>3354</v>
      </c>
      <c r="T94" s="2"/>
      <c r="U94" s="2"/>
      <c r="V94" s="2"/>
      <c r="W94" s="2"/>
      <c r="X94" s="2"/>
      <c r="Y94" s="2"/>
      <c r="Z94" s="2"/>
      <c r="AA94" s="2"/>
      <c r="AB94" s="2"/>
      <c r="AC94" s="2"/>
      <c r="AD94" s="2"/>
      <c r="AE94" s="2"/>
      <c r="AF94" s="2"/>
      <c r="AG94" s="2"/>
      <c r="AH94" s="2"/>
      <c r="AI94" s="2"/>
      <c r="AJ94" s="3"/>
    </row>
    <row r="95" ht="14.4" customHeight="1" spans="1:36">
      <c r="A95" s="13" t="str">
        <f>IF(人物卡!CZ38="","",IF(人物卡!EF39="√","[DG] ","")&amp;人物卡!CZ38)</f>
        <v/>
      </c>
      <c r="B95" s="10"/>
      <c r="C95" s="10"/>
      <c r="D95" s="10"/>
      <c r="E95" s="10"/>
      <c r="F95" s="10"/>
      <c r="G95" s="10"/>
      <c r="H95" s="10"/>
      <c r="I95" s="10"/>
      <c r="J95" s="10"/>
      <c r="K95" s="10"/>
      <c r="L95" s="10"/>
      <c r="M95" s="10"/>
      <c r="N95" s="11"/>
      <c r="O95" s="15" t="str">
        <f>IF(人物卡!ED39="","",人物卡!ED39)</f>
        <v/>
      </c>
      <c r="P95" s="10"/>
      <c r="Q95" s="10"/>
      <c r="R95" s="11"/>
      <c r="S95" s="4"/>
      <c r="AJ95" s="5"/>
    </row>
    <row r="96" ht="14.4" customHeight="1" spans="1:36">
      <c r="A96" s="13" t="str">
        <f>IF(人物卡!CZ41="","",IF(人物卡!EF42="√","[DG] ","")&amp;人物卡!CZ41)</f>
        <v/>
      </c>
      <c r="B96" s="10"/>
      <c r="C96" s="10"/>
      <c r="D96" s="10"/>
      <c r="E96" s="10"/>
      <c r="F96" s="10"/>
      <c r="G96" s="10"/>
      <c r="H96" s="10"/>
      <c r="I96" s="10"/>
      <c r="J96" s="10"/>
      <c r="K96" s="10"/>
      <c r="L96" s="10"/>
      <c r="M96" s="10"/>
      <c r="N96" s="11"/>
      <c r="O96" s="15" t="str">
        <f>IF(人物卡!ED42="","",人物卡!ED42)</f>
        <v/>
      </c>
      <c r="P96" s="10"/>
      <c r="Q96" s="10"/>
      <c r="R96" s="11"/>
      <c r="S96" s="6"/>
      <c r="T96" s="7"/>
      <c r="U96" s="7"/>
      <c r="V96" s="7"/>
      <c r="W96" s="7"/>
      <c r="X96" s="7"/>
      <c r="Y96" s="7"/>
      <c r="Z96" s="7"/>
      <c r="AA96" s="7"/>
      <c r="AB96" s="7"/>
      <c r="AC96" s="7"/>
      <c r="AD96" s="7"/>
      <c r="AE96" s="7"/>
      <c r="AF96" s="7"/>
      <c r="AG96" s="7"/>
      <c r="AH96" s="7"/>
      <c r="AI96" s="7"/>
      <c r="AJ96" s="8"/>
    </row>
    <row r="97" ht="14.4" customHeight="1" spans="1:36">
      <c r="A97" s="9" t="s">
        <v>3355</v>
      </c>
      <c r="B97" s="10"/>
      <c r="C97" s="10"/>
      <c r="D97" s="10"/>
      <c r="E97" s="10"/>
      <c r="F97" s="10"/>
      <c r="G97" s="10"/>
      <c r="H97" s="10"/>
      <c r="I97" s="10"/>
      <c r="J97" s="10"/>
      <c r="K97" s="10"/>
      <c r="L97" s="10"/>
      <c r="M97" s="10"/>
      <c r="N97" s="10"/>
      <c r="O97" s="10"/>
      <c r="P97" s="10"/>
      <c r="Q97" s="10"/>
      <c r="R97" s="11"/>
      <c r="S97" s="9" t="s">
        <v>3356</v>
      </c>
      <c r="T97" s="10"/>
      <c r="U97" s="10"/>
      <c r="V97" s="10"/>
      <c r="W97" s="10"/>
      <c r="X97" s="10"/>
      <c r="Y97" s="10"/>
      <c r="Z97" s="10"/>
      <c r="AA97" s="10"/>
      <c r="AB97" s="10"/>
      <c r="AC97" s="10"/>
      <c r="AD97" s="10"/>
      <c r="AE97" s="10"/>
      <c r="AF97" s="10"/>
      <c r="AG97" s="10"/>
      <c r="AH97" s="10"/>
      <c r="AI97" s="10"/>
      <c r="AJ97" s="11"/>
    </row>
    <row r="98" ht="14.4" customHeight="1" spans="1:36">
      <c r="A98" s="13"/>
      <c r="B98" s="2"/>
      <c r="C98" s="2"/>
      <c r="D98" s="2"/>
      <c r="E98" s="2"/>
      <c r="F98" s="2"/>
      <c r="G98" s="2"/>
      <c r="H98" s="2"/>
      <c r="I98" s="2"/>
      <c r="J98" s="2"/>
      <c r="K98" s="2"/>
      <c r="L98" s="2"/>
      <c r="M98" s="2"/>
      <c r="N98" s="2"/>
      <c r="O98" s="2"/>
      <c r="P98" s="2"/>
      <c r="Q98" s="2"/>
      <c r="R98" s="3"/>
      <c r="S98" s="13"/>
      <c r="T98" s="2"/>
      <c r="U98" s="2"/>
      <c r="V98" s="2"/>
      <c r="W98" s="2"/>
      <c r="X98" s="2"/>
      <c r="Y98" s="2"/>
      <c r="Z98" s="2"/>
      <c r="AA98" s="2"/>
      <c r="AB98" s="2"/>
      <c r="AC98" s="2"/>
      <c r="AD98" s="2"/>
      <c r="AE98" s="2"/>
      <c r="AF98" s="2"/>
      <c r="AG98" s="2"/>
      <c r="AH98" s="2"/>
      <c r="AI98" s="2"/>
      <c r="AJ98" s="3"/>
    </row>
    <row r="99" ht="14.4" customHeight="1" spans="1:36">
      <c r="A99" s="4"/>
      <c r="R99" s="5"/>
      <c r="S99" s="4"/>
      <c r="AJ99" s="5"/>
    </row>
    <row r="100" ht="14.4" customHeight="1" spans="1:36">
      <c r="A100" s="6"/>
      <c r="B100" s="7"/>
      <c r="C100" s="7"/>
      <c r="D100" s="7"/>
      <c r="E100" s="7"/>
      <c r="F100" s="7"/>
      <c r="G100" s="7"/>
      <c r="H100" s="7"/>
      <c r="I100" s="7"/>
      <c r="J100" s="7"/>
      <c r="K100" s="7"/>
      <c r="L100" s="7"/>
      <c r="M100" s="7"/>
      <c r="N100" s="7"/>
      <c r="O100" s="7"/>
      <c r="P100" s="7"/>
      <c r="Q100" s="7"/>
      <c r="R100" s="8"/>
      <c r="S100" s="6"/>
      <c r="T100" s="7"/>
      <c r="U100" s="7"/>
      <c r="V100" s="7"/>
      <c r="W100" s="7"/>
      <c r="X100" s="7"/>
      <c r="Y100" s="7"/>
      <c r="Z100" s="7"/>
      <c r="AA100" s="7"/>
      <c r="AB100" s="7"/>
      <c r="AC100" s="7"/>
      <c r="AD100" s="7"/>
      <c r="AE100" s="7"/>
      <c r="AF100" s="7"/>
      <c r="AG100" s="7"/>
      <c r="AH100" s="7"/>
      <c r="AI100" s="7"/>
      <c r="AJ100" s="8"/>
    </row>
    <row r="101" ht="14.4" customHeight="1" spans="1:36">
      <c r="A101" s="28" t="s">
        <v>3357</v>
      </c>
      <c r="B101" s="2"/>
      <c r="C101" s="2"/>
      <c r="D101" s="2"/>
      <c r="E101" s="2"/>
      <c r="F101" s="2"/>
      <c r="G101" s="3"/>
      <c r="H101" s="29" t="s">
        <v>3358</v>
      </c>
      <c r="I101" s="2"/>
      <c r="J101" s="2"/>
      <c r="K101" s="2"/>
      <c r="L101" s="2"/>
      <c r="M101" s="3"/>
      <c r="N101" s="30" t="s">
        <v>3359</v>
      </c>
      <c r="O101" s="2"/>
      <c r="P101" s="2"/>
      <c r="Q101" s="2"/>
      <c r="R101" s="2"/>
      <c r="S101" s="2"/>
      <c r="T101" s="2"/>
      <c r="U101" s="2"/>
      <c r="V101" s="2"/>
      <c r="W101" s="2"/>
      <c r="X101" s="2"/>
      <c r="Y101" s="2"/>
      <c r="Z101" s="2"/>
      <c r="AA101" s="2"/>
      <c r="AB101" s="2"/>
      <c r="AC101" s="3"/>
      <c r="AD101" s="31" t="s">
        <v>3360</v>
      </c>
      <c r="AE101" s="2"/>
      <c r="AF101" s="2"/>
      <c r="AG101" s="2"/>
      <c r="AH101" s="2"/>
      <c r="AI101" s="2"/>
      <c r="AJ101" s="3"/>
    </row>
    <row r="102" ht="14.4" customHeight="1" spans="1:36">
      <c r="A102" s="6"/>
      <c r="B102" s="7"/>
      <c r="C102" s="7"/>
      <c r="D102" s="7"/>
      <c r="E102" s="7"/>
      <c r="F102" s="7"/>
      <c r="G102" s="8"/>
      <c r="H102" s="6"/>
      <c r="I102" s="7"/>
      <c r="J102" s="7"/>
      <c r="K102" s="7"/>
      <c r="L102" s="7"/>
      <c r="M102" s="8"/>
      <c r="N102" s="6"/>
      <c r="O102" s="7"/>
      <c r="P102" s="7"/>
      <c r="Q102" s="7"/>
      <c r="R102" s="7"/>
      <c r="S102" s="7"/>
      <c r="T102" s="7"/>
      <c r="U102" s="7"/>
      <c r="V102" s="7"/>
      <c r="W102" s="7"/>
      <c r="X102" s="7"/>
      <c r="Y102" s="7"/>
      <c r="Z102" s="7"/>
      <c r="AA102" s="7"/>
      <c r="AB102" s="7"/>
      <c r="AC102" s="8"/>
      <c r="AD102" s="6"/>
      <c r="AE102" s="7"/>
      <c r="AF102" s="7"/>
      <c r="AG102" s="7"/>
      <c r="AH102" s="7"/>
      <c r="AI102" s="7"/>
      <c r="AJ102" s="8"/>
    </row>
    <row r="103" ht="14.4" customHeight="1" spans="1:36">
      <c r="A103" s="24" t="s">
        <v>3361</v>
      </c>
    </row>
    <row r="104" ht="14.4" customHeight="1" spans="1:36">
      <c r="A104" s="24" t="s">
        <v>3362</v>
      </c>
    </row>
  </sheetData>
  <mergeCells count="329">
    <mergeCell ref="A4:R4"/>
    <mergeCell ref="S4:AJ4"/>
    <mergeCell ref="A5:R5"/>
    <mergeCell ref="S5:AJ5"/>
    <mergeCell ref="A6:R6"/>
    <mergeCell ref="S6:AJ6"/>
    <mergeCell ref="A7:R7"/>
    <mergeCell ref="S7:AJ7"/>
    <mergeCell ref="A8:G8"/>
    <mergeCell ref="H8:M8"/>
    <mergeCell ref="N8:AJ8"/>
    <mergeCell ref="A9:G9"/>
    <mergeCell ref="H9:M9"/>
    <mergeCell ref="N9:AJ9"/>
    <mergeCell ref="A10:F10"/>
    <mergeCell ref="G10:I10"/>
    <mergeCell ref="J10:L10"/>
    <mergeCell ref="M10:S10"/>
    <mergeCell ref="T10:AF10"/>
    <mergeCell ref="AG10:AJ10"/>
    <mergeCell ref="A11:F11"/>
    <mergeCell ref="G11:I11"/>
    <mergeCell ref="J11:L11"/>
    <mergeCell ref="M11:S11"/>
    <mergeCell ref="T11:AF11"/>
    <mergeCell ref="AG11:AJ11"/>
    <mergeCell ref="A12:F12"/>
    <mergeCell ref="G12:I12"/>
    <mergeCell ref="J12:L12"/>
    <mergeCell ref="M12:S12"/>
    <mergeCell ref="T12:AF12"/>
    <mergeCell ref="AG12:AJ12"/>
    <mergeCell ref="A13:F13"/>
    <mergeCell ref="G13:I13"/>
    <mergeCell ref="J13:L13"/>
    <mergeCell ref="M13:S13"/>
    <mergeCell ref="T13:AF13"/>
    <mergeCell ref="AG13:AJ13"/>
    <mergeCell ref="A14:F14"/>
    <mergeCell ref="G14:I14"/>
    <mergeCell ref="J14:L14"/>
    <mergeCell ref="M14:S14"/>
    <mergeCell ref="T14:AF14"/>
    <mergeCell ref="AG14:AJ14"/>
    <mergeCell ref="A15:F15"/>
    <mergeCell ref="G15:I15"/>
    <mergeCell ref="J15:L15"/>
    <mergeCell ref="M15:S15"/>
    <mergeCell ref="T15:AF15"/>
    <mergeCell ref="AG15:AJ15"/>
    <mergeCell ref="A16:F16"/>
    <mergeCell ref="G16:I16"/>
    <mergeCell ref="J16:L16"/>
    <mergeCell ref="M16:S16"/>
    <mergeCell ref="T16:AJ16"/>
    <mergeCell ref="A17:H17"/>
    <mergeCell ref="I17:N17"/>
    <mergeCell ref="O17:S17"/>
    <mergeCell ref="T17:AJ17"/>
    <mergeCell ref="A18:H18"/>
    <mergeCell ref="I18:N18"/>
    <mergeCell ref="O18:S18"/>
    <mergeCell ref="A19:H19"/>
    <mergeCell ref="I19:N19"/>
    <mergeCell ref="O19:S19"/>
    <mergeCell ref="A20:H20"/>
    <mergeCell ref="I20:N20"/>
    <mergeCell ref="O20:S20"/>
    <mergeCell ref="A21:H21"/>
    <mergeCell ref="I21:N21"/>
    <mergeCell ref="O21:S21"/>
    <mergeCell ref="A22:S22"/>
    <mergeCell ref="T25:AJ25"/>
    <mergeCell ref="T26:AB26"/>
    <mergeCell ref="AC26:AJ26"/>
    <mergeCell ref="A27:J27"/>
    <mergeCell ref="K27:L27"/>
    <mergeCell ref="M27:V27"/>
    <mergeCell ref="W27:X27"/>
    <mergeCell ref="Y27:AH27"/>
    <mergeCell ref="AI27:AJ27"/>
    <mergeCell ref="B28:J28"/>
    <mergeCell ref="K28:L28"/>
    <mergeCell ref="N28:V28"/>
    <mergeCell ref="W28:X28"/>
    <mergeCell ref="Z28:AH28"/>
    <mergeCell ref="AI28:AJ28"/>
    <mergeCell ref="B29:J29"/>
    <mergeCell ref="K29:L29"/>
    <mergeCell ref="N29:V29"/>
    <mergeCell ref="W29:X29"/>
    <mergeCell ref="Z29:AH29"/>
    <mergeCell ref="AI29:AJ29"/>
    <mergeCell ref="B30:J30"/>
    <mergeCell ref="K30:L30"/>
    <mergeCell ref="N30:V30"/>
    <mergeCell ref="W30:X30"/>
    <mergeCell ref="Z30:AH30"/>
    <mergeCell ref="AI30:AJ30"/>
    <mergeCell ref="B31:J31"/>
    <mergeCell ref="K31:L31"/>
    <mergeCell ref="N31:V31"/>
    <mergeCell ref="W31:X31"/>
    <mergeCell ref="Z31:AH31"/>
    <mergeCell ref="AI31:AJ31"/>
    <mergeCell ref="B32:J32"/>
    <mergeCell ref="K32:L32"/>
    <mergeCell ref="N32:V32"/>
    <mergeCell ref="W32:X32"/>
    <mergeCell ref="Z32:AH32"/>
    <mergeCell ref="AI32:AJ32"/>
    <mergeCell ref="B33:J33"/>
    <mergeCell ref="K33:L33"/>
    <mergeCell ref="N33:V33"/>
    <mergeCell ref="W33:X33"/>
    <mergeCell ref="Z33:AH33"/>
    <mergeCell ref="AI33:AJ33"/>
    <mergeCell ref="B34:J34"/>
    <mergeCell ref="K34:L34"/>
    <mergeCell ref="N34:V34"/>
    <mergeCell ref="W34:X34"/>
    <mergeCell ref="Z34:AH34"/>
    <mergeCell ref="AI34:AJ34"/>
    <mergeCell ref="B35:J35"/>
    <mergeCell ref="K35:L35"/>
    <mergeCell ref="N35:V35"/>
    <mergeCell ref="W35:X35"/>
    <mergeCell ref="Z35:AH35"/>
    <mergeCell ref="AI35:AJ35"/>
    <mergeCell ref="B36:J36"/>
    <mergeCell ref="K36:L36"/>
    <mergeCell ref="N36:V36"/>
    <mergeCell ref="W36:X36"/>
    <mergeCell ref="Z36:AH36"/>
    <mergeCell ref="AI36:AJ36"/>
    <mergeCell ref="B37:J37"/>
    <mergeCell ref="K37:L37"/>
    <mergeCell ref="N37:V37"/>
    <mergeCell ref="W37:X37"/>
    <mergeCell ref="Z37:AH37"/>
    <mergeCell ref="AI37:AJ37"/>
    <mergeCell ref="B38:J38"/>
    <mergeCell ref="K38:L38"/>
    <mergeCell ref="N38:V38"/>
    <mergeCell ref="W38:X38"/>
    <mergeCell ref="Z38:AH38"/>
    <mergeCell ref="AI38:AJ38"/>
    <mergeCell ref="B39:J39"/>
    <mergeCell ref="K39:L39"/>
    <mergeCell ref="N39:V39"/>
    <mergeCell ref="W39:X39"/>
    <mergeCell ref="Z39:AH39"/>
    <mergeCell ref="AI39:AJ39"/>
    <mergeCell ref="B40:J40"/>
    <mergeCell ref="K40:L40"/>
    <mergeCell ref="N40:V40"/>
    <mergeCell ref="W40:X40"/>
    <mergeCell ref="Z40:AH40"/>
    <mergeCell ref="AI40:AJ40"/>
    <mergeCell ref="B41:J41"/>
    <mergeCell ref="K41:L41"/>
    <mergeCell ref="N41:V41"/>
    <mergeCell ref="W41:X41"/>
    <mergeCell ref="Z41:AH41"/>
    <mergeCell ref="AI41:AJ41"/>
    <mergeCell ref="B42:J42"/>
    <mergeCell ref="K42:L42"/>
    <mergeCell ref="N42:V42"/>
    <mergeCell ref="W42:X42"/>
    <mergeCell ref="Z42:AH42"/>
    <mergeCell ref="AI42:AJ42"/>
    <mergeCell ref="B43:J43"/>
    <mergeCell ref="K43:L43"/>
    <mergeCell ref="N43:V43"/>
    <mergeCell ref="W43:X43"/>
    <mergeCell ref="Z43:AH43"/>
    <mergeCell ref="AI43:AJ43"/>
    <mergeCell ref="B44:J44"/>
    <mergeCell ref="K44:L44"/>
    <mergeCell ref="N44:V44"/>
    <mergeCell ref="W44:X44"/>
    <mergeCell ref="Z44:AH44"/>
    <mergeCell ref="AI44:AJ44"/>
    <mergeCell ref="B45:J45"/>
    <mergeCell ref="K45:L45"/>
    <mergeCell ref="N45:V45"/>
    <mergeCell ref="W45:X45"/>
    <mergeCell ref="Z45:AH45"/>
    <mergeCell ref="AI45:AJ45"/>
    <mergeCell ref="B46:J46"/>
    <mergeCell ref="K46:L46"/>
    <mergeCell ref="N46:V46"/>
    <mergeCell ref="W46:X46"/>
    <mergeCell ref="Z46:AH46"/>
    <mergeCell ref="AI46:AJ46"/>
    <mergeCell ref="B47:J47"/>
    <mergeCell ref="K47:L47"/>
    <mergeCell ref="N47:V47"/>
    <mergeCell ref="W47:X47"/>
    <mergeCell ref="Z47:AH47"/>
    <mergeCell ref="AI47:AJ47"/>
    <mergeCell ref="A50:AJ50"/>
    <mergeCell ref="A51:S51"/>
    <mergeCell ref="T51:AJ51"/>
    <mergeCell ref="A52:AJ52"/>
    <mergeCell ref="A56:AJ56"/>
    <mergeCell ref="A62:AJ62"/>
    <mergeCell ref="A63:AJ63"/>
    <mergeCell ref="A70:AJ70"/>
    <mergeCell ref="A71:B71"/>
    <mergeCell ref="C71:H71"/>
    <mergeCell ref="I71:L71"/>
    <mergeCell ref="M71:Q71"/>
    <mergeCell ref="R71:V71"/>
    <mergeCell ref="W71:AA71"/>
    <mergeCell ref="AB71:AE71"/>
    <mergeCell ref="AF71:AH71"/>
    <mergeCell ref="AI71:AJ71"/>
    <mergeCell ref="A72:B72"/>
    <mergeCell ref="C72:H72"/>
    <mergeCell ref="I72:L72"/>
    <mergeCell ref="M72:Q72"/>
    <mergeCell ref="R72:V72"/>
    <mergeCell ref="W72:AA72"/>
    <mergeCell ref="AB72:AE72"/>
    <mergeCell ref="AF72:AH72"/>
    <mergeCell ref="AI72:AJ72"/>
    <mergeCell ref="A73:B73"/>
    <mergeCell ref="C73:H73"/>
    <mergeCell ref="I73:L73"/>
    <mergeCell ref="M73:Q73"/>
    <mergeCell ref="R73:V73"/>
    <mergeCell ref="W73:AA73"/>
    <mergeCell ref="AB73:AE73"/>
    <mergeCell ref="AF73:AH73"/>
    <mergeCell ref="AI73:AJ73"/>
    <mergeCell ref="A74:B74"/>
    <mergeCell ref="C74:H74"/>
    <mergeCell ref="I74:L74"/>
    <mergeCell ref="M74:Q74"/>
    <mergeCell ref="R74:V74"/>
    <mergeCell ref="W74:AA74"/>
    <mergeCell ref="AB74:AE74"/>
    <mergeCell ref="AF74:AH74"/>
    <mergeCell ref="AI74:AJ74"/>
    <mergeCell ref="A75:B75"/>
    <mergeCell ref="C75:H75"/>
    <mergeCell ref="I75:L75"/>
    <mergeCell ref="M75:Q75"/>
    <mergeCell ref="R75:V75"/>
    <mergeCell ref="W75:AA75"/>
    <mergeCell ref="AB75:AE75"/>
    <mergeCell ref="AF75:AH75"/>
    <mergeCell ref="AI75:AJ75"/>
    <mergeCell ref="A76:B76"/>
    <mergeCell ref="C76:H76"/>
    <mergeCell ref="I76:L76"/>
    <mergeCell ref="M76:Q76"/>
    <mergeCell ref="R76:V76"/>
    <mergeCell ref="W76:AA76"/>
    <mergeCell ref="AB76:AE76"/>
    <mergeCell ref="AF76:AH76"/>
    <mergeCell ref="AI76:AJ76"/>
    <mergeCell ref="A77:B77"/>
    <mergeCell ref="C77:H77"/>
    <mergeCell ref="I77:L77"/>
    <mergeCell ref="M77:Q77"/>
    <mergeCell ref="R77:V77"/>
    <mergeCell ref="W77:AA77"/>
    <mergeCell ref="AB77:AE77"/>
    <mergeCell ref="AF77:AH77"/>
    <mergeCell ref="AI77:AJ77"/>
    <mergeCell ref="A78:B78"/>
    <mergeCell ref="C78:H78"/>
    <mergeCell ref="I78:L78"/>
    <mergeCell ref="M78:Q78"/>
    <mergeCell ref="R78:V78"/>
    <mergeCell ref="W78:AA78"/>
    <mergeCell ref="AB78:AE78"/>
    <mergeCell ref="AF78:AH78"/>
    <mergeCell ref="AI78:AJ78"/>
    <mergeCell ref="A79:R79"/>
    <mergeCell ref="S79:AJ79"/>
    <mergeCell ref="S84:AA84"/>
    <mergeCell ref="AB84:AJ84"/>
    <mergeCell ref="S85:AA85"/>
    <mergeCell ref="AB85:AJ85"/>
    <mergeCell ref="S86:AA86"/>
    <mergeCell ref="AB86:AJ86"/>
    <mergeCell ref="S87:AA87"/>
    <mergeCell ref="AB87:AJ87"/>
    <mergeCell ref="S88:AA88"/>
    <mergeCell ref="AB88:AJ88"/>
    <mergeCell ref="S89:AA89"/>
    <mergeCell ref="AB89:AJ89"/>
    <mergeCell ref="S90:AA90"/>
    <mergeCell ref="AB90:AJ90"/>
    <mergeCell ref="S91:AA91"/>
    <mergeCell ref="AB91:AJ91"/>
    <mergeCell ref="S92:AA92"/>
    <mergeCell ref="AB92:AJ92"/>
    <mergeCell ref="S93:AA93"/>
    <mergeCell ref="AB93:AJ93"/>
    <mergeCell ref="A94:N94"/>
    <mergeCell ref="O94:R94"/>
    <mergeCell ref="A95:N95"/>
    <mergeCell ref="O95:R95"/>
    <mergeCell ref="A96:N96"/>
    <mergeCell ref="O96:R96"/>
    <mergeCell ref="A97:R97"/>
    <mergeCell ref="S97:AJ97"/>
    <mergeCell ref="A103:AJ103"/>
    <mergeCell ref="A104:AJ104"/>
    <mergeCell ref="S80:AJ83"/>
    <mergeCell ref="A53:AJ55"/>
    <mergeCell ref="A1:AJ3"/>
    <mergeCell ref="N101:AC102"/>
    <mergeCell ref="A57:AJ61"/>
    <mergeCell ref="AD101:AJ102"/>
    <mergeCell ref="A80:R93"/>
    <mergeCell ref="T18:AJ24"/>
    <mergeCell ref="A101:G102"/>
    <mergeCell ref="A23:S26"/>
    <mergeCell ref="A64:AJ69"/>
    <mergeCell ref="A48:AJ49"/>
    <mergeCell ref="S94:AJ96"/>
    <mergeCell ref="H101:M102"/>
    <mergeCell ref="A98:R100"/>
    <mergeCell ref="S98:AJ100"/>
  </mergeCells>
  <printOptions horizontalCentered="1"/>
  <pageMargins left="0.32" right="0.32" top="0.34" bottom="0.34" header="0.1" footer="0.1"/>
  <pageSetup paperSize="9" fitToHeight="0" orientation="portrait" useFirstPageNumber="1"/>
  <headerFooter>
    <oddFooter>&amp;C&amp;"微软雅黑"&amp;7 绿色三角洲 · v1.8 · 第 &amp;P / &amp;N 页</oddFooter>
  </headerFooter>
  <rowBreaks count="1" manualBreakCount="1">
    <brk id="52" max="35" man="1"/>
  </rowBreaks>
</worksheet>
</file>

<file path=xl/worksheets/sheet13.xml><?xml version="1.0" encoding="utf-8"?>
<x:worksheet xmlns:x="http://schemas.openxmlformats.org/spreadsheetml/2006/main">
  <x:sheetPr>
    <x:tabColor rgb="FFB4C6E7"/>
    <x:pageSetUpPr fitToPage="1"/>
  </x:sheetPr>
  <x:sheetViews>
    <x:sheetView showGridLines="0" workbookViewId="0">
      <x:pane ySplit="7" topLeftCell="A8" activePane="bottomLeft" state="frozen"/>
    </x:sheetView>
  </x:sheetViews>
  <x:sheetFormatPr defaultRowHeight="15"/>
  <x:cols>
    <x:col min="1" max="1" width="17" hidden="0" customWidth="1"/>
    <x:col min="2" max="2" width="24" hidden="0" customWidth="1"/>
    <x:col min="3" max="3" width="85" hidden="0" customWidth="1"/>
    <x:col min="4" max="4" width="13" hidden="1" customWidth="1"/>
  </x:cols>
  <x:sheetData>
    <x:row r="1" ht="8" customHeight="1">
      <x:c r="A1" s="591"/>
      <x:c r="B1" s="591"/>
      <x:c r="C1" s="591"/>
    </x:row>
    <x:row r="2" ht="30" customHeight="1">
      <x:c r="A2" s="592" t="str">
        <x:v>精神疾病</x:v>
      </x:c>
      <x:c r="B2" s="592" t="str">
        <x:v>精神疾病</x:v>
      </x:c>
      <x:c r="C2" s="592" t="str">
        <x:v>精神疾病</x:v>
      </x:c>
    </x:row>
    <x:row r="3" ht="42" customHeight="1">
      <x:c r="A3" s="593" t="inlineStr">
        <x:is>
          <x:t xml:space="preserve">“人类不应知道之事”可选下列前8项；其他精神疾病按创伤确定。</x:t>
        </x:is>
      </x:c>
      <x:c r="B3" s="593" t="str">
        <x:v>在人物卡 DR55 为“人类不应知道之事”选择下列前8项之一。其他疾病由玩家与掌局者按创伤商定，记入人生动力及精神疾病栏。选择名称不会自动扣减技能。</x:v>
      </x:c>
      <x:c r="C3" s="593" t="str">
        <x:v>在人物卡 DR55 为“人类不应知道之事”选择下列前8项之一。其他疾病由玩家与掌局者按创伤商定，记入人生动力及精神疾病栏。选择名称不会自动扣减技能。</x:v>
      </x:c>
    </x:row>
    <x:row r="4" ht="24" customHeight="1" hidden="1">
      <x:c r="A4" s="593" t="inlineStr">
        <x:is>
          <x:t xml:space="preserve"/>
        </x:is>
      </x:c>
      <x:c r="B4" s="593" t="str">
        <x:v>来源：《绿色三角洲：特工手册》v2.0.1。来源栏使用书内印刷页码。</x:v>
      </x:c>
      <x:c r="C4" s="593" t="str">
        <x:v>来源：《绿色三角洲：特工手册》v2.0.1。来源栏使用书内印刷页码。</x:v>
      </x:c>
    </x:row>
    <x:row r="5" ht="26" customHeight="1">
      <x:c r="A5" s="594" t="str">
        <x:v>返回人物卡</x:v>
      </x:c>
      <x:c r="B5" s="594" t="str">
        <x:v>规则速查</x:v>
      </x:c>
      <x:c r="C5" s="594" t="str">
        <x:v>参考选项</x:v>
      </x:c>
    </x:row>
    <x:row r="6" ht="8" customHeight="1">
      <x:c r="A6" s="591"/>
      <x:c r="B6" s="591"/>
      <x:c r="C6" s="591"/>
    </x:row>
    <x:row r="7" ht="27" customHeight="1">
      <x:c r="A7" s="595" t="str">
        <x:v>分类</x:v>
      </x:c>
      <x:c r="B7" s="595" t="str">
        <x:v>名称</x:v>
      </x:c>
      <x:c r="C7" s="595" t="inlineStr">
        <x:is>
          <x:t xml:space="preserve">内容</x:t>
        </x:is>
      </x:c>
    </x:row>
    <x:row r="8" ht="28" customHeight="1">
      <x:c r="A8" s="596" t="inlineStr">
        <x:is>
          <x:t xml:space="preserve">非自然相关精神疾病：背景可选8项</x:t>
        </x:is>
      </x:c>
      <x:c r="B8" s="596" t="str">
        <x:v>非自然相关精神疾病：DR55 的8项背景选项</x:v>
      </x:c>
      <x:c r="C8" s="596" t="str">
        <x:v>非自然相关精神疾病：DR55 的8项背景选项</x:v>
      </x:c>
    </x:row>
    <x:row r="9" ht="70" customHeight="1">
      <x:c r="A9" s="597" t="str">
        <x:v>暴力行为
无力感
非自然现象</x:v>
      </x:c>
      <x:c r="B9" s="598" t="str">
        <x:v>抑郁症</x:v>
      </x:c>
      <x:c r="C9" s="597" t="str">
        <x:v>诱因：回想起曾经历过或施于他人的创伤。表现与规则：绝望、无助或难以抑制的愧疚。急性发作时，每次技能或属性检定消耗1D4毅力。</x:v>
      </x:c>
    </x:row>
    <x:row r="10" ht="70" customHeight="1">
      <x:c r="A10" s="599" t="str">
        <x:v>暴力行为
非自然现象</x:v>
      </x:c>
      <x:c r="B10" s="600" t="str">
        <x:v>偏执型人格障碍</x:v>
      </x:c>
      <x:c r="C10" s="599" t="inlineStr">
        <x:is>
          <x:t xml:space="preserve">诱因：单次掷骰损失至少2点理智。表现与规则：无法信任或依赖他人，把事件、分歧和疑点解释成针对自己的阴谋；无统一数值惩罚。
“偏执”是偏执型人格障碍的简称。</x:t>
        </x:is>
      </x:c>
    </x:row>
    <x:row r="11" ht="54" customHeight="1">
      <x:c r="A11" s="597" t="str">
        <x:v>暴力行为
非自然现象</x:v>
      </x:c>
      <x:c r="B11" s="598" t="str">
        <x:v>睡眠障碍</x:v>
      </x:c>
      <x:c r="C11" s="597" t="str">
        <x:v>诱因：每次尝试入睡时进行理智检定，失败即发作。表现与规则：反复惊醒，24小时无法休息或恢复毅力。</x:v>
      </x:c>
    </x:row>
    <x:row r="12" ht="54" customHeight="1">
      <x:c r="A12" s="599" t="str">
        <x:v>无力感
非自然现象</x:v>
      </x:c>
      <x:c r="B12" s="600" t="str">
        <x:v>分离性人格障碍</x:v>
      </x:c>
      <x:c r="C12" s="599" t="str">
        <x:v>诱因：遭受临时疯狂或触及崩溃点。表现与规则：转为拥有独立性格与记忆的人格；可能出现更多人格。是否以及何时能控制特工，由掌局者决定。</x:v>
      </x:c>
    </x:row>
    <x:row r="13" ht="54" customHeight="1">
      <x:c r="A13" s="597" t="str">
        <x:v>非自然现象</x:v>
      </x:c>
      <x:c r="B13" s="598" t="str">
        <x:v>失忆症</x:v>
      </x:c>
      <x:c r="C13" s="597" t="str">
        <x:v>诱因：单次掷骰损失至少2点理智。表现与规则：与发作相关的内容成为记忆空白，除非特工以某种方式找回。</x:v>
      </x:c>
    </x:row>
    <x:row r="14" ht="54" customHeight="1">
      <x:c r="A14" s="599" t="str">
        <x:v>非自然现象</x:v>
      </x:c>
      <x:c r="B14" s="600" t="str">
        <x:v>人格解体障碍</x:v>
      </x:c>
      <x:c r="C14" s="599" t="str">
        <x:v>诱因：单次掷骰损失至少2点理智。表现与规则：与身体、想法、情感失去联系，感觉与自我剥离；全部技能与属性检定−20%。</x:v>
      </x:c>
    </x:row>
    <x:row r="15" ht="54" customHeight="1">
      <x:c r="A15" s="597" t="str">
        <x:v>非自然现象</x:v>
      </x:c>
      <x:c r="B15" s="598" t="str">
        <x:v>漫游症</x:v>
      </x:c>
      <x:c r="C15" s="597" t="str">
        <x:v>诱因：遭受临时疯狂或触及崩溃点。表现与规则：呆立原地或无目的地漫游，对外界毫无反应；无统一数值惩罚。</x:v>
      </x:c>
    </x:row>
    <x:row r="16" ht="54" customHeight="1">
      <x:c r="A16" s="599" t="str">
        <x:v>非自然现象</x:v>
      </x:c>
      <x:c r="B16" s="600" t="str">
        <x:v>自大狂</x:v>
      </x:c>
      <x:c r="C16" s="599" t="str">
        <x:v>诱因：单次掷骰损失至少2点理智。表现与规则：认为自己具有崇高地位，遭到暗指或质疑便暴怒；以属性或技能请求帮助或争取良好印象的检定自动失败。</x:v>
      </x:c>
    </x:row>
    <x:row r="17" ht="28" customHeight="1">
      <x:c r="A17" s="596" t="str">
        <x:v>其他普通精神疾病：暴力行为与无力感范例</x:v>
      </x:c>
      <x:c r="B17" s="596" t="str">
        <x:v>其他普通精神疾病：暴力行为与无力感范例</x:v>
      </x:c>
      <x:c r="C17" s="596" t="str">
        <x:v>其他普通精神疾病：暴力行为与无力感范例</x:v>
      </x:c>
    </x:row>
    <x:row r="18" ht="70" customHeight="1">
      <x:c r="A18" s="599" t="str">
        <x:v>暴力行为
无力感</x:v>
      </x:c>
      <x:c r="B18" s="600" t="str">
        <x:v>成瘾症</x:v>
      </x:c>
      <x:c r="C18" s="599" t="str">
        <x:v>诱因：单次掷骰损失至少2点理智。表现与规则：急切寻求有害习惯或物质；满足瘾症一般使技能与属性检定−20%。24小时未满足即失去1D6毅力且无法恢复，此后每24小时再失去1D6；毅力低于2时可能不顾后果地满足瘾症。</x:v>
      </x:c>
    </x:row>
    <x:row r="19" ht="54" customHeight="1">
      <x:c r="A19" s="597" t="str">
        <x:v>暴力行为</x:v>
      </x:c>
      <x:c r="B19" s="598" t="str">
        <x:v>间歇性暴怒症</x:v>
      </x:c>
      <x:c r="C19" s="597" t="str">
        <x:v>诱因：单次掷骰损失至少2点理智。表现与规则：爆发与实际或感知威胁程度不相称的暴怒，可能不顾一切攻击眼前事物；手册没有统一数值惩罚。</x:v>
      </x:c>
    </x:row>
    <x:row r="20" ht="54" customHeight="1">
      <x:c r="A20" s="599" t="str">
        <x:v>暴力行为</x:v>
      </x:c>
      <x:c r="B20" s="600" t="str">
        <x:v>恐声症</x:v>
      </x:c>
      <x:c r="C20" s="599" t="str">
        <x:v>诱因：巨大噪音，或足以唤起惊恐的日常噪音。表现与规则：对噪音产生强烈恐惧；急性发作时，所有理智检定−20%。</x:v>
      </x:c>
    </x:row>
    <x:row r="21" ht="70" customHeight="1">
      <x:c r="A21" s="597" t="str">
        <x:v>暴力行为</x:v>
      </x:c>
      <x:c r="B21" s="598" t="str">
        <x:v>创伤后应激障碍</x:v>
      </x:c>
      <x:c r="C21" s="597" t="str">
        <x:v>诱因：回想起曾经历过或施于他人的创伤。表现与规则：噩梦、闪回或强烈压力。急性发作时，掌局者选择：对只有特工自己感知的威胁作暴力反应，或陷入急性抑郁（每次技能或属性检定消耗1D4毅力）。</x:v>
      </x:c>
    </x:row>
    <x:row r="22" ht="70" customHeight="1">
      <x:c r="A22" s="599" t="str">
        <x:v>暴力行为</x:v>
      </x:c>
      <x:c r="B22" s="600" t="str">
        <x:v>图腾强迫症</x:v>
      </x:c>
      <x:c r="C22" s="599" t="str">
        <x:v>诱因：丢失或以为丢失图腾、交予他人、被拿走或摧毁，或一小时未能持有。表现与规则：病态依赖创伤中出现的某件物品。技能、属性与理智检定−10%，直到找回图腾或由掌局者认定找到新图腾。</x:v>
      </x:c>
    </x:row>
    <x:row r="23" ht="54" customHeight="1">
      <x:c r="A23" s="597" t="str">
        <x:v>无力感</x:v>
      </x:c>
      <x:c r="B23" s="598" t="str">
        <x:v>焦虑症</x:v>
      </x:c>
      <x:c r="C23" s="597" t="str">
        <x:v>诱因：单次掷骰损失至少2点理智。表现与规则：强烈担忧、疲惫、头痛和急性焦虑；发作时所有技能和属性检定−20%。</x:v>
      </x:c>
    </x:row>
    <x:row r="24" ht="54" customHeight="1">
      <x:c r="A24" s="599" t="str">
        <x:v>无力感</x:v>
      </x:c>
      <x:c r="B24" s="600" t="str">
        <x:v>转换障碍</x:v>
      </x:c>
      <x:c r="C24" s="599" t="str">
        <x:v>诱因：遭受临时疯狂或触及崩溃点。表现与规则：预先选择失明、失聪或瘫痪；发作时突发相应障碍、全身麻木或剧烈颤抖，直到压力源消失。</x:v>
      </x:c>
    </x:row>
    <x:row r="25" ht="54" customHeight="1">
      <x:c r="A25" s="597" t="str">
        <x:v>无力感</x:v>
      </x:c>
      <x:c r="B25" s="598" t="str">
        <x:v>空间相关恐惧症</x:v>
      </x:c>
      <x:c r="C25" s="597" t="str">
        <x:v>诱因：进入极其开放或密闭的空间，依所选类型。表现与规则：选择密闭恐惧症或广场恐惧症；发作时所有理智检定−20%。</x:v>
      </x:c>
    </x:row>
    <x:row r="26" ht="54" customHeight="1">
      <x:c r="A26" s="599" t="str">
        <x:v>无力感</x:v>
      </x:c>
      <x:c r="B26" s="600" t="str">
        <x:v>痴迷</x:v>
      </x:c>
      <x:c r="C26" s="599" t="str">
        <x:v>诱因：单次掷骰损失至少2点理智。表现与规则：对人、地点、事物、行为或想法痴迷，急性发作可能持续数日。耗时超过数小时的行为−20%。</x:v>
      </x:c>
    </x:row>
    <x:row r="27" ht="54" customHeight="1">
      <x:c r="A27" s="597" t="str">
        <x:v>无力感</x:v>
      </x:c>
      <x:c r="B27" s="598" t="str">
        <x:v>强迫症</x:v>
      </x:c>
      <x:c r="C27" s="597" t="str">
        <x:v>诱因：单次掷骰损失至少2点理智。表现与规则：强烈要求将事物整理妥当；全部技能、属性与理智检定−20%，直到整理好所有事物。</x:v>
      </x:c>
    </x:row>
    <x:row r="28" ht="28" customHeight="1">
      <x:c r="A28" s="596" t="str">
        <x:v>疾病细项：按所患疾病再确定表现形式</x:v>
      </x:c>
      <x:c r="B28" s="596" t="str">
        <x:v>疾病细项：按所患疾病再确定表现形式</x:v>
      </x:c>
      <x:c r="C28" s="596" t="str">
        <x:v>疾病细项：按所患疾病再确定表现形式</x:v>
      </x:c>
    </x:row>
    <x:row r="29" ht="54" customHeight="1">
      <x:c r="A29" s="597" t="str">
        <x:v>精神疾病细项</x:v>
      </x:c>
      <x:c r="B29" s="598" t="str">
        <x:v>转换障碍：失明</x:v>
      </x:c>
      <x:c r="C29" s="597" t="str">
        <x:v>转换障碍的视觉丧失形式。随转换障碍急性发作出现，直到压力源消失。</x:v>
      </x:c>
    </x:row>
    <x:row r="30" ht="54" customHeight="1">
      <x:c r="A30" s="599" t="str">
        <x:v>精神疾病细项</x:v>
      </x:c>
      <x:c r="B30" s="600" t="str">
        <x:v>转换障碍：失聪</x:v>
      </x:c>
      <x:c r="C30" s="599" t="str">
        <x:v>转换障碍的听觉丧失形式。随转换障碍急性发作出现，直到压力源消失。</x:v>
      </x:c>
    </x:row>
    <x:row r="31" ht="54" customHeight="1">
      <x:c r="A31" s="597" t="str">
        <x:v>精神疾病细项</x:v>
      </x:c>
      <x:c r="B31" s="598" t="str">
        <x:v>转换障碍：瘫痪</x:v>
      </x:c>
      <x:c r="C31" s="597" t="str">
        <x:v>转换障碍的行动障碍形式。随转换障碍急性发作出现，直到压力源消失。</x:v>
      </x:c>
    </x:row>
    <x:row r="32" ht="54" customHeight="1">
      <x:c r="A32" s="599" t="str">
        <x:v>精神疾病细项</x:v>
      </x:c>
      <x:c r="B32" s="600" t="str">
        <x:v>密闭恐惧症</x:v>
      </x:c>
      <x:c r="C32" s="599" t="str">
        <x:v>恐惧密闭空间，因难以逃脱而发作。急性发作时理智检定−20%。</x:v>
      </x:c>
    </x:row>
    <x:row r="33" ht="54" customHeight="1">
      <x:c r="A33" s="597" t="str">
        <x:v>精神疾病细项</x:v>
      </x:c>
      <x:c r="B33" s="598" t="str">
        <x:v>广场恐惧症</x:v>
      </x:c>
      <x:c r="C33" s="597" t="str">
        <x:v>恐惧开放空间，因范围过大、难以掌控而发作。急性发作时理智检定−20%。</x:v>
      </x:c>
    </x:row>
    <x:row r="34" ht="28" customHeight="1">
      <x:c r="A34" s="596" t="str">
        <x:v>永久疯狂参考：理智归零后的表现，不属于新角色背景选项</x:v>
      </x:c>
      <x:c r="B34" s="596" t="str">
        <x:v>永久疯狂参考：理智归零后的表现，不属于新角色背景选项</x:v>
      </x:c>
      <x:c r="C34" s="596" t="str">
        <x:v>永久疯狂参考：理智归零后的表现，不属于新角色背景选项</x:v>
      </x:c>
    </x:row>
    <x:row r="35" ht="54" customHeight="1">
      <x:c r="A35" s="597" t="str">
        <x:v>永久疯狂参考</x:v>
      </x:c>
      <x:c r="B35" s="598" t="str">
        <x:v>紧张性抑郁障碍</x:v>
      </x:c>
      <x:c r="C35" s="597" t="str">
        <x:v>理智归零后的常见表现：彻底剥离、停止说话及自我照料。属于由掌局者处理的永久疯狂，不能作为新角色的普通疾病直接选取。</x:v>
      </x:c>
    </x:row>
    <x:row r="36" ht="70" customHeight="1">
      <x:c r="A36" s="599" t="str">
        <x:v>永久疯狂参考</x:v>
      </x:c>
      <x:c r="B36" s="600" t="str">
        <x:v>妄想症</x:v>
      </x:c>
      <x:c r="C36" s="599" t="str">
        <x:v>理智归零后的常见表现：坚信妄想、与幻觉互动，无法以正常方式唤回。原文该节小标题为“妄想症”，同页前文的三项总述写“躁狂症”；保留此译文内部命名差异，不把两者扩成两项。</x:v>
      </x:c>
    </x:row>
    <x:row r="37" ht="54" customHeight="1">
      <x:c r="A37" s="597" t="str">
        <x:v>永久疯狂参考</x:v>
      </x:c>
      <x:c r="B37" s="598" t="str">
        <x:v>精神变态</x:v>
      </x:c>
      <x:c r="C37" s="597" t="str">
        <x:v>理智归零后的常见表现：同理心消失、把他人视作取乐物件，有时仍能伪装正常。是否移出游戏由掌局者决定。</x:v>
      </x:c>
    </x:row>
  </x:sheetData>
  <x:mergeCells>
    <x:mergeCell ref="A2:C2"/>
    <x:mergeCell ref="A3:C3"/>
    <x:mergeCell ref="A4:C4"/>
    <x:mergeCell ref="A8:C8"/>
    <x:mergeCell ref="A17:C17"/>
    <x:mergeCell ref="A28:C28"/>
    <x:mergeCell ref="A34:C34"/>
  </x:mergeCells>
  <x:hyperlinks>
    <x:hyperlink ref="A5" location="'人物卡'!A1"/>
    <x:hyperlink ref="B5" location="'规则速查'!A1"/>
    <x:hyperlink ref="C5" location="'参考选项'!A1"/>
  </x:hyperlinks>
  <x:pageMargins left="0.25" right="0.25" top="0.35" bottom="0.35" header="0.15" footer="0.15"/>
  <x:pageSetup paperSize="9" orientation="landscape" fitToWidth="1" fitToHeight="0"/>
</x:worksheet>
</file>

<file path=xl/worksheets/sheet14.xml><?xml version="1.0" encoding="utf-8"?>
<x:worksheet xmlns:x="http://schemas.openxmlformats.org/spreadsheetml/2006/main">
  <x:sheetPr>
    <x:tabColor rgb="FFB4C6E7"/>
    <x:pageSetUpPr fitToPage="1"/>
  </x:sheetPr>
  <x:sheetViews>
    <x:sheetView showGridLines="0" workbookViewId="0">
      <x:pane ySplit="7" topLeftCell="A8" activePane="bottomLeft" state="frozen"/>
    </x:sheetView>
  </x:sheetViews>
  <x:sheetFormatPr defaultRowHeight="15"/>
  <x:cols>
    <x:col min="1" max="1" width="17" hidden="0" customWidth="1"/>
    <x:col min="2" max="2" width="24" hidden="0" customWidth="1"/>
    <x:col min="3" max="3" width="85" hidden="0" customWidth="1"/>
    <x:col min="4" max="4" width="13" hidden="1" customWidth="1"/>
  </x:cols>
  <x:sheetData>
    <x:row r="1" ht="8" customHeight="1">
      <x:c r="A1" s="591"/>
      <x:c r="B1" s="591"/>
      <x:c r="C1" s="591"/>
    </x:row>
    <x:row r="2" ht="30" customHeight="1">
      <x:c r="A2" s="592" t="str">
        <x:v>参考选项</x:v>
      </x:c>
      <x:c r="B2" s="592" t="str">
        <x:v>参考选项</x:v>
      </x:c>
      <x:c r="C2" s="592" t="str">
        <x:v>参考选项</x:v>
      </x:c>
    </x:row>
    <x:row r="3" ht="42" customHeight="1">
      <x:c r="A3" s="593" t="inlineStr">
        <x:is>
          <x:t xml:space="preserve">特训、重要关系和人生动力可自行命名。</x:t>
        </x:is>
      </x:c>
      <x:c r="B3" s="593" t="str">
        <x:v>按创建角色和幕间活动查找常用选项。特训、重要关系及人生动力均可自行命名；职业、技能包、武器和技能专攻保留在已有工作表与主卡下拉中。</x:v>
      </x:c>
      <x:c r="C3" s="593" t="str">
        <x:v>按创建角色和幕间活动查找常用选项。特训、重要关系及人生动力均可自行命名；职业、技能包、武器和技能专攻保留在已有工作表与主卡下拉中。</x:v>
      </x:c>
    </x:row>
    <x:row r="4" ht="24" customHeight="1" hidden="1">
      <x:c r="A4" s="593" t="inlineStr">
        <x:is>
          <x:t xml:space="preserve"/>
        </x:is>
      </x:c>
      <x:c r="B4" s="593" t="str">
        <x:v>来源：《绿色三角洲：特工手册》v2.0.1。来源栏使用书内印刷页码。</x:v>
      </x:c>
      <x:c r="C4" s="593" t="str">
        <x:v>来源：《绿色三角洲：特工手册》v2.0.1。来源栏使用书内印刷页码。</x:v>
      </x:c>
    </x:row>
    <x:row r="5" ht="26" customHeight="1">
      <x:c r="A5" s="594" t="str">
        <x:v>返回人物卡</x:v>
      </x:c>
      <x:c r="B5" s="594" t="str">
        <x:v>规则速查</x:v>
      </x:c>
      <x:c r="C5" s="594" t="str">
        <x:v>精神疾病</x:v>
      </x:c>
    </x:row>
    <x:row r="6" ht="8" customHeight="1">
      <x:c r="A6" s="591"/>
      <x:c r="B6" s="591"/>
      <x:c r="C6" s="591"/>
    </x:row>
    <x:row r="7" ht="27" customHeight="1">
      <x:c r="A7" s="595" t="str">
        <x:v>分类</x:v>
      </x:c>
      <x:c r="B7" s="595" t="str">
        <x:v>名称</x:v>
      </x:c>
      <x:c r="C7" s="595" t="inlineStr">
        <x:is>
          <x:t xml:space="preserve">内容</x:t>
        </x:is>
      </x:c>
    </x:row>
    <x:row r="8" ht="28" customHeight="1">
      <x:c r="A8" s="596" t="str">
        <x:v>属性分配</x:v>
      </x:c>
      <x:c r="B8" s="596" t="str">
        <x:v>属性分配</x:v>
      </x:c>
      <x:c r="C8" s="596" t="str">
        <x:v>属性分配</x:v>
      </x:c>
    </x:row>
    <x:row r="9" ht="54" customHeight="1">
      <x:c r="A9" s="597" t="str">
        <x:v>属性分配</x:v>
      </x:c>
      <x:c r="B9" s="598" t="str">
        <x:v>均衡</x:v>
      </x:c>
      <x:c r="C9" s="597" t="inlineStr">
        <x:is>
          <x:t xml:space="preserve">参考购点排列：13、13、12、12、11、11；合计72点，玩家自行分配到六项属性。</x:t>
        </x:is>
      </x:c>
    </x:row>
    <x:row r="10" ht="54" customHeight="1">
      <x:c r="A10" s="599" t="str">
        <x:v>属性分配</x:v>
      </x:c>
      <x:c r="B10" s="600" t="str">
        <x:v>集中</x:v>
      </x:c>
      <x:c r="C10" s="599" t="inlineStr">
        <x:is>
          <x:t xml:space="preserve">参考购点排列：15、14、12、11、10、10；合计72点，玩家自行分配到六项属性。</x:t>
        </x:is>
      </x:c>
    </x:row>
    <x:row r="11" ht="54" customHeight="1">
      <x:c r="A11" s="597" t="str">
        <x:v>属性分配</x:v>
      </x:c>
      <x:c r="B11" s="598" t="str">
        <x:v>高度集中</x:v>
      </x:c>
      <x:c r="C11" s="597" t="inlineStr">
        <x:is>
          <x:t xml:space="preserve">参考购点排列：17、14、12、10、10、9；合计72点，玩家自行分配到六项属性。</x:t>
        </x:is>
      </x:c>
    </x:row>
    <x:row r="12" ht="28" customHeight="1">
      <x:c r="A12" s="596" t="str">
        <x:v>基础属性</x:v>
      </x:c>
      <x:c r="B12" s="596" t="str">
        <x:v>基础属性</x:v>
      </x:c>
      <x:c r="C12" s="596" t="str">
        <x:v>基础属性</x:v>
      </x:c>
    </x:row>
    <x:row r="13" ht="70" customHeight="1">
      <x:c r="A13" s="597" t="str">
        <x:v>基础属性</x:v>
      </x:c>
      <x:c r="B13" s="598" t="str">
        <x:v>力量（STR）</x:v>
      </x:c>
      <x:c r="C13" s="597" t="inlineStr">
        <x:is>
          <x:t xml:space="preserve">肌肉力量与身体魄力。一般属性检定使用当前有效属性×5。</x:t>
        </x:is>
      </x:c>
    </x:row>
    <x:row r="14" ht="70" customHeight="1">
      <x:c r="A14" s="599" t="str">
        <x:v>基础属性</x:v>
      </x:c>
      <x:c r="B14" s="600" t="str">
        <x:v>体质（CON）</x:v>
      </x:c>
      <x:c r="C14" s="599" t="inlineStr">
        <x:is>
          <x:t xml:space="preserve">健康、体魄与身体耐受力。</x:t>
        </x:is>
      </x:c>
    </x:row>
    <x:row r="15" ht="70" customHeight="1">
      <x:c r="A15" s="597" t="str">
        <x:v>基础属性</x:v>
      </x:c>
      <x:c r="B15" s="598" t="str">
        <x:v>敏捷（DEX）</x:v>
      </x:c>
      <x:c r="C15" s="597" t="inlineStr">
        <x:is>
          <x:t xml:space="preserve">身体灵巧、平衡与全身协调性。</x:t>
        </x:is>
      </x:c>
    </x:row>
    <x:row r="16" ht="70" customHeight="1">
      <x:c r="A16" s="599" t="str">
        <x:v>基础属性</x:v>
      </x:c>
      <x:c r="B16" s="600" t="str">
        <x:v>智力（INT）</x:v>
      </x:c>
      <x:c r="C16" s="599" t="inlineStr">
        <x:is>
          <x:t xml:space="preserve">逻辑、创造力、直觉和教育。</x:t>
        </x:is>
      </x:c>
    </x:row>
    <x:row r="17" ht="70" customHeight="1">
      <x:c r="A17" s="597" t="str">
        <x:v>基础属性</x:v>
      </x:c>
      <x:c r="B17" s="598" t="str">
        <x:v>意志（POW）</x:v>
      </x:c>
      <x:c r="C17" s="597" t="inlineStr">
        <x:is>
          <x:t xml:space="preserve">自我强度、动力与精神耐受度。</x:t>
        </x:is>
      </x:c>
    </x:row>
    <x:row r="18" ht="70" customHeight="1">
      <x:c r="A18" s="599" t="str">
        <x:v>基础属性</x:v>
      </x:c>
      <x:c r="B18" s="600" t="str">
        <x:v>魅力（CHA）</x:v>
      </x:c>
      <x:c r="C18" s="599" t="inlineStr">
        <x:is>
          <x:t xml:space="preserve">吸引力、领导力与个人气质，也可能包括外貌。</x:t>
        </x:is>
      </x:c>
    </x:row>
    <x:row r="19" ht="28" customHeight="1">
      <x:c r="A19" s="596" t="str">
        <x:v>特训范例</x:v>
      </x:c>
      <x:c r="B19" s="596" t="str">
        <x:v>特训范例</x:v>
      </x:c>
      <x:c r="C19" s="596" t="str">
        <x:v>特训范例</x:v>
      </x:c>
    </x:row>
    <x:row r="20" ht="70" customHeight="1">
      <x:c r="A20" s="599" t="str">
        <x:v>特训范例</x:v>
      </x:c>
      <x:c r="B20" s="600" t="str">
        <x:v>跳伞</x:v>
      </x:c>
      <x:c r="C20" s="599" t="inlineStr">
        <x:is>
          <x:t xml:space="preserve">对应运动或敏捷。特训通常需10—20小时指导与练习，为现有技能或属性增加用途；不单独增加技能点。</x:t>
        </x:is>
      </x:c>
    </x:row>
    <x:row r="21" ht="70" customHeight="1">
      <x:c r="A21" s="597" t="str">
        <x:v>特训范例</x:v>
      </x:c>
      <x:c r="B21" s="598" t="str">
        <x:v>滑雪</x:v>
      </x:c>
      <x:c r="C21" s="597" t="inlineStr">
        <x:is>
          <x:t xml:space="preserve">对应运动。</x:t>
        </x:is>
      </x:c>
    </x:row>
    <x:row r="22" ht="70" customHeight="1">
      <x:c r="A22" s="599" t="str">
        <x:v>特训范例</x:v>
      </x:c>
      <x:c r="B22" s="600" t="str">
        <x:v>潜水器材</x:v>
      </x:c>
      <x:c r="C22" s="599" t="inlineStr">
        <x:is>
          <x:t xml:space="preserve">对应游泳。</x:t>
        </x:is>
      </x:c>
    </x:row>
    <x:row r="23" ht="70" customHeight="1">
      <x:c r="A23" s="597" t="str">
        <x:v>特训范例</x:v>
      </x:c>
      <x:c r="B23" s="598" t="str">
        <x:v>太空服活动</x:v>
      </x:c>
      <x:c r="C23" s="597" t="inlineStr">
        <x:is>
          <x:t xml:space="preserve">对应智力。</x:t>
        </x:is>
      </x:c>
    </x:row>
    <x:row r="24" ht="70" customHeight="1">
      <x:c r="A24" s="599" t="str">
        <x:v>特训范例</x:v>
      </x:c>
      <x:c r="B24" s="600" t="str">
        <x:v>罕见的近战武器</x:v>
      </x:c>
      <x:c r="C24" s="599" t="inlineStr">
        <x:is>
          <x:t xml:space="preserve">对应近战武器。</x:t>
        </x:is>
      </x:c>
    </x:row>
    <x:row r="25" ht="70" customHeight="1">
      <x:c r="A25" s="597" t="str">
        <x:v>特训范例</x:v>
      </x:c>
      <x:c r="B25" s="598" t="str">
        <x:v>罕见的手枪或步枪</x:v>
      </x:c>
      <x:c r="C25" s="597" t="inlineStr">
        <x:is>
          <x:t xml:space="preserve">对应射击。</x:t>
        </x:is>
      </x:c>
    </x:row>
    <x:row r="26" ht="70" customHeight="1">
      <x:c r="A26" s="599" t="str">
        <x:v>特训范例</x:v>
      </x:c>
      <x:c r="B26" s="600" t="str">
        <x:v>手榴弹</x:v>
      </x:c>
      <x:c r="C26" s="599" t="inlineStr">
        <x:is>
          <x:t xml:space="preserve">对应运动。</x:t>
        </x:is>
      </x:c>
    </x:row>
    <x:row r="27" ht="70" customHeight="1">
      <x:c r="A27" s="597" t="str">
        <x:v>特训范例</x:v>
      </x:c>
      <x:c r="B27" s="598" t="str">
        <x:v>对某个亚文化的深刻了解</x:v>
      </x:c>
      <x:c r="C27" s="597" t="inlineStr">
        <x:is>
          <x:t xml:space="preserve">对应智力。</x:t>
        </x:is>
      </x:c>
    </x:row>
    <x:row r="28" ht="70" customHeight="1">
      <x:c r="A28" s="599" t="str">
        <x:v>特训范例</x:v>
      </x:c>
      <x:c r="B28" s="600" t="str">
        <x:v>其他国家的刑法</x:v>
      </x:c>
      <x:c r="C28" s="599" t="inlineStr">
        <x:is>
          <x:t xml:space="preserve">对应法律。</x:t>
        </x:is>
      </x:c>
    </x:row>
    <x:row r="29" ht="70" customHeight="1">
      <x:c r="A29" s="597" t="str">
        <x:v>特训范例</x:v>
      </x:c>
      <x:c r="B29" s="598" t="str">
        <x:v>开锁工具</x:v>
      </x:c>
      <x:c r="C29" s="597" t="inlineStr">
        <x:is>
          <x:t xml:space="preserve">对应敏捷。</x:t>
        </x:is>
      </x:c>
    </x:row>
    <x:row r="30" ht="70" customHeight="1">
      <x:c r="A30" s="599" t="str">
        <x:v>特训范例</x:v>
      </x:c>
      <x:c r="B30" s="600" t="str">
        <x:v>电子安保系统</x:v>
      </x:c>
      <x:c r="C30" s="599" t="inlineStr">
        <x:is>
          <x:t xml:space="preserve">对应智力。</x:t>
        </x:is>
      </x:c>
    </x:row>
    <x:row r="31" ht="70" customHeight="1">
      <x:c r="A31" s="597" t="str">
        <x:v>特训范例</x:v>
      </x:c>
      <x:c r="B31" s="598" t="str">
        <x:v>对地下团伙内幕的了解</x:v>
      </x:c>
      <x:c r="C31" s="597" t="inlineStr">
        <x:is>
          <x:t xml:space="preserve">对应犯罪学。</x:t>
        </x:is>
      </x:c>
    </x:row>
    <x:row r="32" ht="70" customHeight="1">
      <x:c r="A32" s="599" t="str">
        <x:v>特训范例</x:v>
      </x:c>
      <x:c r="B32" s="600" t="str">
        <x:v>娴熟地使用一门稀有的方言</x:v>
      </x:c>
      <x:c r="C32" s="599" t="inlineStr">
        <x:is>
          <x:t xml:space="preserve">对应外语。</x:t>
        </x:is>
      </x:c>
    </x:row>
    <x:row r="33" ht="70" customHeight="1">
      <x:c r="A33" s="597" t="str">
        <x:v>特训范例</x:v>
      </x:c>
      <x:c r="B33" s="598" t="str">
        <x:v>黑市</x:v>
      </x:c>
      <x:c r="C33" s="597" t="inlineStr">
        <x:is>
          <x:t xml:space="preserve">对应犯罪学或魅力。</x:t>
        </x:is>
      </x:c>
    </x:row>
    <x:row r="34" ht="28" customHeight="1">
      <x:c r="A34" s="596" t="str">
        <x:v>重要关系范例</x:v>
      </x:c>
      <x:c r="B34" s="596" t="str">
        <x:v>重要关系范例</x:v>
      </x:c>
      <x:c r="C34" s="596" t="str">
        <x:v>重要关系范例</x:v>
      </x:c>
    </x:row>
    <x:row r="35" ht="70" customHeight="1">
      <x:c r="A35" s="597" t="str">
        <x:v>重要关系范例</x:v>
      </x:c>
      <x:c r="B35" s="598" t="str">
        <x:v>配偶或前配偶（个人）</x:v>
      </x:c>
      <x:c r="C35" s="597" t="inlineStr">
        <x:is>
          <x:t xml:space="preserve">写出具体人物或可互动的小群体。每段初始关系值等于有效魅力，数量由职业决定；与群体的关系也只使用一个关系值。</x:t>
        </x:is>
      </x:c>
    </x:row>
    <x:row r="36" ht="70" customHeight="1">
      <x:c r="A36" s="599" t="str">
        <x:v>重要关系范例</x:v>
      </x:c>
      <x:c r="B36" s="600" t="str">
        <x:v>儿子或女儿（个人）</x:v>
      </x:c>
      <x:c r="C36" s="599"/>
    </x:row>
    <x:row r="37" ht="70" customHeight="1">
      <x:c r="A37" s="597" t="str">
        <x:v>重要关系范例</x:v>
      </x:c>
      <x:c r="B37" s="598" t="str">
        <x:v>父母或祖父母之一（个人）</x:v>
      </x:c>
      <x:c r="C37" s="597"/>
    </x:row>
    <x:row r="38" ht="70" customHeight="1">
      <x:c r="A38" s="599" t="str">
        <x:v>重要关系范例</x:v>
      </x:c>
      <x:c r="B38" s="600" t="str">
        <x:v>挚友（个人）</x:v>
      </x:c>
      <x:c r="C38" s="599"/>
    </x:row>
    <x:row r="39" ht="70" customHeight="1">
      <x:c r="A39" s="597" t="str">
        <x:v>重要关系范例</x:v>
      </x:c>
      <x:c r="B39" s="598" t="str">
        <x:v>同事或搭档（个人）</x:v>
      </x:c>
      <x:c r="C39" s="597"/>
    </x:row>
    <x:row r="40" ht="70" customHeight="1">
      <x:c r="A40" s="599" t="str">
        <x:v>重要关系范例</x:v>
      </x:c>
      <x:c r="B40" s="600" t="str">
        <x:v>心理医生或治疗师（个人）</x:v>
      </x:c>
      <x:c r="C40" s="599"/>
    </x:row>
    <x:row r="41" ht="70" customHeight="1">
      <x:c r="A41" s="597" t="str">
        <x:v>重要关系范例</x:v>
      </x:c>
      <x:c r="B41" s="598" t="str">
        <x:v>配偶和孩子（群体）</x:v>
      </x:c>
      <x:c r="C41" s="597"/>
    </x:row>
    <x:row r="42" ht="70" customHeight="1">
      <x:c r="A42" s="599" t="str">
        <x:v>重要关系范例</x:v>
      </x:c>
      <x:c r="B42" s="600" t="str">
        <x:v>父母亲（群体）</x:v>
      </x:c>
      <x:c r="C42" s="599"/>
    </x:row>
    <x:row r="43" ht="70" customHeight="1">
      <x:c r="A43" s="597" t="str">
        <x:v>重要关系范例</x:v>
      </x:c>
      <x:c r="B43" s="598" t="str">
        <x:v>兄弟姐妹（群体）</x:v>
      </x:c>
      <x:c r="C43" s="597"/>
    </x:row>
    <x:row r="44" ht="70" customHeight="1">
      <x:c r="A44" s="599" t="str">
        <x:v>重要关系范例</x:v>
      </x:c>
      <x:c r="B44" s="600" t="str">
        <x:v>一起执行艰难工作的同事（群体）</x:v>
      </x:c>
      <x:c r="C44" s="599"/>
    </x:row>
    <x:row r="45" ht="70" customHeight="1">
      <x:c r="A45" s="597" t="str">
        <x:v>重要关系范例</x:v>
      </x:c>
      <x:c r="B45" s="598" t="str">
        <x:v>教友或互助小组（群体）</x:v>
      </x:c>
      <x:c r="C45" s="597"/>
    </x:row>
    <x:row r="46" ht="70" customHeight="1">
      <x:c r="A46" s="599" t="str">
        <x:v>重要关系范例</x:v>
      </x:c>
      <x:c r="B46" s="600" t="str">
        <x:v>受过同一次创伤的幸存者（群体）</x:v>
      </x:c>
      <x:c r="C46" s="599"/>
    </x:row>
    <x:row r="47" ht="28" customHeight="1">
      <x:c r="A47" s="596" t="str">
        <x:v>人生动力范例</x:v>
      </x:c>
      <x:c r="B47" s="596" t="str">
        <x:v>人生动力范例</x:v>
      </x:c>
      <x:c r="C47" s="596" t="str">
        <x:v>人生动力范例</x:v>
      </x:c>
    </x:row>
    <x:row r="48" ht="70" customHeight="1">
      <x:c r="A48" s="599" t="str">
        <x:v>人生动力范例</x:v>
      </x:c>
      <x:c r="B48" s="600" t="str">
        <x:v>信仰</x:v>
      </x:c>
      <x:c r="C48" s="599" t="inlineStr">
        <x:is>
          <x:t xml:space="preserve">角色所信奉的价值或信仰。至多5条人生动力，可自行补充；每当触及崩溃点，去除一条动力并记录相应创伤。</x:t>
        </x:is>
      </x:c>
    </x:row>
    <x:row r="49" ht="70" customHeight="1">
      <x:c r="A49" s="597" t="str">
        <x:v>人生动力范例</x:v>
      </x:c>
      <x:c r="B49" s="598" t="str">
        <x:v>爱国情结</x:v>
      </x:c>
      <x:c r="C49" s="597" t="inlineStr">
        <x:is>
          <x:t xml:space="preserve">保卫国家、履行责任等角色信念。</x:t>
        </x:is>
      </x:c>
    </x:row>
    <x:row r="50" ht="70" customHeight="1">
      <x:c r="A50" s="599" t="str">
        <x:v>人生动力范例</x:v>
      </x:c>
      <x:c r="B50" s="600" t="str">
        <x:v>兴趣爱好</x:v>
      </x:c>
      <x:c r="C50" s="599" t="inlineStr">
        <x:is>
          <x:t xml:space="preserve">角色在工作之外认为有意义的事情。</x:t>
        </x:is>
      </x:c>
    </x:row>
    <x:row r="51" ht="87" customHeight="1">
      <x:c r="A51" s="597" t="str">
        <x:v>人生动力范例</x:v>
      </x:c>
      <x:c r="B51" s="598" t="str">
        <x:v>宠物</x:v>
      </x:c>
      <x:c r="C51" s="597" t="inlineStr">
        <x:is>
          <x:t xml:space="preserve">对宠物的关爱可以成为人生动力，但宠物不能成为重要关系。</x:t>
        </x:is>
      </x:c>
    </x:row>
    <x:row r="52" ht="28" customHeight="1">
      <x:c r="A52" s="596" t="str">
        <x:v>创伤经历</x:v>
      </x:c>
      <x:c r="B52" s="596" t="str">
        <x:v>创伤经历</x:v>
      </x:c>
      <x:c r="C52" s="596" t="str">
        <x:v>创伤经历</x:v>
      </x:c>
    </x:row>
    <x:row r="53" ht="70" customHeight="1">
      <x:c r="A53" s="597" t="str">
        <x:v>创伤经历</x:v>
      </x:c>
      <x:c r="B53" s="598" t="str">
        <x:v>极端暴力</x:v>
      </x:c>
      <x:c r="C53" s="597" t="inlineStr">
        <x:is>
          <x:t xml:space="preserve">神秘学+10；理智−5；魅力−3，各重要关系−3；适应暴力。与掌局者共同补充经历细节。</x:t>
        </x:is>
      </x:c>
    </x:row>
    <x:row r="54" ht="70" customHeight="1">
      <x:c r="A54" s="599" t="str">
        <x:v>创伤经历</x:v>
      </x:c>
      <x:c r="B54" s="600" t="str">
        <x:v>关押或入狱</x:v>
      </x:c>
      <x:c r="C54" s="599" t="inlineStr">
        <x:is>
          <x:t xml:space="preserve">神秘学+10；理智−5；意志−3，该意志下降不再降低理智；适应无力感。与掌局者共同补充经历细节。</x:t>
        </x:is>
      </x:c>
    </x:row>
    <x:row r="55" ht="70" customHeight="1">
      <x:c r="A55" s="597" t="str">
        <x:v>创伤经历</x:v>
      </x:c>
      <x:c r="B55" s="598" t="str">
        <x:v>艰苦经历</x:v>
      </x:c>
      <x:c r="C55" s="597" t="inlineStr">
        <x:is>
          <x:t xml:space="preserve">神秘学及另外5项所选技能各+10，非自然知识除外，最高90%；理智−5；去掉一段重要关系。与掌局者共同补充经历细节。</x:t>
        </x:is>
      </x:c>
    </x:row>
    <x:row r="56" ht="70" customHeight="1">
      <x:c r="A56" s="599" t="str">
        <x:v>创伤经历</x:v>
      </x:c>
      <x:c r="B56" s="600" t="str">
        <x:v>人类不应知道之事</x:v>
      </x:c>
      <x:c r="C56" s="599" t="inlineStr">
        <x:is>
          <x:t xml:space="preserve">非自然知识+10；神秘学+20；理智减去意志；选择一项非自然相关精神疾病；崩溃点重置为新理智−意志。与掌局者共同补充经历细节。</x:t>
        </x:is>
      </x:c>
    </x:row>
    <x:row r="57" ht="28" customHeight="1">
      <x:c r="A57" s="596" t="str">
        <x:v>适应理智损失</x:v>
      </x:c>
      <x:c r="B57" s="596" t="str">
        <x:v>适应理智损失</x:v>
      </x:c>
      <x:c r="C57" s="596" t="str">
        <x:v>适应理智损失</x:v>
      </x:c>
    </x:row>
    <x:row r="58" ht="87" customHeight="1">
      <x:c r="A58" s="599" t="str">
        <x:v>适应理智损失</x:v>
      </x:c>
      <x:c r="B58" s="600" t="str">
        <x:v>暴力行为</x:v>
      </x:c>
      <x:c r="C58" s="599" t="inlineStr">
        <x:is>
          <x:t xml:space="preserve">连续3次因暴力损失理智、期间未因暴力临时疯狂或触及崩溃点，即获得适应。此后对应理智检定自动成功；获得时魅力永久−1D6，全部重要关系损失相同点数。这是游戏中获得适应的规则；创建时的创伤背景已规定固定代价，不额外叠加本项1D6损失。</x:t>
        </x:is>
      </x:c>
    </x:row>
    <x:row r="59" ht="87" customHeight="1">
      <x:c r="A59" s="597" t="str">
        <x:v>适应理智损失</x:v>
      </x:c>
      <x:c r="B59" s="598" t="str">
        <x:v>无力感</x:v>
      </x:c>
      <x:c r="C59" s="597" t="inlineStr">
        <x:is>
          <x:t xml:space="preserve">连续3次因无力感损失理智、期间未因无力感临时疯狂或触及崩溃点，即获得适应。此后对应理智检定自动成功；获得时意志永久−1D6。这是游戏中获得适应的规则；创建时的创伤背景已规定固定代价，不额外叠加本项1D6损失。</x:t>
        </x:is>
      </x:c>
    </x:row>
    <x:row r="60" ht="28" customHeight="1">
      <x:c r="A60" s="596" t="str">
        <x:v>临时疯狂反应</x:v>
      </x:c>
      <x:c r="B60" s="596" t="str">
        <x:v>临时疯狂反应</x:v>
      </x:c>
      <x:c r="C60" s="596" t="str">
        <x:v>临时疯狂反应</x:v>
      </x:c>
    </x:row>
    <x:row r="61" ht="87" customHeight="1">
      <x:c r="A61" s="597" t="str">
        <x:v>临时疯狂反应</x:v>
      </x:c>
      <x:c r="B61" s="598" t="str">
        <x:v>逃跑</x:v>
      </x:c>
      <x:c r="C61" s="597" t="inlineStr">
        <x:is>
          <x:t xml:space="preserve">单次理智检定损失至少5点时，与掌局者根据情境商定反应。尽快远离理智损失来源，持续体质个战斗轮或直到认为安全（先到者），随后精疲力尽；常见于非自然现象和暴力行为。</x:t>
        </x:is>
      </x:c>
    </x:row>
    <x:row r="62" ht="70" customHeight="1">
      <x:c r="A62" s="599" t="str">
        <x:v>临时疯狂反应</x:v>
      </x:c>
      <x:c r="B62" s="600" t="str">
        <x:v>搏命</x:v>
      </x:c>
      <x:c r="C62" s="599" t="inlineStr">
        <x:is>
          <x:t xml:space="preserve">单次理智检定损失至少5点时，与掌局者根据情境商定反应。攻击最近威胁，不论其强弱，直到昏迷、死亡或受束缚；常见于无力感和暴力行为。</x:t>
        </x:is>
      </x:c>
    </x:row>
    <x:row r="63" ht="87" customHeight="1">
      <x:c r="A63" s="597" t="str">
        <x:v>临时疯狂反应</x:v>
      </x:c>
      <x:c r="B63" s="598" t="str">
        <x:v>屈服</x:v>
      </x:c>
      <x:c r="C63" s="597" t="inlineStr">
        <x:is>
          <x:t xml:space="preserve">单次理智检定损失至少5点时，与掌局者根据情境商定反应。失去知觉或陷入呆滞无反应，直到掌局者认定恢复；回忆创伤细节需智力×5检定并造成压力；常见于非自然现象和无力感。</x:t>
        </x:is>
      </x:c>
    </x:row>
    <x:row r="64" ht="28" customHeight="1">
      <x:c r="A64" s="596" t="str">
        <x:v>幕间私人规划</x:v>
      </x:c>
      <x:c r="B64" s="596" t="str">
        <x:v>幕间私人规划</x:v>
      </x:c>
      <x:c r="C64" s="596" t="str">
        <x:v>幕间私人规划</x:v>
      </x:c>
    </x:row>
    <x:row r="65" ht="70" customHeight="1">
      <x:c r="A65" s="597" t="str">
        <x:v>幕间私人规划</x:v>
      </x:c>
      <x:c r="B65" s="598" t="str">
        <x:v>按部就班</x:v>
      </x:c>
      <x:c r="C65" s="597" t="inlineStr">
        <x:is>
          <x:t xml:space="preserve">维护一项非绿色三角洲关系，理智成功：关系+1D6（不超过魅力）；大成功另加1理智（不超过意志×5）；失败关系+1；大失败关系−1D4、理智−1。</x:t>
        </x:is>
      </x:c>
    </x:row>
    <x:row r="66" ht="70" customHeight="1">
      <x:c r="A66" s="599" t="str">
        <x:v>幕间私人规划</x:v>
      </x:c>
      <x:c r="B66" s="600" t="str">
        <x:v>远离喧嚣</x:v>
      </x:c>
      <x:c r="C66" s="599" t="inlineStr">
        <x:is>
          <x:t xml:space="preserve">一项非绿色三角洲关系−1；理智成功：理智+1D4，大成功改+4，均不超过意志×5；失败+1；大失败−1D4。</x:t>
        </x:is>
      </x:c>
    </x:row>
    <x:row r="67" ht="70" customHeight="1">
      <x:c r="A67" s="597" t="str">
        <x:v>幕间私人规划</x:v>
      </x:c>
      <x:c r="B67" s="598" t="str">
        <x:v>建立新的重要关系</x:v>
      </x:c>
      <x:c r="C67" s="597" t="inlineStr">
        <x:is>
          <x:t xml:space="preserve">魅力×5成功可建立新关系，初始值为魅力一半、向上取整；同时一项旧有的非绿色三角洲关系−1。</x:t>
        </x:is>
      </x:c>
    </x:row>
    <x:row r="68" ht="87" customHeight="1">
      <x:c r="A68" s="599" t="str">
        <x:v>幕间私人规划</x:v>
      </x:c>
      <x:c r="B68" s="600" t="str">
        <x:v>接受心理治疗</x:v>
      </x:c>
      <x:c r="C68" s="599" t="inlineStr">
        <x:is>
          <x:t xml:space="preserve">一项非绿色三角洲关系−1；使用幸运或治疗师的精神治疗检定，恢复量随是否坦白而异。大成功可能治愈疾病并建立治疗师关系；痊愈疾病仍保留记录，之后可能复发。</x:t>
        </x:is>
      </x:c>
    </x:row>
    <x:row r="69" ht="70" customHeight="1">
      <x:c r="A69" s="597" t="str">
        <x:v>幕间私人规划</x:v>
      </x:c>
      <x:c r="B69" s="598" t="str">
        <x:v>提升技能或属性</x:v>
      </x:c>
      <x:c r="C69" s="597" t="inlineStr">
        <x:is>
          <x:t xml:space="preserve">选择两项不同的技能/属性，各进行技能或属性×5检定；失败则技能+3D6（上限99%）或属性+1（上限18）。每提升一项，损失一项非绿色三角洲关系1点。</x:t>
        </x:is>
      </x:c>
    </x:row>
    <x:row r="70" ht="70" customHeight="1">
      <x:c r="A70" s="599" t="str">
        <x:v>幕间私人规划</x:v>
      </x:c>
      <x:c r="B70" s="600" t="str">
        <x:v>重建人生动力</x:v>
      </x:c>
      <x:c r="C70" s="599" t="inlineStr">
        <x:is>
          <x:t xml:space="preserve">理智成功：理智+1，大成功改+1D4，均不超过意志×5，并使一项非绿色三角洲关系−1；大失败理智−1。</x:t>
        </x:is>
      </x:c>
    </x:row>
    <x:row r="71" ht="54" customHeight="1">
      <x:c r="A71" s="597" t="str">
        <x:v>幕间私人规划</x:v>
      </x:c>
      <x:c r="B71" s="598" t="str">
        <x:v>进行特训</x:v>
      </x:c>
      <x:c r="C71" s="597" t="inlineStr">
        <x:is>
          <x:t xml:space="preserve">获得一项新的特训；因忽略责任，使一项非绿色三角洲关系−1。</x:t>
        </x:is>
      </x:c>
    </x:row>
    <x:row r="72" ht="70" customHeight="1">
      <x:c r="A72" s="599" t="str">
        <x:v>幕间私人规划</x:v>
      </x:c>
      <x:c r="B72" s="600" t="str">
        <x:v>回顾案件</x:v>
      </x:c>
      <x:c r="C72" s="599" t="inlineStr">
        <x:is>
          <x:t xml:space="preserve">一项非绿色三角洲关系−1；掌局者暗骰犯罪学或神秘学，决定线索及风险；无论结果如何，理智增减1D6−3。</x:t>
        </x:is>
      </x:c>
    </x:row>
    <x:row r="73" ht="70" customHeight="1">
      <x:c r="A73" s="597" t="str">
        <x:v>幕间私人规划</x:v>
      </x:c>
      <x:c r="B73" s="598" t="str">
        <x:v>研究非自然知识</x:v>
      </x:c>
      <x:c r="C73" s="597" t="inlineStr">
        <x:is>
          <x:t xml:space="preserve">研究禁忌资料，非自然知识的具体增长与发现由掌局者决定；任选一项重要关系损失1D4。</x:t>
        </x:is>
      </x:c>
    </x:row>
    <x:row r="74" ht="28" customHeight="1">
      <x:c r="A74" s="596" t="str">
        <x:v>已有选项入口</x:v>
      </x:c>
      <x:c r="B74" s="596" t="str">
        <x:v>已有选项入口</x:v>
      </x:c>
      <x:c r="C74" s="596" t="str">
        <x:v>已有选项入口</x:v>
      </x:c>
    </x:row>
    <x:row r="75" ht="54" customHeight="1">
      <x:c r="A75" s="597" t="str">
        <x:v>已有选项入口</x:v>
      </x:c>
      <x:c r="B75" s="598" t="str">
        <x:v>职业与子模板</x:v>
      </x:c>
      <x:c r="C75" s="597" t="inlineStr">
        <x:is>
          <x:t xml:space="preserve">选择职业及适用子模板后自动联动。</x:t>
        </x:is>
      </x:c>
    </x:row>
    <x:row r="76" ht="54" customHeight="1">
      <x:c r="A76" s="599" t="str">
        <x:v>已有选项入口</x:v>
      </x:c>
      <x:c r="B76" s="600" t="str">
        <x:v>额外技能包</x:v>
      </x:c>
      <x:c r="C76" s="599" t="inlineStr">
        <x:is>
          <x:t xml:space="preserve">选择技能包，任选项直接在人物卡内选择。</x:t>
        </x:is>
      </x:c>
    </x:row>
    <x:row r="77" ht="70" customHeight="1">
      <x:c r="A77" s="597" t="str">
        <x:v>已有选项入口</x:v>
      </x:c>
      <x:c r="B77" s="598" t="str">
        <x:v>技能专攻</x:v>
      </x:c>
      <x:c r="C77" s="597" t="inlineStr">
        <x:is>
          <x:t xml:space="preserve">艺术、工艺、外语、军事科学、特种载具、科学的专攻范例；可按情境自定。</x:t>
        </x:is>
      </x:c>
    </x:row>
    <x:row r="78" ht="54" customHeight="1">
      <x:c r="A78" s="599" t="str">
        <x:v>已有选项入口</x:v>
      </x:c>
      <x:c r="B78" s="600" t="str">
        <x:v>武器与护甲</x:v>
      </x:c>
      <x:c r="C78" s="599" t="inlineStr">
        <x:is>
          <x:t xml:space="preserve">武器、护甲与特殊效果。</x:t>
        </x:is>
      </x:c>
    </x:row>
  </x:sheetData>
  <x:mergeCells>
    <x:mergeCell ref="A2:C2"/>
    <x:mergeCell ref="A3:C3"/>
    <x:mergeCell ref="A4:C4"/>
    <x:mergeCell ref="A8:C8"/>
    <x:mergeCell ref="A12:C12"/>
    <x:mergeCell ref="A19:C19"/>
    <x:mergeCell ref="A34:C34"/>
    <x:mergeCell ref="A47:C47"/>
    <x:mergeCell ref="A52:C52"/>
    <x:mergeCell ref="A57:C57"/>
    <x:mergeCell ref="A60:C60"/>
    <x:mergeCell ref="A64:C64"/>
    <x:mergeCell ref="A74:C74"/>
  </x:mergeCells>
  <x:hyperlinks>
    <x:hyperlink ref="A5" location="'人物卡'!A1"/>
    <x:hyperlink ref="B5" location="'规则速查'!A1"/>
    <x:hyperlink ref="C5" location="'精神疾病'!A1"/>
  </x:hyperlinks>
  <x:pageMargins left="0.25" right="0.25" top="0.35" bottom="0.35" header="0.15" footer="0.15"/>
  <x:pageSetup paperSize="9" orientation="landscape" fitToWidth="1" fitToHeight="0"/>
</x:worksheet>
</file>

<file path=xl/worksheets/sheet15.xml><?xml version="1.0" encoding="utf-8"?>
<x:worksheet xmlns:x="http://schemas.openxmlformats.org/spreadsheetml/2006/main">
  <x:sheetPr>
    <x:tabColor rgb="FFB4C6E7"/>
    <x:pageSetUpPr fitToPage="1"/>
  </x:sheetPr>
  <x:sheetViews>
    <x:sheetView showGridLines="0" workbookViewId="0">
      <x:pane xSplit="2" ySplit="7" topLeftCell="C8" activePane="bottomRight" state="frozen"/>
    </x:sheetView>
  </x:sheetViews>
  <x:sheetFormatPr defaultRowHeight="15"/>
  <x:cols>
    <x:col min="1" max="1" width="7" hidden="0" customWidth="1"/>
    <x:col min="2" max="2" width="13" hidden="0" customWidth="1"/>
    <x:col min="3" max="3" width="25" hidden="0" customWidth="1"/>
    <x:col min="4" max="4" width="19" hidden="0" customWidth="1"/>
    <x:col min="5" max="5" width="22" hidden="0" customWidth="1"/>
    <x:col min="6" max="6" width="42" hidden="0" customWidth="1"/>
    <x:col min="7" max="7" width="40" hidden="0" customWidth="1"/>
    <x:col min="8" max="8" width="42" hidden="0" customWidth="1"/>
  </x:cols>
  <x:sheetData>
    <x:row r="1" ht="30" customHeight="1">
      <x:c r="A1" s="601" t="str">
        <x:v>绿色三角洲｜模组经历备忘录　v1.8</x:v>
      </x:c>
      <x:c r="B1" s="601" t="str">
        <x:v>绿色三角洲｜模组经历备忘录　v1.8</x:v>
      </x:c>
      <x:c r="C1" s="601" t="str">
        <x:v>绿色三角洲｜模组经历备忘录　v1.8</x:v>
      </x:c>
      <x:c r="D1" s="601" t="str">
        <x:v>绿色三角洲｜模组经历备忘录　v1.8</x:v>
      </x:c>
      <x:c r="E1" s="601" t="str">
        <x:v>绿色三角洲｜模组经历备忘录　v1.8</x:v>
      </x:c>
      <x:c r="F1" s="601" t="str">
        <x:v>绿色三角洲｜模组经历备忘录　v1.8</x:v>
      </x:c>
      <x:c r="G1" s="601" t="str">
        <x:v>绿色三角洲｜模组经历备忘录　v1.8</x:v>
      </x:c>
      <x:c r="H1" s="601" t="str">
        <x:v>绿色三角洲｜模组经历备忘录　v1.8</x:v>
      </x:c>
    </x:row>
    <x:row r="2" ht="25" customHeight="1">
      <x:c r="A2" s="602" t="inlineStr">
        <x:is>
          <x:t xml:space="preserve">每场游戏或行动结束后记录一条。</x:t>
        </x:is>
      </x:c>
      <x:c r="B2" s="602" t="str">
        <x:v>每场或每次行动结束后记一条。可记录任务结果、重要人物、角色变化和下次开局要处理的事项。</x:v>
      </x:c>
      <x:c r="C2" s="602" t="str">
        <x:v>每场或每次行动结束后记一条。可记录任务结果、重要人物、角色变化和下次开局要处理的事项。</x:v>
      </x:c>
      <x:c r="D2" s="602" t="str">
        <x:v>每场或每次行动结束后记一条。可记录任务结果、重要人物、角色变化和下次开局要处理的事项。</x:v>
      </x:c>
      <x:c r="E2" s="602" t="str">
        <x:v>每场或每次行动结束后记一条。可记录任务结果、重要人物、角色变化和下次开局要处理的事项。</x:v>
      </x:c>
      <x:c r="F2" s="602" t="str">
        <x:v>每场或每次行动结束后记一条。可记录任务结果、重要人物、角色变化和下次开局要处理的事项。</x:v>
      </x:c>
      <x:c r="G2" s="602" t="str">
        <x:v>每场或每次行动结束后记一条。可记录任务结果、重要人物、角色变化和下次开局要处理的事项。</x:v>
      </x:c>
      <x:c r="H2" s="602" t="str">
        <x:v>每场或每次行动结束后记一条。可记录任务结果、重要人物、角色变化和下次开局要处理的事项。</x:v>
      </x:c>
    </x:row>
    <x:row r="3" ht="25" customHeight="1">
      <x:c r="A3" s="602"/>
      <x:c r="B3" s="602" t="str">
        <x:v>角色变化可记技能成长、理智与崩溃点、创伤、重要关系、装备及幕间活动；人物卡中的当前数值仍在对应栏目填写。</x:v>
      </x:c>
      <x:c r="C3" s="602" t="str">
        <x:v>角色变化可记技能成长、理智与崩溃点、创伤、重要关系、装备及幕间活动；人物卡中的当前数值仍在对应栏目填写。</x:v>
      </x:c>
      <x:c r="D3" s="602" t="str">
        <x:v>角色变化可记技能成长、理智与崩溃点、创伤、重要关系、装备及幕间活动；人物卡中的当前数值仍在对应栏目填写。</x:v>
      </x:c>
      <x:c r="E3" s="602" t="str">
        <x:v>角色变化可记技能成长、理智与崩溃点、创伤、重要关系、装备及幕间活动；人物卡中的当前数值仍在对应栏目填写。</x:v>
      </x:c>
      <x:c r="F3" s="602" t="str">
        <x:v>角色变化可记技能成长、理智与崩溃点、创伤、重要关系、装备及幕间活动；人物卡中的当前数值仍在对应栏目填写。</x:v>
      </x:c>
      <x:c r="G3" s="602" t="str">
        <x:v>角色变化可记技能成长、理智与崩溃点、创伤、重要关系、装备及幕间活动；人物卡中的当前数值仍在对应栏目填写。</x:v>
      </x:c>
      <x:c r="H3" s="602" t="str">
        <x:v>角色变化可记技能成长、理智与崩溃点、创伤、重要关系、装备及幕间活动；人物卡中的当前数值仍在对应栏目填写。</x:v>
      </x:c>
    </x:row>
    <x:row r="4" ht="8" customHeight="1">
      <x:c r="A4" s="602"/>
      <x:c r="B4" s="602"/>
      <x:c r="C4" s="602"/>
      <x:c r="D4" s="602"/>
      <x:c r="E4" s="602"/>
      <x:c r="F4" s="602"/>
      <x:c r="G4" s="602"/>
      <x:c r="H4" s="602"/>
    </x:row>
    <x:row r="5" ht="24" customHeight="1">
      <x:c r="A5" s="582" t="inlineStr">
        <x:is>
          <x:t xml:space="preserve">返回人物卡</x:t>
        </x:is>
      </x:c>
      <x:c r="B5" s="602" t="str">
        <x:v>返回人物卡</x:v>
      </x:c>
      <x:c r="C5" s="582" t="inlineStr">
        <x:is>
          <x:t xml:space="preserve">规则速查</x:t>
        </x:is>
      </x:c>
      <x:c r="D5" s="602" t="str">
        <x:v>规则速查</x:v>
      </x:c>
      <x:c r="E5" s="582" t="inlineStr">
        <x:is>
          <x:t xml:space="preserve">绿箱生成器</x:t>
        </x:is>
      </x:c>
      <x:c r="F5" s="602" t="str">
        <x:v>绿箱生成器</x:v>
      </x:c>
      <x:c r="G5" s="582" t="inlineStr">
        <x:is>
          <x:t xml:space="preserve">版本与更新</x:t>
        </x:is>
      </x:c>
      <x:c r="H5" s="602" t="str">
        <x:v>版本与更新</x:v>
      </x:c>
    </x:row>
    <x:row r="6" ht="8" customHeight="1">
      <x:c r="A6" s="602"/>
      <x:c r="B6" s="602"/>
      <x:c r="C6" s="602"/>
      <x:c r="D6" s="602"/>
      <x:c r="E6" s="602"/>
      <x:c r="F6" s="602"/>
      <x:c r="G6" s="602"/>
      <x:c r="H6" s="602"/>
    </x:row>
    <x:row r="7" ht="28" customHeight="1">
      <x:c r="A7" s="603" t="str">
        <x:v>序号</x:v>
      </x:c>
      <x:c r="B7" s="603" t="str">
        <x:v>游戏日期</x:v>
      </x:c>
      <x:c r="C7" s="603" t="str">
        <x:v>模组／行动名称</x:v>
      </x:c>
      <x:c r="D7" s="603" t="str">
        <x:v>场次／掌局者</x:v>
      </x:c>
      <x:c r="E7" s="603" t="str">
        <x:v>同行特工</x:v>
      </x:c>
      <x:c r="F7" s="603" t="str">
        <x:v>经历与行动结果</x:v>
      </x:c>
      <x:c r="G7" s="603" t="str">
        <x:v>角色变化／幕间事项</x:v>
      </x:c>
      <x:c r="H7" s="603" t="str">
        <x:v>线索与下次备忘</x:v>
      </x:c>
    </x:row>
    <x:row r="8" ht="74" customHeight="1">
      <x:c r="A8" s="604" t="n">
        <x:v>1</x:v>
      </x:c>
      <x:c r="B8" s="605"/>
      <x:c r="C8" s="604"/>
      <x:c r="D8" s="604"/>
      <x:c r="E8" s="604"/>
      <x:c r="F8" s="604"/>
      <x:c r="G8" s="604"/>
      <x:c r="H8" s="604"/>
    </x:row>
    <x:row r="9" ht="74" customHeight="1">
      <x:c r="A9" s="606" t="n">
        <x:v>2</x:v>
      </x:c>
      <x:c r="B9" s="607"/>
      <x:c r="C9" s="606"/>
      <x:c r="D9" s="606"/>
      <x:c r="E9" s="606"/>
      <x:c r="F9" s="606"/>
      <x:c r="G9" s="606"/>
      <x:c r="H9" s="606"/>
    </x:row>
    <x:row r="10" ht="74" customHeight="1">
      <x:c r="A10" s="604" t="n">
        <x:v>3</x:v>
      </x:c>
      <x:c r="B10" s="605"/>
      <x:c r="C10" s="604"/>
      <x:c r="D10" s="604"/>
      <x:c r="E10" s="604"/>
      <x:c r="F10" s="604"/>
      <x:c r="G10" s="604"/>
      <x:c r="H10" s="604"/>
    </x:row>
    <x:row r="11" ht="74" customHeight="1">
      <x:c r="A11" s="606" t="n">
        <x:v>4</x:v>
      </x:c>
      <x:c r="B11" s="607"/>
      <x:c r="C11" s="606"/>
      <x:c r="D11" s="606"/>
      <x:c r="E11" s="606"/>
      <x:c r="F11" s="606"/>
      <x:c r="G11" s="606"/>
      <x:c r="H11" s="606"/>
    </x:row>
    <x:row r="12" ht="74" customHeight="1">
      <x:c r="A12" s="604" t="n">
        <x:v>5</x:v>
      </x:c>
      <x:c r="B12" s="605"/>
      <x:c r="C12" s="604"/>
      <x:c r="D12" s="604"/>
      <x:c r="E12" s="604"/>
      <x:c r="F12" s="604"/>
      <x:c r="G12" s="604"/>
      <x:c r="H12" s="604"/>
    </x:row>
    <x:row r="13" ht="74" customHeight="1">
      <x:c r="A13" s="606" t="n">
        <x:v>6</x:v>
      </x:c>
      <x:c r="B13" s="607"/>
      <x:c r="C13" s="606"/>
      <x:c r="D13" s="606"/>
      <x:c r="E13" s="606"/>
      <x:c r="F13" s="606"/>
      <x:c r="G13" s="606"/>
      <x:c r="H13" s="606"/>
    </x:row>
    <x:row r="14" ht="74" customHeight="1">
      <x:c r="A14" s="604" t="n">
        <x:v>7</x:v>
      </x:c>
      <x:c r="B14" s="605"/>
      <x:c r="C14" s="604"/>
      <x:c r="D14" s="604"/>
      <x:c r="E14" s="604"/>
      <x:c r="F14" s="604"/>
      <x:c r="G14" s="604"/>
      <x:c r="H14" s="604"/>
    </x:row>
    <x:row r="15" ht="74" customHeight="1">
      <x:c r="A15" s="606" t="n">
        <x:v>8</x:v>
      </x:c>
      <x:c r="B15" s="607"/>
      <x:c r="C15" s="606"/>
      <x:c r="D15" s="606"/>
      <x:c r="E15" s="606"/>
      <x:c r="F15" s="606"/>
      <x:c r="G15" s="606"/>
      <x:c r="H15" s="606"/>
    </x:row>
    <x:row r="16" ht="74" customHeight="1">
      <x:c r="A16" s="604" t="n">
        <x:v>9</x:v>
      </x:c>
      <x:c r="B16" s="605"/>
      <x:c r="C16" s="604"/>
      <x:c r="D16" s="604"/>
      <x:c r="E16" s="604"/>
      <x:c r="F16" s="604"/>
      <x:c r="G16" s="604"/>
      <x:c r="H16" s="604"/>
    </x:row>
    <x:row r="17" ht="74" customHeight="1">
      <x:c r="A17" s="606" t="n">
        <x:v>10</x:v>
      </x:c>
      <x:c r="B17" s="607"/>
      <x:c r="C17" s="606"/>
      <x:c r="D17" s="606"/>
      <x:c r="E17" s="606"/>
      <x:c r="F17" s="606"/>
      <x:c r="G17" s="606"/>
      <x:c r="H17" s="606"/>
    </x:row>
    <x:row r="18" ht="74" customHeight="1">
      <x:c r="A18" s="604" t="n">
        <x:v>11</x:v>
      </x:c>
      <x:c r="B18" s="605"/>
      <x:c r="C18" s="604"/>
      <x:c r="D18" s="604"/>
      <x:c r="E18" s="604"/>
      <x:c r="F18" s="604"/>
      <x:c r="G18" s="604"/>
      <x:c r="H18" s="604"/>
    </x:row>
    <x:row r="19" ht="74" customHeight="1">
      <x:c r="A19" s="606" t="n">
        <x:v>12</x:v>
      </x:c>
      <x:c r="B19" s="607"/>
      <x:c r="C19" s="606"/>
      <x:c r="D19" s="606"/>
      <x:c r="E19" s="606"/>
      <x:c r="F19" s="606"/>
      <x:c r="G19" s="606"/>
      <x:c r="H19" s="606"/>
    </x:row>
    <x:row r="20" ht="74" customHeight="1">
      <x:c r="A20" s="604" t="n">
        <x:v>13</x:v>
      </x:c>
      <x:c r="B20" s="605"/>
      <x:c r="C20" s="604"/>
      <x:c r="D20" s="604"/>
      <x:c r="E20" s="604"/>
      <x:c r="F20" s="604"/>
      <x:c r="G20" s="604"/>
      <x:c r="H20" s="604"/>
    </x:row>
    <x:row r="21" ht="74" customHeight="1">
      <x:c r="A21" s="606" t="n">
        <x:v>14</x:v>
      </x:c>
      <x:c r="B21" s="607"/>
      <x:c r="C21" s="606"/>
      <x:c r="D21" s="606"/>
      <x:c r="E21" s="606"/>
      <x:c r="F21" s="606"/>
      <x:c r="G21" s="606"/>
      <x:c r="H21" s="606"/>
    </x:row>
    <x:row r="22" ht="74" customHeight="1">
      <x:c r="A22" s="604" t="n">
        <x:v>15</x:v>
      </x:c>
      <x:c r="B22" s="605"/>
      <x:c r="C22" s="604"/>
      <x:c r="D22" s="604"/>
      <x:c r="E22" s="604"/>
      <x:c r="F22" s="604"/>
      <x:c r="G22" s="604"/>
      <x:c r="H22" s="604"/>
    </x:row>
    <x:row r="23" ht="74" customHeight="1">
      <x:c r="A23" s="606" t="n">
        <x:v>16</x:v>
      </x:c>
      <x:c r="B23" s="607"/>
      <x:c r="C23" s="606"/>
      <x:c r="D23" s="606"/>
      <x:c r="E23" s="606"/>
      <x:c r="F23" s="606"/>
      <x:c r="G23" s="606"/>
      <x:c r="H23" s="606"/>
    </x:row>
    <x:row r="24" ht="74" customHeight="1">
      <x:c r="A24" s="604" t="n">
        <x:v>17</x:v>
      </x:c>
      <x:c r="B24" s="605"/>
      <x:c r="C24" s="604"/>
      <x:c r="D24" s="604"/>
      <x:c r="E24" s="604"/>
      <x:c r="F24" s="604"/>
      <x:c r="G24" s="604"/>
      <x:c r="H24" s="604"/>
    </x:row>
    <x:row r="25" ht="74" customHeight="1">
      <x:c r="A25" s="606" t="n">
        <x:v>18</x:v>
      </x:c>
      <x:c r="B25" s="607"/>
      <x:c r="C25" s="606"/>
      <x:c r="D25" s="606"/>
      <x:c r="E25" s="606"/>
      <x:c r="F25" s="606"/>
      <x:c r="G25" s="606"/>
      <x:c r="H25" s="606"/>
    </x:row>
    <x:row r="26" ht="74" customHeight="1">
      <x:c r="A26" s="604" t="n">
        <x:v>19</x:v>
      </x:c>
      <x:c r="B26" s="605"/>
      <x:c r="C26" s="604"/>
      <x:c r="D26" s="604"/>
      <x:c r="E26" s="604"/>
      <x:c r="F26" s="604"/>
      <x:c r="G26" s="604"/>
      <x:c r="H26" s="604"/>
    </x:row>
    <x:row r="27" ht="74" customHeight="1">
      <x:c r="A27" s="606" t="n">
        <x:v>20</x:v>
      </x:c>
      <x:c r="B27" s="607"/>
      <x:c r="C27" s="606"/>
      <x:c r="D27" s="606"/>
      <x:c r="E27" s="606"/>
      <x:c r="F27" s="606"/>
      <x:c r="G27" s="606"/>
      <x:c r="H27" s="606"/>
    </x:row>
  </x:sheetData>
  <x:autoFilter ref="A7:H27"/>
  <x:mergeCells>
    <x:mergeCell ref="A1:H1"/>
    <x:mergeCell ref="A2:H2"/>
    <x:mergeCell ref="A3:H3"/>
    <x:mergeCell ref="A5:B5"/>
    <x:mergeCell ref="C5:D5"/>
    <x:mergeCell ref="E5:F5"/>
    <x:mergeCell ref="G5:H5"/>
  </x:mergeCells>
  <x:hyperlinks>
    <x:hyperlink ref="A5" location="'人物卡'!B2"/>
    <x:hyperlink ref="C5" location="'规则速查'!A1"/>
    <x:hyperlink xmlns:r="http://schemas.openxmlformats.org/officeDocument/2006/relationships" ref="E5" r:id="rIdV16Link3"/>
    <x:hyperlink ref="G5" location="'更新记录'!A1"/>
  </x:hyperlinks>
  <x:pageMargins left="0.25" right="0.25" top="0.35" bottom="0.35" header="0.15" footer="0.15"/>
  <x:pageSetup paperSize="9" orientation="landscape" fitToWidth="1" fitToHeight="0"/>
</x: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人物卡</vt:lpstr>
      <vt:lpstr>骰子指令</vt:lpstr>
      <vt:lpstr>职业列表</vt:lpstr>
      <vt:lpstr>额外技能包</vt:lpstr>
      <vt:lpstr>子技能</vt:lpstr>
      <vt:lpstr>附表</vt:lpstr>
      <vt:lpstr>展示页</vt:lpstr>
      <vt:lpstr>更新记录</vt:lpstr>
      <vt:lpstr>职业选项</vt:lpstr>
      <vt:lpstr>规则数据</vt:lpstr>
      <vt:lpstr>规则速查</vt:lpstr>
      <vt:lpstr>精神疾病</vt:lpstr>
      <vt:lpstr>参考选项</vt:lpstr>
      <vt:lpstr>模组经历备忘录</vt:lpstr>
      <vt:lpstr>可打印版（A4）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DKWings</dc:creator>
  <cp:lastModifiedBy>Lindrich King</cp:lastModifiedBy>
  <dcterms:created xsi:type="dcterms:W3CDTF">2020-07-08T07:43:00Z</dcterms:created>
  <dcterms:modified xsi:type="dcterms:W3CDTF">2026-09-21T15:58:28Z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10E3D06D8E8949978352069DC553005B_13</vt:lpwstr>
  </property>
  <property fmtid="{D5CDD505-2E9C-101B-9397-08002B2CF9AE}" pid="3" name="KSOProductBuildVer">
    <vt:lpwstr>2052-12.1.0.28505</vt:lpwstr>
  </property>
  <property fmtid="{D5CDD505-2E9C-101B-9397-08002B2CF9AE}" pid="4" name="CalculationRule">
    <vt:i4>0</vt:i4>
  </property>
  <property fmtid="{D5CDD505-2E9C-101B-9397-08002B2CF9AE}" pid="5" name="DocumentVersion">
    <vt:lpwstr>1.8</vt:lpwstr>
  </property>
</Properties>
</file>