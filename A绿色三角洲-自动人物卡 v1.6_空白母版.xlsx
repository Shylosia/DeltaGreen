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bookViews>
  <sheets>
    <sheet name="人物卡" sheetId="2" r:id="rId1"/>
    <sheet name="骰子指令" sheetId="11" r:id="rId2"/>
    <sheet name="职业列表" sheetId="9" r:id="rId3"/>
    <sheet name="额外技能包" sheetId="10" r:id="rId4"/>
    <sheet name="子技能" sheetId="5" r:id="rId5"/>
    <sheet name="附表" sheetId="4" r:id="rId6"/>
    <sheet name="展示页" sheetId="12" r:id="rId7"/>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可打印版（A4）" sheetId="13" r:id="rId12"/>
  </sheets>
  <definedNames>
    <definedName name="_xlnm._FilterDatabase" localSheetId="10"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4">'可打印版（A4）'!$A$1:$AJ$104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10">'规则速查'!$8:$8</definedName>
    <definedName name="_xlnm.Print_Area" localSheetId="10">'规则速查'!$A$8:$C$546</definedName>
    <definedName name="任选勾选值">'职业选项'!$AA$2:$AA$3</definedName>
    <definedName name="空白选项">'职业选项'!$AA$4</definedName>
    <definedName name="特训范例">'参考选项'!$B$20:$B$33</definedName>
    <definedName name="_xlnm.Print_Area" localSheetId="11">'精神疾病'!$A$1:$C$37</definedName>
    <definedName name="_xlnm.Print_Titles" localSheetId="11">'精神疾病'!$7:$7</definedName>
    <definedName name="_xlnm.Print_Area" localSheetId="12">'参考选项'!$A$1:$C$78</definedName>
    <definedName name="_xlnm.Print_Titles" localSheetId="12">'参考选项'!$7:$7</definedName>
    <definedName name="_xlnm.Print_Area" localSheetId="13">'模组经历备忘录'!$A$1:$H$27</definedName>
    <definedName name="_xlnm.Print_Titles" localSheetId="13">'模组经历备忘录'!$7:$7</definedName>
    <definedName name="_xlnm.Print_Area" localSheetId="7">'更新记录'!$A$1:$B$131</definedName>
    <definedName name="_xlnm.Print_Titles" localSheetId="7">'更新记录'!$10:$10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 xml:space="preserve">创建时每项属性为3～18，普通成年人平均10。可掷六次4D6，每次去掉最低一骰后分配；或分配72点。职业不分配属性。</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 xml:space="preserve">自我强度、动力与精神耐受度，决定毅力上限并参与初始理智和崩溃点计算。此处显示创伤修正后的意志，原始值在创伤区填写。</t>
        </r>
      </text>
    </comment>
    <comment ref="AB8" authorId="2">
      <text>
        <r>
          <rPr>
            <sz val="8"/>
            <color rgb="FF000000"/>
            <rFont val="等线"/>
            <family val="2"/>
          </rPr>
          <t xml:space="preserve">吸引力、领导力与个人气质，决定创建时每段重要关系的初始值。此处显示创伤修正后的魅力，原始值在创伤区填写。</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 xml:space="preserve">上限＝（力量＋体质）÷2，向上取整。当前值初始等于上限，受伤与恢复后手动更新。降至2或以下昏迷，降至0死亡。</t>
        </r>
      </text>
    </comment>
    <comment ref="N10" authorId="2">
      <text>
        <r>
          <rPr>
            <sz val="8"/>
            <color rgb="FF000000"/>
            <rFont val="等线"/>
            <family val="2"/>
          </rPr>
          <t xml:space="preserve">上限＝有效意志。当前值初始等于上限，消耗与恢复后手动更新。剩1～2点时所有检定−20%；0点时无法检定成功，并暂由掌局者控制。整晚睡眠恢复1D6，每24小时一次。</t>
        </r>
      </text>
    </comment>
    <comment ref="AB10" authorId="2">
      <text>
        <r>
          <rPr>
            <sz val="8"/>
            <color rgb="FF000000"/>
            <rFont val="等线"/>
            <family val="2"/>
          </rPr>
          <t xml:space="preserve">上限＝99−非自然知识。创建值为原始意志×5扣除创伤损失，不超过上限。游戏中手动更新；单次损失至少5点导致临时疯狂，降至0为永久疯狂。</t>
        </r>
      </text>
    </comment>
    <comment ref="AN10" authorId="2">
      <text>
        <r>
          <rPr>
            <sz val="8"/>
            <color rgb="FF000000"/>
            <rFont val="等线"/>
            <family val="2"/>
          </rPr>
          <t xml:space="preserve">初始通常为初始理智−意志。理智降到此值或以下时新增一项精神疾病，再改为新的当前理智−意志。不会随每次理智损失自动下降；创建时仅“人类不应知道之事”重置，其他三种背景保留原阈值。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 xml:space="preserve">填累计增加的点数，不填最终技能值。至少1%的普通技能失败后可标记，场次结算时提升1D4并清除标记；非自然知识除外。幕间训练检定失败可提高3D6，技能上限99%。</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 xml:space="preserve">八次+20，可重复提升同一技能，创建上限80%。固定项自动计入；任选项在右侧选择，专攻名称也可直接填上方技能格。切换技能包会保留旧输入。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 xml:space="preserve">填创伤前的意志，通常为3～18。“关押或入狱”自动减3；初始理智仍从原始值×5扣除背景损失，不再因这3点意志额外下降。</t>
        </r>
      </text>
    </comment>
    <comment ref="DR54" authorId="2">
      <text>
        <r>
          <rPr>
            <sz val="8"/>
            <color rgb="FF000000"/>
            <rFont val="等线"/>
            <family val="2"/>
          </rPr>
          <t xml:space="preserve">填创伤前的魅力，通常为3～18。“极端暴力”自动减3，关系按修正后魅力初始化，只扣一次。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 xml:space="preserve">对象须是活着且能互动的人或小群体。创建时每段关系值＝魅力，数量由职业决定。普通关系值不高于魅力；魅力降低时各关系同减。归0即破裂，保留划去的记录；游戏中手动更新实际关系值。</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<sst xmlns="http://schemas.openxmlformats.org/spreadsheetml/2006/main" count="20711" uniqueCount="3365">
  <si>
    <t>物品</t>
  </si>
  <si>
    <t>※ 属性</t>
  </si>
  <si>
    <t>数值</t>
  </si>
  <si>
    <t>×5</t>
  </si>
  <si>
    <t>暂降</t>
  </si>
  <si>
    <t>突出值解释</t>
  </si>
  <si>
    <t>头像</t>
  </si>
  <si>
    <t>※ 特训</t>
  </si>
  <si>
    <t>对应技能或属性</t>
  </si>
  <si>
    <t>※ 物品</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</si>
  <si>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</si>
  <si>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</si>
  <si>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</si>
  <si>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</si>
  <si>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</si>
  <si>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</si>
  <si>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</si>
  <si>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</si>
  <si>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</si>
  <si>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</si>
  <si>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</si>
  <si>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</si>
  <si>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</si>
  <si>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</si>
  <si>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</si>
  <si>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</si>
  <si>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</si>
  <si>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</si>
  <si>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</si>
  <si>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</si>
  <si>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</si>
  <si>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</si>
  <si>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</si>
  <si>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</si>
  <si>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</si>
  <si>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</si>
  <si>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</si>
  <si>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</si>
  <si>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</si>
  <si>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</si>
  <si>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</si>
  <si>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</si>
  <si>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</si>
  <si>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</si>
  <si>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</si>
  <si>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</si>
  <si>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</si>
  <si>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</si>
  <si>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</si>
  <si>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</si>
  <si>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</si>
  <si>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</si>
  <si>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</si>
  <si>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</si>
  <si>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</si>
  <si>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</si>
  <si>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</si>
  <si>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</si>
  <si>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</si>
  <si>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</si>
  <si>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</si>
  <si>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</si>
  <si>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</si>
  <si>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</si>
  <si>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</si>
  <si>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</si>
  <si>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</si>
  <si>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</si>
  <si>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</si>
  <si>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</si>
  <si>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</si>
  <si>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</si>
  <si>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</si>
  <si>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</si>
  <si>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</si>
  <si>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</si>
  <si>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</si>
  <si>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</si>
  <si>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</si>
  <si>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</si>
  <si>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</si>
  <si>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</si>
  <si>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</si>
  <si>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</si>
  <si>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</si>
  <si>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</si>
  <si>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</si>
  <si>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</si>
  <si>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</si>
  <si>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</si>
  <si>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</si>
  <si>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</si>
  <si>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</si>
  <si>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</si>
  <si>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</si>
  <si>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</si>
  <si>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</si>
  <si>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</si>
  <si>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</si>
  <si>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</si>
  <si>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</si>
  <si>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</si>
  <si>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</si>
  <si>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</si>
  <si>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</si>
  <si>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</si>
  <si>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</si>
  <si>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</si>
  <si>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</si>
  <si>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</si>
  <si>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</si>
  <si>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</si>
  <si>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</si>
  <si>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</si>
  <si>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</si>
  <si>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</si>
  <si>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</si>
  <si>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</si>
  <si>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</si>
  <si>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</si>
  <si>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</si>
  <si>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</si>
  <si>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</si>
  <si>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</si>
  <si>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固定项自动填入；任选在右栏选择，细项直接填上方。</t>
  </si>
  <si>
    <t>重要关系数：</t>
  </si>
  <si>
    <t>额外技能（每项+20）</t>
  </si>
  <si>
    <t>任选／细项选择</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</si>
  <si>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</si>
  <si>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</si>
  <si>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</si>
  <si>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</si>
  <si>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</si>
  <si>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</si>
  <si>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</si>
  <si>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</si>
  <si>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</si>
  <si>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</si>
  <si>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</si>
  <si>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</si>
  <si>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</si>
  <si>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</si>
  <si>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</si>
  <si>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</si>
  <si>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</si>
  <si>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</si>
  <si>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</si>
  <si>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</si>
  <si>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</si>
  <si>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</si>
  <si>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</si>
  <si>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</si>
  <si>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</si>
  <si>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</si>
  <si>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</si>
  <si>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</si>
  <si>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</si>
  <si>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</si>
  <si>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</si>
  <si>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</si>
  <si>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</si>
  <si>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</si>
  <si>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</si>
  <si>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</si>
  <si>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</si>
  <si>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</si>
  <si>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</si>
  <si>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</si>
  <si>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</si>
  <si>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</si>
  <si>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</si>
  <si>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</si>
  <si>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</si>
  <si>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</si>
  <si>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</si>
  <si>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</si>
  <si>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</si>
  <si>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</si>
  <si>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</si>
  <si>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</si>
  <si>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</si>
  <si>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</si>
  <si>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</si>
  <si>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</si>
  <si>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</si>
  <si>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</si>
  <si>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</si>
  <si>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</si>
  <si>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</si>
  <si>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</si>
  <si>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</si>
  <si>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</si>
  <si>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</si>
  <si>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</si>
  <si>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</si>
  <si>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</si>
  <si>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</si>
  <si>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</si>
  <si>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</si>
  <si>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</si>
  <si>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</si>
  <si>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</si>
  <si>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</si>
  <si>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</si>
  <si>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</si>
  <si>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</si>
  <si>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</si>
  <si>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</si>
  <si>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</si>
  <si>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</si>
  <si>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</si>
  <si>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</si>
  <si>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</si>
  <si>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</si>
  <si>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</si>
  <si>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</si>
  <si>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</si>
  <si>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</si>
  <si>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</si>
  <si>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</si>
  <si>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</si>
  <si>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</si>
  <si>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</si>
  <si>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</si>
  <si>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</si>
  <si>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</si>
  <si>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</si>
  <si>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</si>
  <si>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</si>
  <si>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</si>
  <si>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</si>
  <si>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</si>
  <si>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</si>
  <si>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</si>
  <si>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</si>
  <si>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</si>
  <si>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</si>
  <si>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</si>
  <si>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</si>
  <si>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</si>
  <si>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</si>
  <si>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</si>
  <si>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</si>
  <si>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</si>
  <si>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</si>
  <si>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</si>
  <si>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</si>
  <si>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</si>
  <si>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</si>
  <si>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</si>
  <si>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</si>
  <si>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</si>
  <si>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</si>
  <si>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</si>
  <si>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</si>
  <si>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</si>
  <si>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</si>
  <si>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</si>
  <si>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</si>
  <si>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</si>
  <si>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</si>
  <si>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</si>
  <si>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</si>
  <si>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</si>
  <si>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</si>
  <si>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</si>
  <si>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</si>
  <si>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</si>
  <si>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</si>
  <si>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</si>
  <si>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</si>
  <si>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</si>
  <si>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</si>
  <si>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</si>
  <si>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</si>
  <si>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</si>
  <si>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</si>
  <si>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</si>
  <si>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</si>
  <si>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</si>
  <si>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</si>
  <si>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</si>
  <si>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</si>
  <si>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</si>
  <si>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</si>
  <si>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</si>
  <si>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</si>
  <si>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</si>
  <si>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</si>
  <si>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</si>
  <si>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</si>
  <si>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</si>
  <si>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</si>
  <si>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</si>
  <si>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</si>
  <si>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</si>
  <si>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</si>
  <si>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</si>
  <si>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</si>
  <si>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</si>
  <si>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</si>
  <si>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</si>
  <si>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</si>
  <si>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</si>
  <si>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</si>
  <si>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</si>
  <si>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</si>
  <si>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</si>
  <si>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</si>
  <si>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</si>
  <si>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</si>
  <si>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</si>
  <si>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</si>
  <si>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</si>
  <si>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</si>
  <si>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</si>
  <si>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</si>
  <si>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</si>
  <si>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</si>
  <si>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</si>
  <si>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</si>
  <si>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</si>
  <si>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</si>
  <si>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</si>
  <si>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</si>
  <si>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</si>
  <si>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</si>
  <si>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</si>
  <si>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</si>
  <si>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</si>
  <si>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</si>
  <si>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</si>
  <si>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</si>
  <si>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</si>
  <si>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</si>
  <si>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</si>
  <si>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</si>
  <si>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</si>
  <si>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</si>
  <si>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</si>
  <si>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</si>
  <si>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</si>
  <si>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</si>
  <si>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</si>
  <si>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</si>
  <si>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</si>
  <si>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</si>
  <si>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</si>
  <si>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</si>
  <si>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</si>
  <si>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</si>
  <si>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</si>
  <si>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</si>
  <si>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</si>
  <si>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</si>
  <si>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</si>
  <si>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</si>
  <si>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</si>
  <si>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</si>
  <si>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</si>
  <si>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</si>
  <si>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</si>
  <si>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</si>
  <si>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</si>
  <si>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</si>
  <si>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</si>
  <si>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</si>
  <si>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</si>
  <si>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</si>
  <si>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</si>
  <si>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</si>
  <si>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</si>
  <si>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</si>
  <si>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</si>
  <si>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</si>
  <si>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</si>
  <si>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</si>
  <si>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</si>
  <si>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</si>
  <si>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</si>
  <si>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</si>
  <si>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</si>
  <si>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</si>
  <si>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</si>
  <si>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</si>
  <si>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</si>
  <si>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</si>
  <si>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</si>
  <si>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</si>
  <si>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</si>
  <si>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</si>
  <si>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</si>
  <si>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</si>
  <si>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</si>
  <si>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</si>
  <si>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</si>
  <si>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</si>
  <si>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</si>
  <si>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</si>
  <si>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</si>
  <si>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</si>
  <si>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</si>
  <si>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</si>
  <si>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</si>
  <si>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</si>
  <si>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</si>
  <si>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</si>
  <si>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</si>
  <si>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</si>
  <si>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</si>
  <si>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</si>
  <si>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</si>
  <si>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</si>
  <si>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</si>
  <si>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</si>
  <si>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</si>
  <si>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</si>
  <si>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</si>
  <si>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</si>
  <si>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</si>
  <si>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</si>
  <si>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</si>
  <si>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</si>
  <si>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</si>
  <si>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</si>
  <si>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</si>
  <si>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</si>
  <si>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</si>
  <si>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</si>
  <si>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</si>
  <si>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</si>
  <si>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</si>
  <si>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</si>
  <si>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</si>
  <si>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</si>
  <si>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</si>
  <si>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</si>
  <si>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</si>
  <si>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</si>
  <si>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</si>
  <si>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</si>
  <si>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</si>
  <si>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</si>
  <si>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</si>
  <si>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</si>
  <si>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</si>
  <si>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</si>
  <si>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</si>
  <si>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</si>
  <si>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</si>
  <si>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</si>
  <si>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</si>
  <si>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</si>
  <si>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</si>
  <si>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</si>
  <si>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</si>
  <si>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</si>
  <si>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</si>
  <si>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</si>
  <si>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</si>
  <si>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</si>
  <si>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</si>
  <si>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</si>
  <si>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</si>
  <si>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</si>
  <si>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</si>
  <si>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</si>
  <si>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</si>
  <si>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</si>
  <si>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</si>
  <si>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</si>
  <si>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</si>
  <si>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</si>
  <si>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</si>
  <si>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</si>
  <si>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</si>
  <si>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</si>
  <si>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</si>
  <si>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</si>
  <si>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</si>
  <si>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</si>
  <si>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</si>
  <si>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</si>
  <si>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</si>
  <si>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</si>
  <si>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</si>
  <si>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</si>
  <si>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</si>
  <si>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</si>
  <si>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</si>
  <si>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</si>
  <si>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</si>
  <si>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</si>
  <si>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</si>
  <si>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</si>
  <si>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</si>
  <si>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</si>
  <si>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</si>
  <si>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</si>
  <si>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</si>
  <si>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</si>
  <si>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</si>
  <si>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</si>
  <si>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</si>
  <si>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</si>
  <si>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</si>
  <si>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</si>
  <si>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</si>
  <si>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</si>
  <si>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</si>
  <si>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</si>
  <si>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</si>
  <si>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</si>
  <si>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</si>
  <si>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</si>
  <si>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</si>
  <si>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</si>
  <si>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</si>
  <si>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</si>
  <si>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</si>
  <si>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</si>
  <si>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</si>
  <si>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</si>
  <si>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</si>
  <si>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</si>
  <si>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</si>
  <si>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</si>
  <si>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</si>
  <si>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</si>
  <si>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</si>
  <si>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</si>
  <si>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</si>
  <si>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</si>
  <si>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</si>
  <si>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</si>
  <si>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</si>
  <si>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</si>
  <si>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</si>
  <si>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</si>
  <si>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</si>
  <si>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</si>
  <si>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</si>
  <si>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</si>
  <si>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</si>
  <si>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</si>
  <si>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</si>
  <si>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</si>
  <si>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</si>
  <si>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</si>
  <si>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</si>
  <si>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</si>
  <si>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</si>
  <si>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</si>
  <si>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</si>
  <si>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</si>
  <si>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</si>
  <si>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</si>
  <si>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</si>
  <si>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</si>
  <si>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</si>
  <si>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</si>
  <si>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</si>
  <si>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</si>
  <si>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</si>
  <si>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</si>
  <si>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</si>
  <si>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</si>
  <si>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</si>
  <si>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</si>
  <si>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</si>
  <si>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</si>
  <si>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</si>
  <si>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</si>
  <si>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</si>
  <si>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</si>
  <si>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</si>
  <si>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</si>
  <si>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</si>
  <si>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</si>
  <si>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</si>
  <si>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</si>
  <si>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</si>
  <si>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</si>
  <si>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</si>
  <si>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</si>
  <si>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</si>
  <si>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</si>
  <si>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</si>
  <si>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</si>
  <si>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</si>
  <si>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</si>
  <si>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</si>
  <si>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</si>
  <si>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</si>
  <si>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</si>
  <si>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</si>
  <si>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</si>
  <si>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</si>
  <si>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</si>
  <si>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</si>
  <si>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</si>
  <si>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</si>
  <si>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</si>
  <si>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</si>
  <si>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</si>
  <si>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</si>
  <si>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</si>
  <si>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</si>
  <si>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</si>
  <si>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</si>
  <si>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</si>
  <si>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</si>
  <si>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</si>
  <si>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</si>
  <si>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</si>
  <si>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</si>
  <si>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</si>
  <si>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</si>
  <si>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</si>
  <si>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</si>
  <si>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</si>
  <si>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</si>
  <si>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</si>
  <si>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</si>
  <si>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</si>
  <si>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</si>
  <si>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</si>
  <si>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</si>
  <si>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</si>
  <si>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</si>
  <si>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</si>
  <si>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</si>
  <si>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</si>
  <si>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</si>
  <si>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</si>
  <si>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</si>
  <si>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</si>
  <si>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</si>
  <si>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</si>
  <si>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</si>
  <si>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</si>
  <si>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</si>
  <si>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</si>
  <si>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</si>
  <si>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</si>
  <si>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</si>
  <si>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</si>
  <si>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</si>
  <si>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</si>
  <si>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</si>
  <si>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</si>
  <si>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</si>
  <si>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</si>
  <si>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</si>
  <si>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</si>
  <si>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</si>
  <si>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</si>
  <si>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</si>
  <si>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</si>
  <si>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</si>
  <si>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</si>
  <si>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</si>
  <si>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</si>
  <si>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</si>
  <si>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</si>
  <si>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</si>
  <si>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</si>
  <si>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</si>
  <si>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</si>
  <si>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</si>
  <si>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</si>
  <si>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</si>
  <si>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</si>
  <si>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</si>
  <si>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</si>
  <si>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</si>
  <si>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</si>
  <si>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</si>
  <si>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</si>
  <si>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</si>
  <si>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</si>
  <si>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</si>
  <si>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</si>
  <si>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</si>
  <si>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</si>
  <si>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</si>
  <si>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</si>
  <si>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</si>
  <si>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</si>
  <si>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</si>
  <si>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</si>
  <si>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</si>
  <si>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</si>
  <si>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</si>
  <si>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</si>
  <si>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</si>
  <si>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</si>
  <si>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</si>
  <si>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</si>
  <si>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</si>
  <si>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</si>
  <si>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</si>
  <si>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</si>
  <si>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</si>
  <si>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</si>
  <si>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</si>
  <si>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</si>
  <si>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</si>
  <si>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</si>
  <si>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</si>
  <si>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</si>
  <si>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</si>
  <si>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</si>
  <si>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</si>
  <si>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</si>
  <si>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</si>
  <si>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</si>
  <si>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</si>
  <si>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</si>
  <si>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</si>
  <si>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</si>
  <si>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</si>
  <si>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</si>
  <si>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</si>
  <si>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</si>
  <si>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</si>
  <si>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</si>
  <si>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</si>
  <si>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</si>
  <si>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</si>
  <si>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</si>
  <si>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</si>
  <si>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</si>
  <si>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</si>
  <si>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</si>
  <si>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</si>
  <si>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</si>
  <si>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</si>
  <si>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</si>
  <si>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</si>
  <si>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</si>
  <si>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</si>
  <si>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</si>
  <si>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</si>
  <si>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</si>
  <si>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</si>
  <si>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</si>
  <si>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</si>
  <si>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</si>
  <si>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</si>
  <si>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</si>
  <si>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</si>
  <si>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</si>
  <si>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</si>
  <si>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</si>
  <si>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</si>
  <si>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</si>
  <si>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</si>
  <si>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</si>
  <si>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</si>
  <si>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</si>
  <si>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</si>
  <si>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</si>
  <si>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</si>
  <si>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</si>
  <si>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</si>
  <si>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</si>
  <si>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</si>
  <si>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</si>
  <si>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</si>
  <si>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</si>
  <si>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</si>
  <si>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</si>
  <si>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</si>
  <si>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</si>
  <si>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</si>
  <si>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</si>
  <si>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</si>
  <si>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</si>
  <si>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</si>
  <si>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</si>
  <si>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</si>
  <si>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</si>
  <si>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</si>
  <si>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</si>
  <si>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</si>
  <si>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</si>
  <si>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</si>
  <si>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</si>
  <si>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</si>
  <si>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</si>
  <si>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</si>
  <si>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</si>
  <si>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</si>
  <si>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</si>
  <si>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</si>
  <si>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</si>
  <si>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</si>
  <si>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</si>
  <si>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</si>
  <si>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</si>
  <si>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</si>
  <si>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</si>
  <si>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</si>
  <si>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</si>
  <si>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</si>
  <si>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</si>
  <si>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</si>
  <si>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</si>
  <si>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</si>
  <si>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</si>
  <si>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</si>
  <si>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</si>
  <si>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</si>
  <si>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</si>
  <si>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</si>
  <si>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</si>
  <si>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</si>
  <si>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</si>
  <si>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</si>
  <si>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</si>
  <si>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</si>
  <si>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</si>
  <si>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</si>
  <si>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</si>
  <si>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</si>
  <si>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</si>
  <si>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</si>
  <si>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</si>
  <si>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</si>
  <si>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</si>
  <si>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</si>
  <si>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</si>
  <si>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</si>
  <si>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</si>
  <si>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</si>
  <si>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</si>
  <si>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</si>
  <si>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</si>
  <si>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</si>
  <si>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</si>
  <si>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</si>
  <si>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</si>
  <si>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</si>
  <si>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</si>
  <si>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</si>
  <si>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</si>
  <si>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</si>
  <si>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</si>
  <si>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</si>
  <si>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</si>
  <si>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</si>
  <si>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</si>
  <si>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</si>
  <si>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</si>
  <si>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</si>
  <si>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</si>
  <si>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</si>
  <si>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</si>
  <si>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</si>
  <si>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</si>
  <si>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</si>
  <si>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</si>
  <si>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</si>
  <si>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</si>
  <si>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</si>
  <si>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</si>
  <si>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</si>
  <si>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</si>
  <si>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</si>
  <si>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</si>
  <si>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</si>
  <si>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</si>
  <si>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</si>
  <si>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</si>
  <si>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</si>
  <si>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</si>
  <si>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</si>
  <si>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</si>
  <si>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</si>
  <si>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</si>
  <si>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</si>
  <si>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</si>
  <si>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</si>
  <si>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</si>
  <si>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</si>
  <si>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</si>
  <si>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</si>
  <si>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</si>
  <si>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</si>
  <si>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</si>
  <si>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</si>
  <si>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</si>
  <si>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</si>
  <si>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</si>
  <si>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</si>
  <si>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</si>
  <si>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</si>
  <si>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</si>
  <si>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</si>
  <si>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</si>
  <si>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</si>
  <si>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</si>
  <si>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</si>
  <si>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</si>
  <si>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</si>
  <si>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</si>
  <si>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</si>
  <si>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</si>
  <si>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</si>
  <si>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</si>
  <si>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</si>
  <si>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</si>
  <si>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</si>
  <si>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</si>
  <si>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</si>
  <si>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</si>
  <si>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</si>
  <si>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</si>
  <si>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</si>
  <si>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</si>
  <si>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</si>
  <si>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</si>
  <si>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</si>
  <si>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</si>
  <si>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</si>
  <si>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</si>
  <si>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</si>
  <si>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</si>
  <si>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</si>
  <si>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</si>
  <si>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</si>
  <si>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</si>
  <si>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</si>
  <si>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</si>
  <si>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</si>
  <si>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</si>
  <si>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</si>
  <si>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</si>
  <si>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</si>
  <si>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</si>
  <si>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</si>
  <si>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</si>
  <si>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</si>
  <si>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</si>
  <si>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</si>
  <si>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</si>
  <si>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</si>
  <si>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</si>
  <si>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</si>
  <si>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</si>
  <si>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</si>
  <si>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</si>
  <si>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</si>
  <si>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</si>
  <si>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</si>
  <si>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</si>
  <si>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</si>
  <si>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</si>
  <si>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</si>
  <si>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</si>
  <si>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</si>
  <si>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</si>
  <si>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</si>
  <si>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</si>
  <si>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</si>
  <si>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</si>
  <si>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</si>
  <si>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</si>
  <si>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</si>
  <si>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</si>
  <si>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</si>
  <si>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</si>
  <si>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</si>
  <si>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</si>
  <si>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</si>
  <si>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</si>
  <si>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</si>
  <si>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</si>
  <si>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</si>
  <si>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</si>
  <si>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</si>
  <si>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</si>
  <si>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</si>
  <si>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</si>
  <si>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</si>
  <si>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</si>
  <si>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</si>
  <si>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</si>
  <si>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</si>
  <si>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</si>
  <si>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</si>
  <si>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</si>
  <si>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</si>
  <si>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</si>
  <si>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</si>
  <si>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</si>
  <si>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</si>
  <si>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</si>
  <si>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</si>
  <si>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</si>
  <si>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</si>
  <si>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</si>
  <si>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</si>
  <si>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</si>
  <si>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</si>
  <si>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</si>
  <si>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</si>
  <si>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</si>
  <si>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</si>
  <si>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</si>
  <si>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</si>
  <si>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</si>
  <si>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</si>
  <si>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</si>
  <si>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</si>
  <si>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</si>
  <si>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</si>
  <si>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</si>
  <si>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</si>
  <si>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</si>
  <si>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</si>
  <si>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</si>
  <si>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</si>
  <si>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</si>
  <si>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</si>
  <si>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</si>
  <si>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</si>
  <si>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</si>
  <si>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</si>
  <si>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</si>
  <si>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</si>
  <si>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</si>
  <si>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</si>
  <si>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</si>
  <si>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</si>
  <si>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</si>
  <si>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</si>
  <si>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</si>
  <si>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</si>
  <si>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</si>
  <si>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</si>
  <si>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</si>
  <si>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</si>
  <si>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</si>
  <si>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</si>
  <si>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</si>
  <si>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</si>
  <si>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</si>
  <si>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</si>
  <si>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</si>
  <si>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</si>
  <si>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</si>
  <si>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</si>
  <si>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</si>
  <si>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</si>
  <si>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</si>
  <si>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</si>
  <si>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</si>
  <si>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</si>
  <si>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</si>
  <si>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</si>
  <si>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</si>
  <si>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</si>
  <si>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</si>
  <si>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</si>
  <si>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</si>
  <si>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</si>
  <si>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</si>
  <si>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</si>
  <si>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</si>
  <si>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</si>
  <si>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</si>
  <si>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</si>
  <si>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</si>
  <si>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</si>
  <si>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</si>
  <si>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</si>
  <si>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</si>
  <si>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</si>
  <si>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</si>
  <si>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</si>
  <si>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</si>
  <si>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</si>
  <si>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</si>
  <si>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</si>
  <si>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</si>
  <si>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</si>
  <si>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</si>
  <si>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</si>
  <si>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</si>
  <si>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</si>
  <si>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</si>
  <si>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</si>
  <si>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</si>
  <si>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</si>
  <si>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</si>
  <si>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</si>
  <si>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</si>
  <si>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</si>
  <si>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</si>
  <si>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</si>
  <si>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</si>
  <si>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</si>
  <si>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</si>
  <si>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</si>
  <si>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</si>
  <si>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</si>
  <si>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</si>
  <si>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</si>
  <si>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</si>
  <si>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</si>
  <si>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</si>
  <si>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</si>
  <si>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</si>
  <si>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</si>
  <si>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</si>
  <si>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</si>
  <si>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</si>
  <si>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</si>
  <si>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</si>
  <si>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</si>
  <si>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</si>
  <si>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</si>
  <si>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</si>
  <si>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</si>
  <si>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</si>
  <si>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</si>
  <si>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</si>
  <si>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</si>
  <si>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</si>
  <si>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</si>
  <si>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</si>
  <si>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</si>
  <si>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</si>
  <si>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</si>
  <si>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</si>
  <si>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</si>
  <si>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</si>
  <si>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</si>
  <si>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</si>
  <si>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</si>
  <si>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</si>
  <si>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</si>
  <si>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</si>
  <si>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</si>
  <si>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</si>
  <si>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</si>
  <si>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</si>
  <si>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</si>
  <si>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</si>
  <si>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</si>
  <si>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</si>
  <si>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</si>
  <si>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</si>
  <si>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</si>
  <si>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</si>
  <si>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</si>
  <si>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</si>
  <si>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</si>
  <si>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</si>
  <si>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</si>
  <si>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</si>
  <si>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</si>
  <si>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</si>
  <si>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</si>
  <si>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</si>
  <si>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</si>
  <si>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</si>
  <si>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</si>
  <si>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</si>
  <si>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</si>
  <si>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</si>
  <si>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</si>
  <si>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</si>
  <si>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</si>
  <si>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</si>
  <si>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</si>
  <si>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</si>
  <si>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</si>
  <si>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</si>
  <si>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</si>
  <si>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</si>
  <si>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</si>
  <si>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</si>
  <si>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</si>
  <si>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</si>
  <si>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</si>
  <si>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</si>
  <si>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</si>
  <si>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</si>
  <si>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</si>
  <si>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</si>
  <si>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</si>
  <si>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</si>
  <si>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</si>
  <si>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</si>
  <si>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</si>
  <si>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</si>
  <si>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</si>
  <si>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</si>
  <si>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</si>
  <si>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</si>
  <si>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</si>
  <si>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</si>
  <si>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</si>
  <si>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</si>
  <si>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</si>
  <si>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</si>
  <si>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</si>
  <si>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</si>
  <si>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</si>
  <si>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</si>
  <si>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</si>
  <si>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</si>
  <si>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</si>
  <si>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</si>
  <si>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</si>
  <si>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</si>
  <si>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</si>
  <si>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</si>
  <si>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</si>
  <si>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</si>
  <si>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</si>
  <si>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</si>
  <si>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</si>
  <si>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</si>
  <si>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</si>
  <si>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</si>
  <si>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</si>
  <si>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</si>
  <si>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</si>
  <si>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</si>
  <si>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</si>
  <si>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</si>
  <si>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</si>
  <si>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</si>
  <si>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</si>
  <si>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</si>
  <si>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</si>
  <si>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</si>
  <si>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</si>
  <si>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</si>
  <si>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</si>
  <si>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</si>
  <si>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</si>
  <si>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</si>
  <si>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</si>
  <si>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</si>
  <si>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</si>
  <si>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</si>
  <si>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</si>
  <si>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</si>
  <si>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</si>
  <si>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</si>
  <si>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</si>
  <si>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</si>
  <si>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</si>
  <si>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</si>
  <si>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</si>
  <si>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</si>
  <si>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</si>
  <si>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</si>
  <si>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</si>
  <si>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</si>
  <si>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</si>
  <si>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</si>
  <si>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</si>
  <si>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</si>
  <si>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</si>
  <si>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</si>
  <si>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</si>
  <si>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</si>
  <si>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</si>
  <si>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</si>
  <si>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</si>
  <si>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</si>
  <si>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</si>
  <si>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</si>
  <si>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</si>
  <si>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</si>
  <si>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</si>
  <si>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</si>
  <si>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</si>
  <si>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</si>
  <si>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</si>
  <si>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</si>
  <si>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</si>
  <si>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</si>
  <si>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</si>
  <si>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</si>
  <si>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</si>
  <si>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</si>
  <si>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</si>
  <si>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</si>
  <si>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</si>
  <si>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</si>
  <si>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</si>
  <si>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</si>
  <si>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</si>
  <si>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</si>
  <si>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</si>
  <si>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</si>
  <si>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</si>
  <si>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</si>
  <si>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</si>
  <si>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</si>
  <si>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</si>
  <si>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</si>
  <si>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</si>
  <si>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</si>
  <si>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</si>
  <si>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</si>
  <si>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</si>
  <si>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</si>
  <si>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</si>
  <si>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</si>
  <si>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</si>
  <si>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</si>
  <si>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</si>
  <si>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</si>
  <si>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</si>
  <si>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</si>
  <si>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</si>
  <si>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</si>
  <si>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</si>
  <si>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</si>
  <si>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</si>
  <si>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</si>
  <si>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</si>
  <si>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</si>
  <si>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</si>
  <si>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</si>
  <si>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</si>
  <si>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</si>
  <si>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</si>
  <si>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</si>
  <si>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</si>
  <si>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</si>
  <si>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</si>
  <si>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</si>
  <si>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</si>
  <si>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</si>
  <si>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</si>
  <si>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</si>
  <si>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</si>
  <si>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</si>
  <si>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</si>
  <si>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</si>
  <si>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</si>
  <si>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</si>
  <si>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</si>
  <si>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</si>
  <si>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</si>
  <si>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</si>
  <si>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</si>
  <si>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</si>
  <si>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</si>
  <si>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</si>
  <si>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</si>
  <si>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</si>
  <si>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</si>
  <si>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</si>
  <si>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</si>
  <si>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</si>
  <si>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</si>
  <si>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</si>
  <si>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</si>
  <si>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</si>
  <si>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</si>
  <si>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</si>
  <si>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</si>
  <si>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</si>
  <si>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</si>
  <si>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</si>
  <si>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</si>
  <si>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</si>
  <si>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</si>
  <si>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</si>
  <si>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</si>
  <si>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</si>
  <si>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</si>
  <si>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</si>
  <si>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</si>
  <si>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</si>
  <si>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</si>
  <si>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</si>
  <si>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</si>
  <si>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</si>
  <si>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</si>
  <si>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</si>
  <si>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</si>
  <si>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</si>
  <si>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</si>
  <si>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</si>
  <si>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</si>
  <si>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</si>
  <si>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</si>
  <si>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</si>
  <si>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</si>
  <si>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</si>
  <si>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</si>
  <si>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</si>
  <si>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</si>
  <si>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</si>
  <si>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</si>
  <si>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</si>
  <si>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</si>
  <si>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</si>
  <si>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</si>
  <si>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</si>
  <si>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</si>
  <si>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</si>
  <si>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</si>
  <si>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</si>
  <si>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</si>
  <si>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</si>
  <si>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</si>
  <si>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</si>
  <si>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</si>
  <si>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</si>
  <si>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</si>
  <si>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</si>
  <si>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</si>
  <si>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</si>
  <si>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</si>
  <si>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</si>
  <si>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</si>
  <si>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</si>
  <si>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</si>
  <si>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</si>
  <si>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</si>
  <si>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</si>
  <si>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</si>
  <si>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</si>
  <si>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</si>
  <si>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</si>
  <si>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</si>
  <si>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</si>
  <si>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</si>
  <si>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</si>
  <si>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</si>
  <si>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</si>
  <si>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</si>
  <si>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</si>
  <si>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</si>
  <si>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</si>
  <si>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</si>
  <si>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</si>
  <si>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</si>
  <si>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</si>
  <si>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</si>
  <si>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</si>
  <si>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</si>
  <si>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</si>
  <si>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</si>
  <si>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</si>
  <si>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</si>
  <si>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</si>
  <si>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</si>
  <si>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</si>
  <si>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</si>
  <si>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</si>
  <si>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</si>
  <si>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</si>
  <si>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</si>
  <si>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</si>
  <si>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</si>
  <si>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</si>
  <si>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</si>
  <si>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</si>
  <si>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</si>
  <si>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</si>
  <si>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</si>
  <si>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</si>
  <si>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</si>
  <si>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</si>
  <si>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</si>
  <si>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</si>
  <si>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</si>
  <si>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</si>
  <si>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</si>
  <si>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</si>
  <si>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</si>
  <si>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</si>
  <si>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</si>
  <si>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</si>
  <si>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</si>
  <si>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</si>
  <si>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</si>
  <si>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</si>
  <si>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</si>
  <si>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</si>
  <si>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</si>
  <si>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</si>
  <si>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</si>
  <si>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</si>
  <si>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</si>
  <si>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</si>
  <si>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</si>
  <si>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</si>
  <si>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</si>
  <si>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</si>
  <si>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</si>
  <si>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</si>
  <si>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</si>
  <si>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</si>
  <si>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</si>
  <si>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</si>
  <si>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</si>
  <si>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</si>
  <si>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</si>
  <si>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</si>
  <si>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</si>
  <si>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</si>
  <si>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</si>
  <si>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</si>
  <si>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</si>
  <si>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</si>
  <si>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</si>
  <si>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</si>
  <si>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</si>
  <si>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</si>
  <si>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</si>
  <si>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</si>
  <si>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</si>
  <si>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</si>
  <si>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</si>
  <si>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</si>
  <si>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</si>
  <si>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</si>
  <si>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</si>
  <si>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</si>
  <si>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</si>
  <si>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</si>
  <si>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</si>
  <si>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</si>
  <si>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</si>
  <si>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</si>
  <si>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</si>
  <si>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</si>
  <si>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</si>
  <si>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</si>
  <si>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</si>
  <si>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</si>
  <si>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</si>
  <si>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</si>
  <si>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</si>
  <si>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</si>
  <si>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</si>
  <si>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</si>
  <si>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</si>
  <si>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</si>
  <si>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</si>
  <si>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</si>
  <si>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</si>
  <si>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</si>
  <si>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</si>
  <si>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</si>
  <si>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</si>
  <si>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</si>
  <si>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</si>
  <si>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</si>
  <si>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</si>
  <si>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</si>
  <si>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</si>
  <si>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</si>
  <si>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</si>
  <si>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</si>
  <si>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</si>
  <si>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</si>
  <si>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</si>
  <si>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</si>
  <si>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</si>
  <si>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</si>
  <si>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</si>
  <si>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</si>
  <si>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</si>
  <si>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</si>
  <si>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</si>
  <si>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</si>
  <si>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</si>
  <si>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</si>
  <si>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</si>
  <si>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</si>
  <si>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</si>
  <si>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</si>
  <si>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</si>
  <si>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</si>
  <si>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</si>
  <si>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</si>
  <si>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</si>
  <si>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</si>
  <si>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</si>
  <si>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</si>
  <si>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</si>
  <si>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</si>
  <si>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</si>
  <si>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</si>
  <si>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</si>
  <si>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</si>
  <si>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</si>
  <si>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</si>
  <si>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</si>
  <si>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</si>
  <si>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</si>
  <si>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</si>
  <si>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</si>
  <si>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</si>
  <si>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</si>
  <si>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</si>
  <si>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</si>
  <si>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</si>
  <si>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</si>
  <si>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</si>
  <si>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</si>
  <si>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</si>
  <si>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</si>
  <si>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</si>
  <si>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</si>
  <si>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</si>
  <si>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</si>
  <si>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</si>
  <si>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</si>
  <si>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</si>
  <si>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</si>
  <si>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</si>
  <si>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</si>
  <si>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</si>
  <si>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</si>
  <si>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</si>
  <si>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</si>
  <si>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</si>
  <si>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</si>
  <si>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</si>
  <si>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</si>
  <si>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</si>
  <si>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</si>
  <si>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</si>
  <si>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</si>
  <si>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</si>
  <si>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</si>
  <si>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</si>
  <si>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</si>
  <si>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</si>
  <si>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</si>
  <si>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</si>
  <si>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</si>
  <si>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</si>
  <si>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</si>
  <si>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</si>
  <si>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</si>
  <si>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</si>
  <si>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</si>
  <si>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</si>
  <si>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</si>
  <si>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</si>
  <si>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</si>
  <si>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</si>
  <si>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</si>
  <si>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</si>
  <si>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</si>
  <si>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</si>
  <si>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</si>
  <si>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</si>
  <si>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</si>
  <si>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</si>
  <si>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</si>
  <si>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</si>
  <si>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</si>
  <si>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</si>
  <si>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</si>
  <si>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</si>
  <si>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</si>
  <si>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</si>
  <si>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</si>
  <si>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</si>
  <si>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</si>
  <si>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</si>
  <si>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</si>
  <si>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</si>
  <si>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</si>
  <si>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</si>
  <si>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</si>
  <si>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</si>
  <si>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</si>
  <si>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</si>
  <si>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</si>
  <si>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</si>
  <si>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</si>
  <si>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</si>
  <si>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</si>
  <si>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</si>
  <si>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</si>
  <si>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</si>
  <si>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</si>
  <si>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</si>
  <si>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</si>
  <si>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</si>
  <si>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</si>
  <si>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</si>
  <si>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</si>
  <si>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</si>
  <si>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</si>
  <si>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</si>
  <si>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</si>
  <si>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</si>
  <si>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</si>
  <si>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</si>
  <si>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</si>
  <si>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</si>
  <si>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</si>
  <si>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</si>
  <si>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</si>
  <si>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</si>
  <si>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</si>
  <si>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</si>
  <si>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</si>
  <si>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</si>
  <si>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</si>
  <si>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</si>
  <si>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</si>
  <si>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</si>
  <si>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</si>
  <si>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</si>
  <si>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</si>
  <si>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</si>
  <si>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</si>
  <si>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</si>
  <si>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</si>
  <si>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</si>
  <si>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</si>
  <si>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</si>
  <si>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</si>
  <si>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</si>
  <si>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</si>
  <si>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</si>
  <si>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</si>
  <si>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</si>
  <si>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</si>
  <si>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</si>
  <si>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</si>
  <si>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</si>
  <si>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</si>
  <si>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</si>
  <si>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</si>
  <si>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</si>
  <si>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</si>
  <si>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</si>
  <si>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</si>
  <si>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</si>
  <si>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</si>
  <si>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</si>
  <si>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</si>
  <si>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</si>
  <si>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</si>
  <si>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</si>
  <si>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</si>
  <si>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</si>
  <si>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</si>
  <si>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</si>
  <si>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</si>
  <si>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</si>
  <si>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</si>
  <si>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</si>
  <si>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</si>
  <si>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</si>
  <si>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</si>
  <si>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</si>
  <si>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</si>
  <si>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</si>
  <si>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</si>
  <si>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</si>
  <si>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</si>
  <si>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</si>
  <si>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</si>
  <si>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</si>
  <si>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</si>
  <si>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</si>
  <si>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</si>
  <si>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</si>
  <si>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</si>
  <si>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</si>
  <si>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</si>
  <si>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</si>
  <si>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</si>
  <si>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</si>
  <si>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</si>
  <si>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</si>
  <si>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</si>
  <si>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</si>
  <si>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</si>
  <si>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</si>
  <si>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</si>
  <si>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</si>
  <si>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</si>
  <si>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</si>
  <si>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</si>
  <si>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</si>
  <si>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</si>
  <si>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</si>
  <si>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</si>
  <si>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</si>
  <si>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</si>
  <si>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</si>
  <si>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</si>
  <si>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</si>
  <si>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</si>
  <si>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</si>
  <si>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</si>
  <si>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</si>
  <si>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</si>
  <si>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</si>
  <si>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</si>
  <si>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</si>
  <si>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</si>
  <si>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</si>
  <si>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</si>
  <si>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</si>
  <si>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</si>
  <si>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</si>
  <si>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</si>
  <si>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</si>
  <si>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</si>
  <si>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</si>
  <si>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</si>
  <si>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</si>
  <si>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</si>
  <si>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</si>
  <si>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</si>
  <si>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</si>
  <si>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</si>
  <si>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</si>
  <si>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</si>
  <si>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</si>
  <si>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</si>
  <si>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</si>
  <si>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</si>
  <si>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</si>
  <si>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</si>
  <si>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</si>
  <si>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</si>
  <si>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</si>
  <si>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</si>
  <si>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</si>
  <si>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</si>
  <si>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</si>
  <si>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</si>
  <si>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</si>
  <si>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</si>
  <si>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</si>
  <si>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</si>
  <si>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</si>
  <si>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</si>
  <si>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</si>
  <si>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</si>
  <si>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</si>
  <si>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</si>
  <si>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</si>
  <si>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</si>
  <si>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</si>
  <si>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</si>
  <si>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</si>
  <si>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</si>
  <si>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</si>
  <si>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</si>
  <si>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</si>
  <si>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</si>
  <si>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</si>
  <si>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</si>
  <si>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</si>
  <si>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</si>
  <si>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</si>
  <si>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</si>
  <si>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</si>
  <si>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</si>
  <si>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</si>
  <si>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</si>
  <si>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</si>
  <si>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</si>
  <si>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</si>
  <si>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</si>
  <si>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</si>
  <si>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</si>
  <si>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</si>
  <si>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</si>
  <si>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</si>
  <si>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</si>
  <si>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</si>
  <si>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</si>
  <si>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</si>
  <si>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</si>
  <si>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</si>
  <si>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</si>
  <si>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</si>
  <si>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</si>
  <si>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</si>
  <si>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</si>
  <si>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</si>
  <si>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</si>
  <si>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</si>
  <si>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</si>
  <si>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</si>
  <si>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</si>
  <si>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</si>
  <si>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</si>
  <si>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</si>
  <si>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</si>
  <si>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</si>
  <si>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</si>
  <si>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</si>
  <si>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</si>
  <si>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</si>
  <si>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</si>
  <si>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</si>
  <si>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</si>
  <si>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</si>
  <si>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</si>
  <si>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</si>
  <si>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</si>
  <si>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</si>
  <si>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</si>
  <si>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</si>
  <si>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</si>
  <si>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</si>
  <si>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</si>
  <si>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</si>
  <si>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</si>
  <si>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</si>
  <si>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</si>
  <si>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</si>
  <si>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</si>
  <si>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</si>
  <si>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</si>
  <si>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</si>
  <si>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</si>
  <si>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</si>
  <si>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</si>
  <si>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</si>
  <si>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</si>
  <si>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</si>
  <si>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</si>
  <si>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</si>
  <si>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</si>
  <si>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</si>
  <si>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</si>
  <si>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</si>
  <si>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</si>
  <si>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</si>
  <si>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</si>
  <si>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</si>
  <si>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</si>
  <si>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</si>
  <si>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</si>
  <si>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</si>
  <si>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</si>
  <si>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</si>
  <si>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</si>
  <si>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</si>
  <si>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</si>
  <si>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</si>
  <si>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</si>
  <si>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</si>
  <si>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</si>
  <si>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</si>
  <si>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</si>
  <si>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</si>
  <si>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</si>
  <si>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</si>
  <si>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</si>
  <si>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</si>
  <si>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</si>
  <si>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</si>
  <si>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</si>
  <si>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</si>
  <si>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</si>
  <si>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</si>
  <si>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</si>
  <si>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</si>
  <si>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</si>
  <si>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</si>
  <si>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</si>
  <si>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</si>
  <si>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</si>
  <si>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</si>
  <si>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</si>
  <si>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</si>
  <si>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</si>
  <si>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</si>
  <si>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</si>
  <si>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</si>
  <si>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</si>
  <si>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</si>
  <si>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</si>
  <si>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</si>
  <si>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</si>
  <si>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</si>
  <si>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</si>
  <si>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</si>
  <si>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</si>
  <si>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</si>
  <si>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</si>
  <si>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</si>
  <si>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</si>
  <si>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</si>
  <si>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</si>
  <si>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</si>
  <si>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</si>
  <si>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</si>
  <si>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</si>
  <si>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</si>
  <si>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</si>
  <si>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</si>
  <si>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</si>
  <si>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</si>
  <si>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</si>
  <si>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</si>
  <si>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</si>
  <si>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</si>
  <si>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</si>
  <si>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</si>
  <si>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</si>
  <si>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</si>
  <si>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</si>
  <si>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</si>
  <si>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</si>
  <si>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</si>
  <si>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</si>
  <si>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</si>
  <si>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</si>
  <si>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</si>
  <si>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</si>
  <si>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</si>
  <si>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</si>
  <si>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</si>
  <si>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</si>
  <si>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</si>
  <si>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</si>
  <si>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</si>
  <si>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</si>
  <si>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</si>
  <si>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</si>
  <si>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</si>
  <si>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</si>
  <si>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</si>
  <si>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</si>
  <si>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</si>
  <si>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</si>
  <si>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</si>
  <si>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</si>
  <si>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</si>
  <si>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</si>
  <si>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</si>
  <si>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</si>
  <si>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</si>
  <si>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</si>
  <si>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</si>
  <si>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</si>
  <si>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</si>
  <si>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</si>
  <si>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</si>
  <si>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</si>
  <si>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</si>
  <si>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</si>
  <si>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</si>
  <si>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</si>
  <si>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</si>
  <si>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</si>
  <si>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</si>
  <si>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</si>
  <si>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</si>
  <si>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</si>
  <si>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</si>
  <si>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</si>
  <si>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</si>
  <si>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</si>
  <si>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</si>
  <si>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</si>
  <si>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</si>
  <si>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</si>
  <si>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</si>
  <si>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</si>
  <si>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</si>
  <si>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</si>
  <si>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</si>
  <si>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</si>
  <si>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</si>
  <si>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</si>
  <si>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</si>
  <si>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</si>
  <si>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</si>
  <si>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</si>
  <si>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</si>
  <si>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</si>
  <si>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</si>
  <si>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</si>
  <si>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</si>
  <si>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</si>
  <si>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</si>
  <si>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</si>
  <si>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</si>
  <si>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</si>
  <si>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</si>
  <si>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</si>
  <si>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</si>
  <si>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</si>
  <si>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</si>
  <si>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</si>
  <si>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</si>
  <si>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</si>
  <si>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</si>
  <si>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</si>
  <si>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</si>
  <si>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</si>
  <si>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</si>
  <si>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</si>
  <si>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</si>
  <si>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</si>
  <si>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</si>
  <si>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</si>
  <si>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</si>
  <si>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</si>
  <si>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</si>
  <si>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</si>
  <si>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</si>
  <si>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</si>
  <si>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</si>
  <si>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</si>
  <si>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</si>
  <si>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</si>
  <si>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</si>
  <si>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</si>
  <si>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</si>
  <si>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</si>
  <si>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</si>
  <si>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</si>
  <si>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</si>
  <si>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</si>
  <si>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</si>
  <si>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</si>
  <si>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</si>
  <si>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</si>
  <si>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</si>
  <si>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</si>
  <si>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</si>
  <si>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</si>
  <si>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</si>
  <si>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</si>
  <si>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</si>
  <si>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</si>
  <si>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</si>
  <si>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</si>
  <si>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</si>
  <si>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</si>
  <si>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</si>
  <si>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</si>
  <si>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</si>
  <si>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</si>
  <si>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</si>
  <si>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</si>
  <si>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</si>
  <si>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</si>
  <si>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</si>
  <si>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</si>
  <si>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</si>
  <si>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</si>
  <si>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</si>
  <si>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</si>
  <si>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</si>
  <si>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</si>
  <si>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</si>
  <si>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</si>
  <si>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</si>
  <si>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</si>
  <si>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</si>
  <si>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</si>
  <si>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</si>
  <si>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</si>
  <si>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</si>
  <si>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</si>
  <si>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</si>
  <si>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</si>
  <si>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</si>
  <si>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</si>
  <si>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</si>
  <si>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</si>
  <si>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</si>
  <si>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</si>
  <si>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</si>
  <si>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</si>
  <si>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</si>
  <si>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</si>
  <si>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</si>
  <si>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</si>
  <si>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</si>
  <si>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</si>
  <si>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</si>
  <si>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</si>
  <si>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</si>
  <si>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</si>
  <si>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</si>
  <si>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</si>
  <si>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</si>
  <si>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</si>
  <si>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</si>
  <si>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</si>
  <si>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</si>
  <si>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</si>
  <si>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</si>
  <si>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</si>
  <si>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</si>
  <si>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</si>
  <si>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</si>
  <si>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</si>
  <si>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</si>
  <si>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</si>
  <si>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</si>
  <si>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</si>
  <si>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</si>
  <si>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</si>
  <si>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</si>
  <si>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</si>
  <si>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</si>
  <si>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</si>
  <si>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</si>
  <si>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</si>
  <si>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</si>
  <si>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</si>
  <si>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</si>
  <si>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</si>
  <si>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</si>
  <si>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</si>
  <si>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</si>
  <si>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</si>
  <si>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</si>
  <si>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</si>
  <si>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</si>
  <si>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</si>
  <si>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</si>
  <si>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</si>
  <si>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</si>
  <si>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</si>
  <si>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</si>
  <si>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</si>
  <si>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</si>
  <si>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</si>
  <si>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</si>
  <si>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</si>
  <si>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</si>
  <si>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</si>
  <si>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</si>
  <si>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</si>
  <si>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</si>
  <si>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</si>
  <si>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</si>
  <si>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</si>
  <si>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</si>
  <si>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</si>
  <si>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</si>
  <si>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</si>
  <si>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</si>
  <si>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</si>
  <si>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</si>
  <si>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</si>
  <si>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</si>
  <si>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</si>
  <si>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</si>
  <si>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</si>
  <si>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</si>
  <si>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</si>
  <si>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</si>
  <si>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</si>
  <si>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</si>
  <si>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</si>
  <si>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</si>
  <si>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</si>
  <si>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</si>
  <si>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</si>
  <si>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</si>
  <si>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</si>
  <si>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</si>
  <si>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</si>
  <si>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</si>
  <si>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</si>
  <si>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</si>
  <si>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</si>
  <si>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</si>
  <si>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</si>
  <si>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</si>
  <si>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</si>
  <si>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</si>
  <si>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</si>
  <si>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</si>
  <si>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</si>
  <si>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</si>
  <si>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</si>
  <si>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</si>
  <si>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</si>
  <si>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</si>
  <si>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</si>
  <si>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</si>
  <si>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</si>
  <si>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</si>
  <si>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</si>
  <si>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</si>
  <si>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</si>
  <si>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</si>
  <si>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</si>
  <si>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</si>
  <si>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</si>
  <si>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</si>
  <si>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</si>
  <si>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</si>
  <si>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</si>
  <si>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</si>
  <si>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</si>
  <si>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</si>
  <si>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</si>
  <si>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</si>
  <si>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</si>
  <si>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</si>
  <si>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</si>
  <si>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</si>
  <si>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</si>
  <si>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</si>
  <si>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</si>
  <si>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</si>
  <si>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</si>
  <si>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</si>
  <si>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</si>
  <si>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</si>
  <si>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</si>
  <si>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</si>
  <si>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</si>
  <si>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</si>
  <si>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</si>
  <si>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</si>
  <si>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</si>
  <si>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</si>
  <si>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</si>
  <si>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</si>
  <si>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</si>
  <si>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</si>
  <si>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</si>
  <si>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</si>
  <si>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</si>
  <si>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</si>
  <si>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</si>
  <si>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</si>
  <si>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</si>
  <si>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</si>
  <si>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</si>
  <si>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</si>
  <si>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</si>
  <si>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</si>
  <si>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</si>
  <si>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</si>
  <si>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</si>
  <si>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</si>
  <si>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</si>
  <si>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</si>
  <si>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</si>
  <si>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</si>
  <si>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</si>
  <si>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</si>
  <si>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</si>
  <si>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</si>
  <si>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</si>
  <si>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</si>
  <si>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</si>
  <si>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</si>
  <si>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</si>
  <si>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</si>
  <si>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</si>
  <si>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</si>
  <si>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</si>
  <si>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</si>
  <si>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</si>
  <si>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</si>
  <si>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</si>
  <si>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</si>
  <si>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</si>
  <si>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</si>
  <si>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</si>
  <si>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</si>
  <si>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</si>
  <si>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</si>
  <si>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</si>
  <si>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</si>
  <si>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</si>
  <si>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</si>
  <si>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</si>
  <si>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</si>
  <si>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</si>
  <si>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</si>
  <si>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</si>
  <si>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</si>
  <si>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</si>
  <si>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</si>
  <si>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</si>
  <si>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</si>
  <si>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</si>
  <si>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</si>
  <si>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</si>
  <si>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</si>
  <si>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</si>
  <si>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</si>
  <si>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</si>
  <si>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</si>
  <si>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</si>
  <si>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</si>
  <si>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</si>
  <si>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</si>
  <si>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</si>
  <si>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</si>
  <si>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</si>
  <si>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</si>
  <si>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</si>
  <si>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</si>
  <si>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</si>
  <si>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</si>
  <si>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</si>
  <si>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</si>
  <si>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</si>
  <si>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</si>
  <si>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</si>
  <si>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</si>
  <si>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</si>
  <si>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</si>
  <si>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</si>
  <si>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</si>
  <si>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</si>
  <si>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</si>
  <si>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</si>
  <si>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</si>
  <si>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</si>
  <si>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</si>
  <si>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</si>
  <si>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</si>
  <si>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</si>
  <si>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</si>
  <si>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</si>
  <si>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</si>
  <si>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</si>
  <si>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</si>
  <si>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</si>
  <si>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</si>
  <si>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</si>
  <si>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</si>
  <si>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</si>
  <si>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</si>
  <si>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</si>
  <si>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</si>
  <si>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</si>
  <si>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</si>
  <si>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</si>
  <si>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</si>
  <si>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</si>
  <si>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</si>
  <si>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</si>
  <si>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</si>
  <si>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</si>
  <si>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</si>
  <si>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</si>
  <si>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</si>
  <si>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</si>
  <si>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</si>
  <si>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</si>
  <si>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</si>
  <si>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</si>
  <si>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</si>
  <si>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</si>
  <si>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</si>
  <si>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</si>
  <si>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</si>
  <si>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</si>
  <si>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</si>
  <si>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</si>
  <si>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</si>
  <si>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</si>
  <si>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</si>
  <si>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</si>
  <si>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</si>
  <si>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</si>
  <si>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</si>
  <si>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</si>
  <si>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</si>
  <si>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</si>
  <si>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</si>
  <si>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</si>
  <si>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</si>
  <si>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</si>
  <si>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</si>
  <si>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</si>
  <si>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</si>
  <si>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</si>
  <si>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</si>
  <si>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</si>
  <si>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</si>
  <si>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</si>
  <si>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</si>
  <si>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</si>
  <si>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</si>
  <si>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</si>
  <si>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</si>
  <si>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</si>
  <si>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</si>
  <si>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</si>
  <si>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</si>
  <si>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</si>
  <si>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</si>
  <si>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</si>
  <si>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</si>
  <si>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</si>
  <si>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</si>
  <si>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</si>
  <si>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</si>
  <si>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</si>
  <si>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</si>
  <si>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</si>
  <si>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</si>
  <si>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</si>
  <si>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</si>
  <si>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</si>
  <si>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</si>
  <si>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</si>
  <si>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</si>
  <si>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</si>
  <si>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</si>
  <si>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</si>
  <si>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</si>
  <si>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</si>
  <si>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</si>
  <si>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</si>
  <si>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</si>
  <si>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</si>
  <si>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</si>
  <si>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</si>
  <si>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</si>
  <si>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</si>
  <si>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</si>
  <si>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</si>
  <si>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</si>
  <si>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</si>
  <si>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</si>
  <si>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</si>
  <si>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</si>
  <si>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</si>
  <si>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</si>
  <si>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</si>
  <si>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</si>
  <si>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</si>
  <si>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</si>
  <si>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</si>
  <si>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</si>
  <si>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</si>
  <si>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</si>
  <si>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</si>
  <si>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</si>
  <si>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</si>
  <si>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</si>
  <si>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</si>
  <si>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</si>
  <si>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</si>
  <si>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</si>
  <si>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</si>
  <si>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</si>
  <si>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</si>
  <si>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</si>
  <si>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</si>
  <si>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</si>
  <si>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</si>
  <si>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</si>
  <si>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</si>
  <si>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</si>
  <si>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</si>
  <si>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</si>
  <si>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</si>
  <si>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</si>
  <si>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</si>
  <si>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</si>
  <si>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</si>
  <si>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</si>
  <si>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</si>
  <si>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</si>
  <si>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</si>
  <si>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</si>
  <si>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</si>
  <si>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</si>
  <si>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</si>
  <si>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</si>
  <si>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</si>
  <si>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</si>
  <si>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</si>
  <si>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</si>
  <si>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</si>
  <si>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</si>
  <si>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</si>
  <si>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</si>
  <si>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</si>
  <si>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</si>
  <si>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</si>
  <si>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</si>
  <si>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</si>
  <si>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</si>
  <si>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</si>
  <si>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</si>
  <si>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</si>
  <si>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</si>
  <si>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</si>
  <si>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</si>
  <si>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</si>
  <si>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</si>
  <si>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</si>
  <si>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</si>
  <si>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</si>
  <si>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</si>
  <si>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</si>
  <si>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</si>
  <si>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</si>
  <si>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</si>
  <si>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</si>
  <si>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</si>
  <si>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</si>
  <si>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</si>
  <si>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</si>
  <si>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</si>
  <si>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</si>
  <si>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</si>
  <si>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</si>
  <si>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</si>
  <si>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</si>
  <si>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</si>
  <si>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</si>
  <si>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</si>
  <si>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</si>
  <si>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</si>
  <si>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</si>
  <si>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</si>
  <si>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</si>
  <si>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</si>
  <si>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</si>
  <si>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</si>
  <si>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</si>
  <si>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</si>
  <si>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</si>
  <si>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</si>
  <si>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</si>
  <si>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</si>
  <si>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</si>
  <si>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</si>
  <si>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</si>
  <si>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</si>
  <si>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</si>
  <si>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</si>
  <si>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</si>
  <si>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</si>
  <si>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</si>
  <si>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</si>
  <si>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</si>
  <si>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</si>
  <si>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</si>
  <si>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</si>
  <si>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</si>
  <si>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</si>
  <si>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</si>
  <si>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</si>
  <si>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</si>
  <si>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</si>
  <si>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</si>
  <si>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</si>
  <si>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</si>
  <si>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</si>
  <si>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</si>
  <si>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</si>
  <si>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</si>
  <si>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</si>
  <si>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</si>
  <si>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</si>
  <si>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</si>
  <si>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</si>
  <si>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</si>
  <si>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</si>
  <si>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</si>
  <si>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</si>
  <si>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</si>
  <si>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</si>
  <si>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</si>
  <si>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</si>
  <si>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</si>
  <si>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</si>
  <si>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</si>
  <si>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</si>
  <si>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</si>
  <si>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</si>
  <si>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</si>
  <si>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</si>
  <si>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</si>
  <si>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</si>
  <si>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</si>
  <si>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</si>
  <si>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</si>
  <si>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</si>
  <si>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</si>
  <si>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</si>
  <si>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</si>
  <si>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</si>
  <si>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</si>
  <si>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</si>
  <si>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</si>
  <si>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</si>
  <si>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</si>
  <si>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</si>
  <si>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</si>
  <si>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</si>
  <si>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</si>
  <si>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</si>
  <si>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</si>
  <si>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</si>
  <si>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</si>
  <si>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</si>
  <si>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</si>
  <si>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</si>
  <si>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</si>
  <si>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</si>
  <si>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</si>
  <si>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</si>
  <si>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</si>
  <si>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</si>
  <si>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</si>
  <si>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</si>
  <si>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</si>
  <si>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</si>
  <si>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</si>
  <si>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</si>
  <si>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</si>
  <si>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</si>
  <si>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</si>
  <si>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</si>
  <si>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</si>
  <si>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</si>
  <si>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</si>
  <si>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</si>
  <si>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</si>
  <si>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</si>
  <si>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</si>
  <si>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</si>
  <si>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</si>
  <si>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</si>
  <si>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</si>
  <si>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</si>
  <si>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</si>
  <si>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</si>
  <si>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</si>
  <si>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</si>
  <si>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</si>
  <si>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</si>
  <si>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</si>
  <si>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</si>
  <si>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</si>
  <si>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</si>
  <si>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</si>
  <si>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</si>
  <si>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</si>
  <si>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</si>
  <si>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</si>
  <si>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</si>
  <si>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</si>
  <si>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</si>
  <si>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</si>
  <si>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</si>
  <si>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</si>
  <si>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</si>
  <si>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</si>
  <si>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</si>
  <si>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</si>
  <si>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</si>
  <si>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</si>
  <si>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</si>
  <si>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</si>
  <si>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</si>
  <si>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</si>
  <si>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</si>
  <si>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</si>
  <si>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</si>
  <si>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</si>
  <si>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</si>
  <si>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</si>
  <si>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</si>
  <si>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</si>
  <si>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</si>
  <si>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</si>
  <si>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</si>
  <si>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</si>
  <si>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</si>
  <si>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</si>
  <si>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</si>
  <si>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</si>
  <si>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</si>
  <si>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</si>
  <si>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</si>
  <si>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</si>
  <si>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</si>
  <si>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</si>
  <si>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</si>
  <si>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</si>
  <si>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</si>
  <si>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</si>
  <si>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</si>
  <si>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</si>
  <si>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</si>
  <si>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</si>
  <si>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</si>
  <si>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</si>
  <si>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</si>
  <si>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</si>
  <si>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</si>
  <si>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</si>
  <si>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</si>
  <si>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</si>
  <si>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</si>
  <si>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</si>
  <si>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</si>
  <si>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</si>
  <si>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</si>
  <si>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</si>
  <si>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</si>
  <si>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</si>
  <si>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</si>
  <si>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</si>
  <si>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</si>
  <si>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</si>
  <si>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</si>
  <si>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</si>
  <si>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</si>
  <si>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</si>
  <si>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</si>
  <si>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</si>
  <si>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</si>
  <si>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</si>
  <si>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</si>
  <si>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</si>
  <si>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</si>
  <si>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</si>
  <si>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</si>
  <si>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</si>
  <si>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</si>
  <si>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</si>
  <si>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</si>
  <si>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</si>
  <si>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</si>
  <si>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</si>
  <si>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</si>
  <si>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</si>
  <si>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</si>
  <si>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</si>
  <si>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</si>
  <si>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</si>
  <si>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</si>
  <si>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</si>
  <si>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</si>
  <si>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</si>
  <si>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</si>
  <si>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</si>
  <si>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</si>
  <si>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</si>
  <si>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</si>
  <si>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</si>
  <si>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</si>
  <si>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</si>
  <si>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</si>
  <si>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</si>
  <si>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</si>
  <si>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</si>
  <si>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</si>
  <si>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</si>
  <si>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</si>
  <si>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</si>
  <si>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</si>
  <si>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</si>
  <si>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</si>
  <si>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</si>
  <si>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</si>
  <si>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</si>
  <si>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</si>
  <si>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</si>
  <si>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</si>
  <si>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</si>
  <si>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</si>
  <si>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</si>
  <si>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</si>
  <si>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</si>
  <si>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</si>
  <si>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</si>
  <si>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</si>
  <si>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</si>
  <si>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</si>
  <si>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</si>
  <si>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</si>
  <si>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</si>
  <si>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</si>
  <si>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</si>
  <si>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</si>
  <si>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</si>
  <si>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</si>
  <si>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</si>
  <si>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</si>
  <si>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</si>
  <si>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</si>
  <si>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</si>
  <si>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</si>
  <si>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</si>
  <si>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</si>
  <si>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</si>
  <si>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</si>
  <si>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</si>
  <si>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</si>
  <si>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</si>
  <si>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</si>
  <si>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</si>
  <si>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</si>
  <si>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</si>
  <si>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</si>
  <si>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</si>
  <si>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</si>
  <si>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</si>
  <si>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</si>
  <si>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</si>
  <si>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</si>
  <si>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</si>
  <si>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</si>
  <si>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</si>
  <si>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</si>
  <si>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</si>
  <si>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</si>
  <si>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</si>
  <si>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</si>
  <si>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</si>
  <si>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</si>
  <si>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</si>
  <si>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</si>
  <si>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</si>
  <si>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</si>
  <si>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</si>
  <si>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</si>
  <si>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</si>
  <si>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</si>
  <si>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</si>
  <si>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</si>
  <si>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</si>
  <si>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</si>
  <si>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</si>
  <si>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</si>
  <si>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</si>
  <si>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</si>
  <si>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</si>
  <si>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</si>
  <si>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</si>
  <si>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</si>
  <si>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</si>
  <si>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</si>
  <si>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</si>
  <si>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</si>
  <si>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</si>
  <si>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</si>
  <si>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</si>
  <si>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</si>
  <si>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</si>
  <si>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</si>
  <si>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</si>
  <si>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</si>
  <si>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</si>
  <si>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</si>
  <si>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</si>
  <si>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</si>
  <si>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</si>
  <si>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</si>
  <si>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</si>
  <si>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</si>
  <si>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</si>
  <si>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</si>
  <si>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</si>
  <si>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</si>
  <si>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</si>
  <si>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</si>
  <si>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</si>
  <si>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</si>
  <si>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</si>
  <si>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</si>
  <si>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</si>
  <si>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</si>
  <si>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</si>
  <si>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</si>
  <si>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</si>
  <si>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</si>
  <si>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</si>
  <si>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</si>
  <si>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</si>
  <si>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</si>
  <si>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</si>
  <si>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</si>
  <si>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</si>
  <si>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</si>
  <si>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</si>
  <si>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</si>
  <si>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</si>
  <si>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</si>
  <si>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</si>
  <si>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</si>
  <si>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</si>
  <si>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</si>
  <si>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</si>
  <si>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</si>
  <si>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</si>
  <si>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</si>
  <si>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</si>
  <si>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</si>
  <si>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</si>
  <si>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</si>
  <si>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</si>
  <si>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</si>
  <si>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</si>
  <si>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</si>
  <si>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</si>
  <si>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</si>
  <si>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</si>
  <si>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</si>
  <si>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</si>
  <si>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</si>
  <si>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</si>
  <si>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</si>
  <si>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</si>
  <si>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</si>
  <si>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</si>
  <si>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</si>
  <si>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</si>
  <si>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</si>
  <si>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</si>
  <si>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</si>
  <si>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</si>
  <si>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</si>
  <si>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</si>
  <si>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</si>
  <si>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</si>
  <si>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</si>
  <si>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</si>
  <si>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</si>
  <si>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</si>
  <si>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</si>
  <si>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</si>
  <si>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</si>
  <si>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</si>
  <si>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</si>
  <si>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</si>
  <si>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</si>
  <si>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</si>
  <si>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</si>
  <si>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</si>
  <si>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</si>
  <si>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</si>
  <si>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</si>
  <si>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</si>
  <si>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</si>
  <si>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</si>
  <si>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</si>
  <si>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</si>
  <si>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</si>
  <si>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</si>
  <si>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</si>
  <si>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</si>
  <si>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</si>
  <si>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</si>
  <si>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</si>
  <si>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</si>
  <si>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</si>
  <si>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</si>
  <si>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</si>
  <si>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</si>
  <si>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</si>
  <si>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</si>
  <si>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</si>
  <si>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</si>
  <si>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</si>
  <si>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</si>
  <si>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</si>
  <si>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</si>
  <si>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</si>
  <si>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</si>
  <si>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</si>
  <si>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</si>
  <si>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</si>
  <si>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</si>
  <si>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</si>
  <si>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</si>
  <si>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</si>
  <si>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</si>
  <si>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</si>
  <si>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</si>
  <si>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</si>
  <si>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</si>
  <si>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</si>
  <si>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</si>
  <si>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</si>
  <si>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</si>
  <si>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</si>
  <si>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</si>
  <si>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</si>
  <si>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</si>
  <si>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</si>
  <si>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</si>
  <si>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</si>
  <si>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</si>
  <si>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</si>
  <si>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</si>
  <si>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</si>
  <si>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</si>
  <si>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</si>
  <si>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</si>
  <si>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</si>
  <si>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</si>
  <si>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</si>
  <si>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</si>
  <si>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</si>
  <si>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</si>
  <si>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</si>
  <si>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</si>
  <si>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</si>
  <si>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</si>
  <si>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</si>
  <si>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</si>
  <si>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</si>
  <si>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</si>
  <si>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</si>
  <si>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</si>
  <si>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</si>
  <si>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</si>
  <si>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</si>
  <si>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</si>
  <si>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</si>
  <si>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</si>
  <si>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</si>
  <si>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</si>
  <si>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</si>
  <si>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</si>
  <si>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</si>
  <si>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</si>
  <si>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</si>
  <si>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</si>
  <si>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</si>
  <si>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</si>
  <si>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</si>
  <si>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</si>
  <si>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</si>
  <si>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</si>
  <si>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</si>
  <si>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</si>
  <si>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</si>
  <si>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</si>
  <si>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</si>
  <si>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</si>
  <si>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</si>
  <si>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</si>
  <si>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</si>
  <si>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</si>
  <si>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</si>
  <si>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</si>
  <si>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</si>
  <si>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</si>
  <si>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</si>
  <si>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</si>
  <si>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</si>
  <si>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</si>
  <si>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</si>
  <si>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</si>
  <si>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</si>
  <si>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</si>
  <si>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</si>
  <si>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</si>
  <si>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</si>
  <si>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</si>
  <si>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</si>
  <si>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</si>
  <si>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</si>
  <si>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</si>
  <si>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</si>
  <si>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</si>
  <si>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</si>
  <si>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</si>
  <si>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</si>
  <si>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</si>
  <si>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</si>
  <si>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</si>
  <si>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</si>
  <si>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</si>
  <si>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</si>
  <si>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</si>
  <si>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</si>
  <si>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</si>
  <si>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</si>
  <si>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</si>
  <si>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</si>
  <si>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</si>
  <si>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</si>
  <si>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</si>
  <si>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</si>
  <si>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</si>
  <si>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</si>
  <si>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</si>
  <si>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</si>
  <si>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</si>
  <si>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</si>
  <si>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</si>
  <si>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</si>
  <si>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</si>
  <si>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</si>
  <si>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</si>
  <si>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</si>
  <si>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</si>
  <si>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</si>
  <si>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</si>
  <si>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</si>
  <si>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</si>
  <si>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</si>
  <si>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</si>
  <si>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</si>
  <si>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</si>
  <si>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</si>
  <si>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</si>
  <si>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</si>
  <si>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</si>
  <si>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</si>
  <si>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</si>
  <si>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</si>
  <si>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</si>
  <si>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</si>
  <si>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</si>
  <si>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</si>
  <si>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</si>
  <si>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</si>
  <si>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</si>
  <si>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</si>
  <si>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</si>
  <si>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</si>
  <si>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</si>
  <si>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</si>
  <si>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</si>
  <si>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</si>
  <si>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</si>
  <si>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</si>
  <si>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</si>
  <si>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</si>
  <si>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</si>
  <si>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</si>
  <si>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</si>
  <si>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</si>
  <si>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</si>
  <si>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</si>
  <si>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</si>
  <si>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</si>
  <si>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</si>
  <si>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</si>
  <si>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</si>
  <si>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</si>
  <si>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</si>
  <si>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</si>
  <si>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</si>
  <si>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</si>
  <si>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</si>
  <si>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</si>
  <si>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</si>
  <si>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</si>
  <si>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</si>
  <si>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</si>
  <si>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</si>
  <si>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</si>
  <si>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</si>
  <si>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</si>
  <si>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</si>
  <si>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</si>
  <si>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</si>
  <si>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</si>
  <si>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</si>
  <si>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</si>
  <si>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</si>
  <si>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</si>
  <si>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</si>
  <si>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</si>
  <si>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</si>
  <si>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</si>
  <si>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</si>
  <si>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</si>
  <si>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</si>
  <si>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</si>
  <si>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</si>
  <si>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</si>
  <si>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</si>
  <si>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</si>
  <si>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</si>
  <si>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</si>
  <si>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绿色三角洲</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</si>
  <si>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</si>
  <si>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</si>
  <si>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</si>
  <si>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</si>
  <si>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</si>
  <si>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</si>
  <si>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</si>
  <si>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</si>
  <si>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</si>
  <si>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</si>
  <si>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</si>
  <si>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</si>
  <si>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</si>
  <si>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</si>
  <si>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</si>
  <si>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</si>
  <si>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</si>
  <si>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</si>
  <si>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</si>
  <si>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</si>
  <si>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</si>
  <si>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</si>
  <si>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</si>
  <si>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</si>
  <si>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</si>
  <si>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</si>
  <si>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</si>
  <si>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</si>
  <si>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</si>
  <si>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</si>
  <si>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尝试使用技能并失败后，在对应的方框中打钩。在每场游戏结束后，为每个带钩的技能加上1D4，并擦去钩。</t>
  </si>
  <si>
    <t>体力最大值＝（力量＋体质）÷2，向上取整；毅力最大值＝意志；理智最大值＝99－非自然知识；关系6—7见背面。</t>
  </si>
  <si>
    <t>TOP SECRET//ORCON//SPECIAL ACCESS REQUIRED—DELTA GREEN  ·  本作品纯属虚构</t>
  </si>
  <si>
    <t>绿色三角洲  /  特工档案</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</si>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</sst>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numFmts>
  <fonts count="142">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fonts>
  <fills count="63">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fills>
  <borders count="2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56">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cellStyleXfs>
  <cellXfs count="608">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2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xml:space="preserve">※ 特工信息　v1.6</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s">
        <v>9</v>
      </c>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10</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11</v>
      </c>
      <c r="AC3" s="108"/>
      <c r="AD3" s="111"/>
      <c r="AE3" s="112" t="s">
        <v>12</v>
      </c>
      <c r="AF3" s="113"/>
      <c r="AG3" s="113"/>
      <c r="AH3" s="114"/>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c r="DA3" s="127"/>
      <c r="DB3" s="127"/>
      <c r="DC3" s="127"/>
      <c r="DD3" s="127"/>
      <c r="DE3" s="127"/>
      <c r="DF3" s="127"/>
      <c r="DG3" s="127"/>
      <c r="DH3" s="127"/>
      <c r="DI3" s="127"/>
      <c r="DJ3" s="127"/>
      <c r="DK3" s="127"/>
      <c r="DL3" s="127"/>
      <c r="DM3" s="127"/>
      <c r="DN3" s="127"/>
      <c r="DO3" s="127"/>
      <c r="DP3" s="127"/>
      <c r="DQ3" s="127"/>
      <c r="DR3" s="128"/>
      <c r="DS3" s="129"/>
      <c r="DT3" s="129"/>
      <c r="DU3" s="129"/>
      <c r="DV3" s="129"/>
      <c r="DW3" s="129"/>
      <c r="DX3" s="129"/>
      <c r="DY3" s="129"/>
      <c r="DZ3" s="129"/>
      <c r="EA3" s="129"/>
      <c r="EB3" s="129"/>
      <c r="EC3" s="129"/>
      <c r="ED3" s="129"/>
      <c r="EE3" s="129"/>
      <c r="EF3" s="129"/>
      <c r="EG3" s="129"/>
      <c r="EH3" s="129"/>
      <c r="EI3" s="128"/>
      <c r="EJ3" s="129"/>
      <c r="EK3" s="129"/>
      <c r="EL3" s="129"/>
      <c r="EM3" s="129"/>
      <c r="EN3" s="129"/>
      <c r="EO3" s="129"/>
      <c r="EP3" s="129"/>
      <c r="EQ3" s="129"/>
      <c r="ER3" s="129"/>
      <c r="ES3" s="129"/>
      <c r="ET3" s="129"/>
      <c r="EU3" s="129"/>
      <c r="EV3" s="129"/>
      <c r="EW3" s="129"/>
      <c r="EX3" s="129"/>
      <c r="EY3" s="130"/>
      <c r="EZ3" s="77"/>
    </row>
    <row r="4" customHeight="1" spans="1:156">
      <c r="A4" s="92"/>
      <c r="B4" s="131" t="s">
        <v>13</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14</v>
      </c>
      <c r="AC4" s="132"/>
      <c r="AD4" s="136"/>
      <c r="AE4" s="137" t="s">
        <v>15</v>
      </c>
      <c r="AF4" s="138"/>
      <c r="AG4" s="138"/>
      <c r="AH4" s="139"/>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16</v>
      </c>
      <c r="C5" s="132"/>
      <c r="D5" s="132"/>
      <c r="E5" s="152"/>
      <c r="F5" s="153"/>
      <c r="G5" s="153"/>
      <c r="H5" s="153"/>
      <c r="I5" s="153"/>
      <c r="J5" s="153"/>
      <c r="K5" s="153"/>
      <c r="L5" s="153"/>
      <c r="M5" s="154"/>
      <c r="N5" s="155" t="s">
        <v>17</v>
      </c>
      <c r="O5" s="156"/>
      <c r="P5" s="157"/>
      <c r="Q5" s="152"/>
      <c r="R5" s="153"/>
      <c r="S5" s="153"/>
      <c r="T5" s="153"/>
      <c r="U5" s="153"/>
      <c r="V5" s="153"/>
      <c r="W5" s="153"/>
      <c r="X5" s="153"/>
      <c r="Y5" s="153"/>
      <c r="Z5" s="158"/>
      <c r="AA5" s="92"/>
      <c r="AB5" s="131" t="s">
        <v>18</v>
      </c>
      <c r="AC5" s="132"/>
      <c r="AD5" s="159"/>
      <c r="AE5" s="137" t="s">
        <v>19</v>
      </c>
      <c r="AF5" s="138"/>
      <c r="AG5" s="138"/>
      <c r="AH5" s="139"/>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20</v>
      </c>
      <c r="C6" s="132"/>
      <c r="D6" s="132"/>
      <c r="E6" s="152"/>
      <c r="F6" s="153"/>
      <c r="G6" s="153"/>
      <c r="H6" s="153"/>
      <c r="I6" s="153"/>
      <c r="J6" s="153"/>
      <c r="K6" s="153"/>
      <c r="L6" s="153"/>
      <c r="M6" s="153"/>
      <c r="N6" s="155" t="s">
        <v>21</v>
      </c>
      <c r="O6" s="156"/>
      <c r="P6" s="157"/>
      <c r="Q6" s="153"/>
      <c r="R6" s="153"/>
      <c r="S6" s="153"/>
      <c r="T6" s="153"/>
      <c r="U6" s="153"/>
      <c r="V6" s="153"/>
      <c r="W6" s="153"/>
      <c r="X6" s="153"/>
      <c r="Y6" s="153"/>
      <c r="Z6" s="158"/>
      <c r="AA6" s="92"/>
      <c r="AB6" s="131" t="s">
        <v>22</v>
      </c>
      <c r="AC6" s="132"/>
      <c r="AD6" s="136"/>
      <c r="AE6" s="137" t="s">
        <v>23</v>
      </c>
      <c r="AF6" s="138"/>
      <c r="AG6" s="138"/>
      <c r="AH6" s="139"/>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24</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25</v>
      </c>
      <c r="AC7" s="132"/>
      <c r="AD7" s="159"/>
      <c r="AE7" s="137" t="s">
        <v>26</v>
      </c>
      <c r="AF7" s="138"/>
      <c r="AG7" s="138"/>
      <c r="AH7" s="139">
        <f>DF54-IF(DF46="关押或入狱",3,0)</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27</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28</v>
      </c>
      <c r="AC8" s="163"/>
      <c r="AD8" s="168"/>
      <c r="AE8" s="169" t="s">
        <v>29</v>
      </c>
      <c r="AF8" s="170"/>
      <c r="AG8" s="170"/>
      <c r="AH8" s="171">
        <f>DR54-IF(DF46="极端暴力",3,0)</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30</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31</v>
      </c>
      <c r="S9" s="179"/>
      <c r="T9" s="179"/>
      <c r="U9" s="179"/>
      <c r="V9" s="179"/>
      <c r="W9" s="180"/>
      <c r="X9" s="181">
        <f>SUM(AH3:AH6)+DF54+DR54</f>
        <v>0</v>
      </c>
      <c r="Y9" s="182"/>
      <c r="Z9" s="182"/>
      <c r="AA9" s="183"/>
      <c r="AB9" s="178" t="s">
        <v>32</v>
      </c>
      <c r="AC9" s="179"/>
      <c r="AD9" s="179"/>
      <c r="AE9" s="179"/>
      <c r="AF9" s="179"/>
      <c r="AG9" s="179"/>
      <c r="AH9" s="180"/>
      <c r="AI9" s="184">
        <f ca="1">SUM(P14:R43,AS14:AU43)-SUM(S14:U43,AV14:AX43,Y14:AD43,BB14:BG43)</f>
        <v>0</v>
      </c>
      <c r="AJ9" s="185"/>
      <c r="AK9" s="186"/>
      <c r="AL9" s="184" t="s">
        <v>33</v>
      </c>
      <c r="AM9" s="185"/>
      <c r="AN9" s="185"/>
      <c r="AO9" s="185"/>
      <c r="AP9" s="185"/>
      <c r="AQ9" s="185"/>
      <c r="AR9" s="185"/>
      <c r="AS9" s="186"/>
      <c r="AT9" s="187" t="str">
        <f ca="1">IFERROR(MAX(0,IF(AND(AI9&gt;=350,AI9&lt;=500,MOD(AI9,50)=0),(550-AI9)/50,"错误")-IF(DF46="艰苦经历",1,0)),"错误")&amp;"）"</f>
        <v>错误）</v>
      </c>
      <c r="AU9" s="187"/>
      <c r="AV9" s="187"/>
      <c r="AW9" s="188" t="s">
        <v>34</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35</v>
      </c>
      <c r="C10" s="192"/>
      <c r="D10" s="192"/>
      <c r="E10" s="192"/>
      <c r="F10" s="192"/>
      <c r="G10" s="192"/>
      <c r="H10" s="193">
        <f>K10</f>
        <v>0</v>
      </c>
      <c r="I10" s="193"/>
      <c r="J10" s="194"/>
      <c r="K10" s="195">
        <f>CEILING((附表!B2+附表!B3)/2,1)</f>
        <v>0</v>
      </c>
      <c r="L10" s="196"/>
      <c r="M10" s="197"/>
      <c r="N10" s="198" t="s">
        <v>36</v>
      </c>
      <c r="O10" s="199"/>
      <c r="P10" s="199"/>
      <c r="Q10" s="199"/>
      <c r="R10" s="199"/>
      <c r="S10" s="199"/>
      <c r="T10" s="199"/>
      <c r="U10" s="200"/>
      <c r="V10" s="201">
        <f>Y10</f>
        <v>0</v>
      </c>
      <c r="W10" s="202"/>
      <c r="X10" s="203"/>
      <c r="Y10" s="204">
        <f>附表!B6</f>
        <v>0</v>
      </c>
      <c r="Z10" s="205"/>
      <c r="AA10" s="206"/>
      <c r="AB10" s="207" t="s">
        <v>37</v>
      </c>
      <c r="AC10" s="192"/>
      <c r="AD10" s="192"/>
      <c r="AE10" s="192"/>
      <c r="AF10" s="192"/>
      <c r="AG10" s="208"/>
      <c r="AH10" s="209">
        <f>MIN(AK10,DF54*5-IF(DF46="人类不应知道之事",AH7,IF(OR(DF46="极端暴力",DF46="关押或入狱",DF46="艰苦经历"),5,0)))</f>
        <v>0</v>
      </c>
      <c r="AI10" s="193"/>
      <c r="AJ10" s="194"/>
      <c r="AK10" s="196">
        <f>99-AS39</f>
        <v>99</v>
      </c>
      <c r="AL10" s="196"/>
      <c r="AM10" s="210"/>
      <c r="AN10" s="211" t="s">
        <v>38</v>
      </c>
      <c r="AO10" s="212"/>
      <c r="AP10" s="212"/>
      <c r="AQ10" s="212"/>
      <c r="AR10" s="212"/>
      <c r="AS10" s="212"/>
      <c r="AT10" s="212"/>
      <c r="AU10" s="213">
        <f>IF(DF46="人类不应知道之事",AH10-AH7,DF54*4)</f>
        <v>0</v>
      </c>
      <c r="AV10" s="214"/>
      <c r="AW10" s="215"/>
      <c r="AX10" s="216" t="s">
        <v>39</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40</v>
      </c>
      <c r="C11" s="222"/>
      <c r="D11" s="222"/>
      <c r="E11" s="222"/>
      <c r="F11" s="222"/>
      <c r="G11" s="222"/>
      <c r="H11" s="223"/>
      <c r="I11" s="223"/>
      <c r="J11" s="224"/>
      <c r="K11" s="225"/>
      <c r="L11" s="226"/>
      <c r="M11" s="227"/>
      <c r="N11" s="228" t="s">
        <v>41</v>
      </c>
      <c r="O11" s="229"/>
      <c r="P11" s="229"/>
      <c r="Q11" s="229"/>
      <c r="R11" s="229"/>
      <c r="S11" s="229"/>
      <c r="T11" s="229"/>
      <c r="U11" s="230"/>
      <c r="V11" s="231"/>
      <c r="W11" s="232"/>
      <c r="X11" s="233"/>
      <c r="Y11" s="234"/>
      <c r="Z11" s="235"/>
      <c r="AA11" s="236"/>
      <c r="AB11" s="237" t="s">
        <v>42</v>
      </c>
      <c r="AC11" s="222"/>
      <c r="AD11" s="222"/>
      <c r="AE11" s="222"/>
      <c r="AF11" s="222"/>
      <c r="AG11" s="238"/>
      <c r="AH11" s="239"/>
      <c r="AI11" s="223"/>
      <c r="AJ11" s="224"/>
      <c r="AK11" s="226"/>
      <c r="AL11" s="226"/>
      <c r="AM11" s="240"/>
      <c r="AN11" s="241" t="s">
        <v>43</v>
      </c>
      <c r="AO11" s="242"/>
      <c r="AP11" s="242"/>
      <c r="AQ11" s="242"/>
      <c r="AR11" s="242"/>
      <c r="AS11" s="242"/>
      <c r="AT11" s="242"/>
      <c r="AU11" s="243"/>
      <c r="AV11" s="244"/>
      <c r="AW11" s="245"/>
      <c r="AX11" s="246" t="s">
        <v>44</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45</v>
      </c>
      <c r="C13" s="264"/>
      <c r="D13" s="264"/>
      <c r="E13" s="264"/>
      <c r="F13" s="264"/>
      <c r="G13" s="264"/>
      <c r="H13" s="264"/>
      <c r="I13" s="264"/>
      <c r="J13" s="264"/>
      <c r="K13" s="264"/>
      <c r="L13" s="264"/>
      <c r="M13" s="264"/>
      <c r="N13" s="264"/>
      <c r="O13" s="264"/>
      <c r="P13" s="265" t="s">
        <v>46</v>
      </c>
      <c r="Q13" s="265"/>
      <c r="R13" s="265"/>
      <c r="S13" s="265" t="s">
        <v>47</v>
      </c>
      <c r="T13" s="265"/>
      <c r="U13" s="265"/>
      <c r="V13" s="265" t="s">
        <v>48</v>
      </c>
      <c r="W13" s="265"/>
      <c r="X13" s="265"/>
      <c r="Y13" s="265" t="s">
        <v>49</v>
      </c>
      <c r="Z13" s="265"/>
      <c r="AA13" s="265"/>
      <c r="AB13" s="265" t="s">
        <v>50</v>
      </c>
      <c r="AC13" s="265"/>
      <c r="AD13" s="265"/>
      <c r="AE13" s="265"/>
      <c r="AF13" s="265"/>
      <c r="AG13" s="265"/>
      <c r="AH13" s="265"/>
      <c r="AI13" s="265"/>
      <c r="AJ13" s="265"/>
      <c r="AK13" s="265"/>
      <c r="AL13" s="265"/>
      <c r="AM13" s="265"/>
      <c r="AN13" s="265"/>
      <c r="AO13" s="265"/>
      <c r="AP13" s="265"/>
      <c r="AQ13" s="265"/>
      <c r="AR13" s="265"/>
      <c r="AS13" s="265" t="s">
        <v>46</v>
      </c>
      <c r="AT13" s="265"/>
      <c r="AU13" s="265"/>
      <c r="AV13" s="265" t="s">
        <v>47</v>
      </c>
      <c r="AW13" s="265"/>
      <c r="AX13" s="265"/>
      <c r="AY13" s="265" t="s">
        <v>48</v>
      </c>
      <c r="AZ13" s="265"/>
      <c r="BA13" s="265"/>
      <c r="BB13" s="265" t="s">
        <v>49</v>
      </c>
      <c r="BC13" s="265"/>
      <c r="BD13" s="265"/>
      <c r="BE13" s="265" t="s">
        <v>50</v>
      </c>
      <c r="BF13" s="265"/>
      <c r="BG13" s="265"/>
      <c r="BH13" s="266"/>
      <c r="BI13" s="267" t="s">
        <v>51</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52</v>
      </c>
      <c r="DA13" s="270"/>
      <c r="DB13" s="270"/>
      <c r="DC13" s="270"/>
      <c r="DD13" s="270"/>
      <c r="DE13" s="270"/>
      <c r="DF13" s="270"/>
      <c r="DG13" s="270"/>
      <c r="DH13" s="270"/>
      <c r="DI13" s="270"/>
      <c r="DJ13" s="270"/>
      <c r="DK13" s="270"/>
      <c r="DL13" s="271"/>
      <c r="DM13" s="272" t="s">
        <v>53</v>
      </c>
      <c r="DN13" s="273"/>
      <c r="DO13" s="273"/>
      <c r="DP13" s="274"/>
      <c r="DQ13" s="272" t="s">
        <v>54</v>
      </c>
      <c r="DR13" s="273"/>
      <c r="DS13" s="273"/>
      <c r="DT13" s="273"/>
      <c r="DU13" s="273"/>
      <c r="DV13" s="274"/>
      <c r="DW13" s="275" t="s">
        <v>55</v>
      </c>
      <c r="DX13" s="275"/>
      <c r="DY13" s="275"/>
      <c r="DZ13" s="272" t="s">
        <v>56</v>
      </c>
      <c r="EA13" s="273"/>
      <c r="EB13" s="273"/>
      <c r="EC13" s="274"/>
      <c r="ED13" s="272" t="s">
        <v>57</v>
      </c>
      <c r="EE13" s="273"/>
      <c r="EF13" s="273"/>
      <c r="EG13" s="274"/>
      <c r="EH13" s="276"/>
      <c r="EI13" s="277" t="s">
        <v>58</v>
      </c>
      <c r="EJ13" s="278"/>
      <c r="EK13" s="278"/>
      <c r="EL13" s="278"/>
      <c r="EM13" s="278"/>
      <c r="EN13" s="278"/>
      <c r="EO13" s="278"/>
      <c r="EP13" s="278"/>
      <c r="EQ13" s="279">
        <f>IF(AH3="",0,FLOOR((附表!B2-9)/4,1))</f>
        <v>0</v>
      </c>
      <c r="ER13" s="279"/>
      <c r="ES13" s="279"/>
      <c r="ET13" s="279"/>
      <c r="EU13" s="279"/>
      <c r="EV13" s="279"/>
      <c r="EW13" s="279"/>
      <c r="EX13" s="279"/>
      <c r="EY13" s="280"/>
      <c r="EZ13" s="77"/>
    </row>
    <row r="14" customHeight="1" spans="1:156">
      <c r="A14" s="92"/>
      <c r="B14" s="281" t="s">
        <v>59</v>
      </c>
      <c r="C14" s="282"/>
      <c r="D14" s="283" t="s">
        <v>60</v>
      </c>
      <c r="E14" s="283"/>
      <c r="F14" s="283"/>
      <c r="G14" s="283"/>
      <c r="H14" s="283"/>
      <c r="I14" s="283"/>
      <c r="J14" s="283"/>
      <c r="K14" s="283"/>
      <c r="L14" s="283"/>
      <c r="M14" s="283"/>
      <c r="N14" s="283"/>
      <c r="O14" s="283"/>
      <c r="P14" s="284">
        <f ca="1" t="shared" ref="P14:P43" si="0">IF(V14="",N(S14),N(V14))+N(Y14)+N(AB14)</f>
        <v>10</v>
      </c>
      <c r="Q14" s="284"/>
      <c r="R14" s="284"/>
      <c r="S14" s="285">
        <v>10</v>
      </c>
      <c r="T14" s="285"/>
      <c r="U14" s="285"/>
      <c r="V14" s="286" t="str">
        <f ca="1">IF(职业选项!V40&gt;0,职业选项!V40,"")</f>
        <v/>
      </c>
      <c r="W14" s="286"/>
      <c r="X14" s="286"/>
      <c r="Y14" s="286" t="str">
        <f ca="1">规则数据!H20</f>
        <v/>
      </c>
      <c r="Z14" s="286"/>
      <c r="AA14" s="286"/>
      <c r="AB14" s="286"/>
      <c r="AC14" s="286"/>
      <c r="AD14" s="287"/>
      <c r="AE14" s="288" t="s">
        <v>59</v>
      </c>
      <c r="AF14" s="282"/>
      <c r="AG14" s="283" t="s">
        <v>61</v>
      </c>
      <c r="AH14" s="283"/>
      <c r="AI14" s="283"/>
      <c r="AJ14" s="283"/>
      <c r="AK14" s="283"/>
      <c r="AL14" s="283"/>
      <c r="AM14" s="283"/>
      <c r="AN14" s="283"/>
      <c r="AO14" s="283"/>
      <c r="AP14" s="283"/>
      <c r="AQ14" s="283"/>
      <c r="AR14" s="283"/>
      <c r="AS14" s="284">
        <f ca="1" t="shared" ref="AS14:AS38" si="1">IF(AY14="",N(AV14),N(AY14))+N(BB14)+N(BE14)</f>
        <v>0</v>
      </c>
      <c r="AT14" s="284"/>
      <c r="AU14" s="284"/>
      <c r="AV14" s="285">
        <v>0</v>
      </c>
      <c r="AW14" s="285"/>
      <c r="AX14" s="285"/>
      <c r="AY14" s="286" t="str">
        <f ca="1">IF(职业选项!V41&gt;0,职业选项!V41,"")</f>
        <v/>
      </c>
      <c r="AZ14" s="286"/>
      <c r="BA14" s="286"/>
      <c r="BB14" s="286" t="str">
        <f ca="1">规则数据!H50</f>
        <v/>
      </c>
      <c r="BC14" s="286"/>
      <c r="BD14" s="286"/>
      <c r="BE14" s="286"/>
      <c r="BF14" s="286"/>
      <c r="BG14" s="289"/>
      <c r="BH14" s="92"/>
      <c r="BI14" s="290" t="s">
        <v>62</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64</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s">
        <v>59</v>
      </c>
      <c r="C15" s="302"/>
      <c r="D15" s="303" t="s">
        <v>65</v>
      </c>
      <c r="E15" s="303"/>
      <c r="F15" s="303"/>
      <c r="G15" s="303"/>
      <c r="H15" s="303"/>
      <c r="I15" s="303"/>
      <c r="J15" s="303"/>
      <c r="K15" s="303"/>
      <c r="L15" s="303"/>
      <c r="M15" s="303"/>
      <c r="N15" s="303"/>
      <c r="O15" s="303"/>
      <c r="P15" s="304">
        <f ca="1" t="shared" si="0"/>
        <v>20</v>
      </c>
      <c r="Q15" s="304"/>
      <c r="R15" s="304"/>
      <c r="S15" s="305">
        <v>20</v>
      </c>
      <c r="T15" s="305"/>
      <c r="U15" s="305"/>
      <c r="V15" s="139" t="str">
        <f ca="1">IF(职业选项!V42&gt;0,职业选项!V42,"")</f>
        <v/>
      </c>
      <c r="W15" s="139"/>
      <c r="X15" s="139"/>
      <c r="Y15" s="139" t="str">
        <f ca="1">规则数据!H21</f>
        <v/>
      </c>
      <c r="Z15" s="139"/>
      <c r="AA15" s="139"/>
      <c r="AB15" s="139"/>
      <c r="AC15" s="139"/>
      <c r="AD15" s="306"/>
      <c r="AE15" s="307" t="s">
        <v>59</v>
      </c>
      <c r="AF15" s="302"/>
      <c r="AG15" s="303" t="s">
        <v>66</v>
      </c>
      <c r="AH15" s="303"/>
      <c r="AI15" s="303"/>
      <c r="AJ15" s="303"/>
      <c r="AK15" s="303"/>
      <c r="AL15" s="303"/>
      <c r="AM15" s="303"/>
      <c r="AN15" s="303"/>
      <c r="AO15" s="303"/>
      <c r="AP15" s="303"/>
      <c r="AQ15" s="303"/>
      <c r="AR15" s="303"/>
      <c r="AS15" s="304">
        <f ca="1" t="shared" si="1"/>
        <v>0</v>
      </c>
      <c r="AT15" s="304"/>
      <c r="AU15" s="304"/>
      <c r="AV15" s="305">
        <v>0</v>
      </c>
      <c r="AW15" s="305"/>
      <c r="AX15" s="305"/>
      <c r="AY15" s="139" t="str">
        <f ca="1">IF(职业选项!V43&gt;0,职业选项!V43,"")</f>
        <v/>
      </c>
      <c r="AZ15" s="139"/>
      <c r="BA15" s="139"/>
      <c r="BB15" s="139" t="str">
        <f ca="1">规则数据!H51</f>
        <v/>
      </c>
      <c r="BC15" s="139"/>
      <c r="BD15" s="139"/>
      <c r="BE15" s="139"/>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s">
        <v>59</v>
      </c>
      <c r="C16" s="302"/>
      <c r="D16" s="303" t="s">
        <v>67</v>
      </c>
      <c r="E16" s="303"/>
      <c r="F16" s="303"/>
      <c r="G16" s="303"/>
      <c r="H16" s="303"/>
      <c r="I16" s="303"/>
      <c r="J16" s="303"/>
      <c r="K16" s="303"/>
      <c r="L16" s="303"/>
      <c r="M16" s="303"/>
      <c r="N16" s="303"/>
      <c r="O16" s="303"/>
      <c r="P16" s="304">
        <f ca="1" t="shared" si="0"/>
        <v>0</v>
      </c>
      <c r="Q16" s="304"/>
      <c r="R16" s="304"/>
      <c r="S16" s="305">
        <v>0</v>
      </c>
      <c r="T16" s="305"/>
      <c r="U16" s="305"/>
      <c r="V16" s="139" t="str">
        <f ca="1">IF(职业选项!V44&gt;0,职业选项!V44,"")</f>
        <v/>
      </c>
      <c r="W16" s="139"/>
      <c r="X16" s="139"/>
      <c r="Y16" s="139" t="str">
        <f ca="1">规则数据!H22</f>
        <v/>
      </c>
      <c r="Z16" s="139"/>
      <c r="AA16" s="139"/>
      <c r="AB16" s="139"/>
      <c r="AC16" s="139"/>
      <c r="AD16" s="306"/>
      <c r="AE16" s="307" t="s">
        <v>59</v>
      </c>
      <c r="AF16" s="302"/>
      <c r="AG16" s="303" t="s">
        <v>68</v>
      </c>
      <c r="AH16" s="303"/>
      <c r="AI16" s="303"/>
      <c r="AJ16" s="303"/>
      <c r="AK16" s="303"/>
      <c r="AL16" s="303"/>
      <c r="AM16" s="303"/>
      <c r="AN16" s="303"/>
      <c r="AO16" s="303"/>
      <c r="AP16" s="303"/>
      <c r="AQ16" s="303"/>
      <c r="AR16" s="303"/>
      <c r="AS16" s="304">
        <f ca="1" t="shared" si="1"/>
        <v>30</v>
      </c>
      <c r="AT16" s="304"/>
      <c r="AU16" s="304"/>
      <c r="AV16" s="305">
        <v>30</v>
      </c>
      <c r="AW16" s="305"/>
      <c r="AX16" s="305"/>
      <c r="AY16" s="139" t="str">
        <f ca="1">IF(职业选项!V45&gt;0,职业选项!V45,"")</f>
        <v/>
      </c>
      <c r="AZ16" s="139"/>
      <c r="BA16" s="139"/>
      <c r="BB16" s="139" t="str">
        <f ca="1">规则数据!H52</f>
        <v/>
      </c>
      <c r="BC16" s="139"/>
      <c r="BD16" s="139"/>
      <c r="BE16" s="139"/>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69</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s">
        <v>59</v>
      </c>
      <c r="C17" s="302"/>
      <c r="D17" s="303" t="s">
        <v>70</v>
      </c>
      <c r="E17" s="303"/>
      <c r="F17" s="303"/>
      <c r="G17" s="303"/>
      <c r="H17" s="303"/>
      <c r="I17" s="303"/>
      <c r="J17" s="303"/>
      <c r="K17" s="303"/>
      <c r="L17" s="303"/>
      <c r="M17" s="303"/>
      <c r="N17" s="303"/>
      <c r="O17" s="303"/>
      <c r="P17" s="304">
        <f ca="1" t="shared" si="0"/>
        <v>0</v>
      </c>
      <c r="Q17" s="304"/>
      <c r="R17" s="304"/>
      <c r="S17" s="305">
        <v>0</v>
      </c>
      <c r="T17" s="305"/>
      <c r="U17" s="305"/>
      <c r="V17" s="139" t="str">
        <f ca="1">IF(职业选项!V46&gt;0,职业选项!V46,"")</f>
        <v/>
      </c>
      <c r="W17" s="139"/>
      <c r="X17" s="139"/>
      <c r="Y17" s="139" t="str">
        <f ca="1">规则数据!H23</f>
        <v/>
      </c>
      <c r="Z17" s="139"/>
      <c r="AA17" s="139"/>
      <c r="AB17" s="139"/>
      <c r="AC17" s="139"/>
      <c r="AD17" s="306"/>
      <c r="AE17" s="307" t="s">
        <v>59</v>
      </c>
      <c r="AF17" s="302"/>
      <c r="AG17" s="321" t="s">
        <v>71</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 ca="1" t="shared" si="1"/>
        <v>0</v>
      </c>
      <c r="AT17" s="304"/>
      <c r="AU17" s="304"/>
      <c r="AV17" s="305">
        <v>0</v>
      </c>
      <c r="AW17" s="305"/>
      <c r="AX17" s="305"/>
      <c r="AY17" s="139" t="str">
        <f ca="1">IF(职业选项!V47&gt;0,职业选项!V47,"")</f>
        <v/>
      </c>
      <c r="AZ17" s="139"/>
      <c r="BA17" s="139"/>
      <c r="BB17" s="139" t="str">
        <f ca="1">规则数据!H53</f>
        <v/>
      </c>
      <c r="BC17" s="139"/>
      <c r="BD17" s="139"/>
      <c r="BE17" s="139"/>
      <c r="BF17" s="139"/>
      <c r="BG17" s="308"/>
      <c r="BH17" s="92"/>
      <c r="BI17" s="325" t="s">
        <v>72</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s">
        <v>59</v>
      </c>
      <c r="C18" s="302"/>
      <c r="D18" s="330" t="s">
        <v>73</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 ca="1" t="shared" si="0"/>
        <v>0</v>
      </c>
      <c r="Q18" s="304"/>
      <c r="R18" s="304"/>
      <c r="S18" s="305">
        <v>0</v>
      </c>
      <c r="T18" s="305"/>
      <c r="U18" s="305"/>
      <c r="V18" s="139" t="str">
        <f ca="1">IF(职业选项!V48&gt;0,职业选项!V48,"")</f>
        <v/>
      </c>
      <c r="W18" s="139"/>
      <c r="X18" s="139"/>
      <c r="Y18" s="139" t="str">
        <f ca="1">规则数据!H24</f>
        <v/>
      </c>
      <c r="Z18" s="139"/>
      <c r="AA18" s="139"/>
      <c r="AB18" s="139"/>
      <c r="AC18" s="139"/>
      <c r="AD18" s="306"/>
      <c r="AE18" s="307" t="s">
        <v>59</v>
      </c>
      <c r="AF18" s="302"/>
      <c r="AG18" s="330" t="s">
        <v>71</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 ca="1" t="shared" si="1"/>
        <v>0</v>
      </c>
      <c r="AT18" s="304"/>
      <c r="AU18" s="304"/>
      <c r="AV18" s="305">
        <v>0</v>
      </c>
      <c r="AW18" s="305"/>
      <c r="AX18" s="305"/>
      <c r="AY18" s="139" t="str">
        <f ca="1">IF(职业选项!V49&gt;0,职业选项!V49,"")</f>
        <v/>
      </c>
      <c r="AZ18" s="139"/>
      <c r="BA18" s="139"/>
      <c r="BB18" s="139" t="str">
        <f ca="1">规则数据!H54</f>
        <v/>
      </c>
      <c r="BC18" s="139"/>
      <c r="BD18" s="139"/>
      <c r="BE18" s="139"/>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s">
        <v>59</v>
      </c>
      <c r="C19" s="302"/>
      <c r="D19" s="321" t="s">
        <v>73</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 ca="1" t="shared" si="0"/>
        <v>0</v>
      </c>
      <c r="Q19" s="304"/>
      <c r="R19" s="304"/>
      <c r="S19" s="305">
        <v>0</v>
      </c>
      <c r="T19" s="305"/>
      <c r="U19" s="305"/>
      <c r="V19" s="139" t="str">
        <f ca="1">IF(职业选项!V50&gt;0,职业选项!V50,"")</f>
        <v/>
      </c>
      <c r="W19" s="139"/>
      <c r="X19" s="139"/>
      <c r="Y19" s="139" t="str">
        <f ca="1">规则数据!H25</f>
        <v/>
      </c>
      <c r="Z19" s="139"/>
      <c r="AA19" s="139"/>
      <c r="AB19" s="139"/>
      <c r="AC19" s="139"/>
      <c r="AD19" s="306"/>
      <c r="AE19" s="307" t="s">
        <v>59</v>
      </c>
      <c r="AF19" s="302"/>
      <c r="AG19" s="321" t="s">
        <v>71</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 ca="1" t="shared" si="1"/>
        <v>0</v>
      </c>
      <c r="AT19" s="304"/>
      <c r="AU19" s="304"/>
      <c r="AV19" s="305">
        <v>0</v>
      </c>
      <c r="AW19" s="305"/>
      <c r="AX19" s="305"/>
      <c r="AY19" s="139" t="str">
        <f ca="1">IF(职业选项!V51&gt;0,职业选项!V51,"")</f>
        <v/>
      </c>
      <c r="AZ19" s="139"/>
      <c r="BA19" s="139"/>
      <c r="BB19" s="139" t="str">
        <f ca="1">规则数据!H55</f>
        <v/>
      </c>
      <c r="BC19" s="139"/>
      <c r="BD19" s="139"/>
      <c r="BE19" s="139"/>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s">
        <v>59</v>
      </c>
      <c r="C20" s="302"/>
      <c r="D20" s="330" t="s">
        <v>73</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 ca="1" t="shared" si="0"/>
        <v>0</v>
      </c>
      <c r="Q20" s="304"/>
      <c r="R20" s="304"/>
      <c r="S20" s="305">
        <v>0</v>
      </c>
      <c r="T20" s="305"/>
      <c r="U20" s="305"/>
      <c r="V20" s="139" t="str">
        <f ca="1">IF(职业选项!V52&gt;0,职业选项!V52,"")</f>
        <v/>
      </c>
      <c r="W20" s="139"/>
      <c r="X20" s="139"/>
      <c r="Y20" s="139" t="str">
        <f ca="1">规则数据!H26</f>
        <v/>
      </c>
      <c r="Z20" s="139"/>
      <c r="AA20" s="139"/>
      <c r="AB20" s="139"/>
      <c r="AC20" s="139"/>
      <c r="AD20" s="306"/>
      <c r="AE20" s="307" t="s">
        <v>59</v>
      </c>
      <c r="AF20" s="302"/>
      <c r="AG20" s="303" t="s">
        <v>74</v>
      </c>
      <c r="AH20" s="303"/>
      <c r="AI20" s="303"/>
      <c r="AJ20" s="303"/>
      <c r="AK20" s="303"/>
      <c r="AL20" s="303"/>
      <c r="AM20" s="303"/>
      <c r="AN20" s="303"/>
      <c r="AO20" s="303"/>
      <c r="AP20" s="303"/>
      <c r="AQ20" s="303"/>
      <c r="AR20" s="303"/>
      <c r="AS20" s="304">
        <f ca="1" t="shared" si="1"/>
        <v>10</v>
      </c>
      <c r="AT20" s="304"/>
      <c r="AU20" s="304"/>
      <c r="AV20" s="305">
        <v>10</v>
      </c>
      <c r="AW20" s="305"/>
      <c r="AX20" s="305"/>
      <c r="AY20" s="139" t="str">
        <f ca="1">IF(职业选项!V53&gt;0,职业选项!V53,"")</f>
        <v/>
      </c>
      <c r="AZ20" s="139"/>
      <c r="BA20" s="139"/>
      <c r="BB20" s="139" t="str">
        <f ca="1">规则数据!H56</f>
        <v/>
      </c>
      <c r="BC20" s="139"/>
      <c r="BD20" s="139"/>
      <c r="BE20" s="139"/>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s">
        <v>59</v>
      </c>
      <c r="C21" s="302"/>
      <c r="D21" s="303" t="s">
        <v>75</v>
      </c>
      <c r="E21" s="303"/>
      <c r="F21" s="303"/>
      <c r="G21" s="303"/>
      <c r="H21" s="303"/>
      <c r="I21" s="303"/>
      <c r="J21" s="303"/>
      <c r="K21" s="303"/>
      <c r="L21" s="303"/>
      <c r="M21" s="303"/>
      <c r="N21" s="303"/>
      <c r="O21" s="303"/>
      <c r="P21" s="304">
        <f ca="1" t="shared" si="0"/>
        <v>0</v>
      </c>
      <c r="Q21" s="304"/>
      <c r="R21" s="304"/>
      <c r="S21" s="305">
        <v>0</v>
      </c>
      <c r="T21" s="305"/>
      <c r="U21" s="305"/>
      <c r="V21" s="139" t="str">
        <f ca="1">IF(职业选项!V54&gt;0,职业选项!V54,"")</f>
        <v/>
      </c>
      <c r="W21" s="139"/>
      <c r="X21" s="139"/>
      <c r="Y21" s="139" t="str">
        <f ca="1">规则数据!H27</f>
        <v/>
      </c>
      <c r="Z21" s="139"/>
      <c r="AA21" s="139"/>
      <c r="AB21" s="139"/>
      <c r="AC21" s="139"/>
      <c r="AD21" s="306"/>
      <c r="AE21" s="307" t="s">
        <v>59</v>
      </c>
      <c r="AF21" s="302"/>
      <c r="AG21" s="303" t="s">
        <v>76</v>
      </c>
      <c r="AH21" s="303"/>
      <c r="AI21" s="303"/>
      <c r="AJ21" s="303"/>
      <c r="AK21" s="303"/>
      <c r="AL21" s="303"/>
      <c r="AM21" s="303"/>
      <c r="AN21" s="303"/>
      <c r="AO21" s="303"/>
      <c r="AP21" s="303"/>
      <c r="AQ21" s="303"/>
      <c r="AR21" s="303"/>
      <c r="AS21" s="304">
        <f ca="1" t="shared" si="1"/>
        <v>10</v>
      </c>
      <c r="AT21" s="304"/>
      <c r="AU21" s="304"/>
      <c r="AV21" s="305">
        <v>10</v>
      </c>
      <c r="AW21" s="305"/>
      <c r="AX21" s="305"/>
      <c r="AY21" s="139" t="str">
        <f ca="1">IF(职业选项!V55&gt;0,职业选项!V55,"")</f>
        <v/>
      </c>
      <c r="AZ21" s="139"/>
      <c r="BA21" s="139"/>
      <c r="BB21" s="139" t="str">
        <f ca="1">规则数据!H57</f>
        <v/>
      </c>
      <c r="BC21" s="139"/>
      <c r="BD21" s="139"/>
      <c r="BE21" s="139"/>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s">
        <v>59</v>
      </c>
      <c r="C22" s="302"/>
      <c r="D22" s="303" t="s">
        <v>77</v>
      </c>
      <c r="E22" s="303"/>
      <c r="F22" s="303"/>
      <c r="G22" s="303"/>
      <c r="H22" s="303"/>
      <c r="I22" s="303"/>
      <c r="J22" s="303"/>
      <c r="K22" s="303"/>
      <c r="L22" s="303"/>
      <c r="M22" s="303"/>
      <c r="N22" s="303"/>
      <c r="O22" s="303"/>
      <c r="P22" s="304">
        <f ca="1" t="shared" si="0"/>
        <v>30</v>
      </c>
      <c r="Q22" s="304"/>
      <c r="R22" s="304"/>
      <c r="S22" s="305">
        <v>30</v>
      </c>
      <c r="T22" s="305"/>
      <c r="U22" s="305"/>
      <c r="V22" s="139" t="str">
        <f ca="1">IF(职业选项!V56&gt;0,职业选项!V56,"")</f>
        <v/>
      </c>
      <c r="W22" s="139"/>
      <c r="X22" s="139"/>
      <c r="Y22" s="139" t="str">
        <f ca="1">规则数据!H28</f>
        <v/>
      </c>
      <c r="Z22" s="139"/>
      <c r="AA22" s="139"/>
      <c r="AB22" s="139"/>
      <c r="AC22" s="139"/>
      <c r="AD22" s="306"/>
      <c r="AE22" s="307" t="s">
        <v>59</v>
      </c>
      <c r="AF22" s="302"/>
      <c r="AG22" s="303" t="s">
        <v>78</v>
      </c>
      <c r="AH22" s="303"/>
      <c r="AI22" s="303"/>
      <c r="AJ22" s="303"/>
      <c r="AK22" s="303"/>
      <c r="AL22" s="303"/>
      <c r="AM22" s="303"/>
      <c r="AN22" s="303"/>
      <c r="AO22" s="303"/>
      <c r="AP22" s="303"/>
      <c r="AQ22" s="303"/>
      <c r="AR22" s="303"/>
      <c r="AS22" s="304">
        <f ca="1" t="shared" si="1"/>
        <v>20</v>
      </c>
      <c r="AT22" s="304"/>
      <c r="AU22" s="304"/>
      <c r="AV22" s="305">
        <v>20</v>
      </c>
      <c r="AW22" s="305"/>
      <c r="AX22" s="305"/>
      <c r="AY22" s="139" t="str">
        <f ca="1">IF(职业选项!V57&gt;0,职业选项!V57,"")</f>
        <v/>
      </c>
      <c r="AZ22" s="139"/>
      <c r="BA22" s="139"/>
      <c r="BB22" s="139" t="str">
        <f ca="1">规则数据!H58</f>
        <v/>
      </c>
      <c r="BC22" s="139"/>
      <c r="BD22" s="139"/>
      <c r="BE22" s="139"/>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79</v>
      </c>
      <c r="DA22" s="268"/>
      <c r="DB22" s="268"/>
      <c r="DC22" s="268"/>
      <c r="DD22" s="268"/>
      <c r="DE22" s="268"/>
      <c r="DF22" s="268"/>
      <c r="DG22" s="268"/>
      <c r="DH22" s="268"/>
      <c r="DI22" s="339"/>
      <c r="DJ22" s="339"/>
      <c r="DK22" s="339"/>
      <c r="DL22" s="339"/>
      <c r="DM22" s="339"/>
      <c r="DN22" s="339"/>
      <c r="DO22" s="339"/>
      <c r="DP22" s="339"/>
      <c r="DQ22" s="268"/>
      <c r="DR22" s="339"/>
      <c r="DS22" s="339"/>
      <c r="DT22" s="340" t="s">
        <v>80</v>
      </c>
      <c r="DU22" s="340"/>
      <c r="DV22" s="340"/>
      <c r="DW22" s="340"/>
      <c r="DX22" s="341">
        <f>COUNTIF(ED24,"&gt;0")+COUNTIF(ED27,"&gt;0")+COUNTIF(ED30,"&gt;0")+COUNTIF(ED33,"&gt;0")+COUNTIF(ED36,"&gt;0")+COUNTIF(ED39,"&gt;0")+COUNTIF(ED42,"&gt;0")</f>
        <v>0</v>
      </c>
      <c r="DY22" s="341"/>
      <c r="DZ22" s="342"/>
      <c r="EA22" s="342"/>
      <c r="EB22" s="343"/>
      <c r="EC22" s="344" t="s">
        <v>81</v>
      </c>
      <c r="ED22" s="344"/>
      <c r="EE22" s="344"/>
      <c r="EF22" s="345">
        <f>附表!B7</f>
        <v>0</v>
      </c>
      <c r="EG22" s="345"/>
      <c r="EH22" s="276"/>
      <c r="EI22" s="93" t="s">
        <v>82</v>
      </c>
      <c r="EJ22" s="94"/>
      <c r="EK22" s="94"/>
      <c r="EL22" s="94"/>
      <c r="EM22" s="94"/>
      <c r="EN22" s="94"/>
      <c r="EO22" s="94"/>
      <c r="EP22" s="94"/>
      <c r="EQ22" s="94"/>
      <c r="ER22" s="94"/>
      <c r="ES22" s="94"/>
      <c r="ET22" s="94"/>
      <c r="EU22" s="94"/>
      <c r="EV22" s="94"/>
      <c r="EW22" s="94"/>
      <c r="EX22" s="94"/>
      <c r="EY22" s="95"/>
      <c r="EZ22" s="77"/>
    </row>
    <row r="23" customHeight="1" spans="1:156">
      <c r="A23" s="92"/>
      <c r="B23" s="301" t="s">
        <v>59</v>
      </c>
      <c r="C23" s="302"/>
      <c r="D23" s="303" t="s">
        <v>83</v>
      </c>
      <c r="E23" s="303"/>
      <c r="F23" s="303"/>
      <c r="G23" s="303"/>
      <c r="H23" s="303"/>
      <c r="I23" s="303"/>
      <c r="J23" s="303"/>
      <c r="K23" s="303"/>
      <c r="L23" s="303"/>
      <c r="M23" s="303"/>
      <c r="N23" s="303"/>
      <c r="O23" s="303"/>
      <c r="P23" s="304">
        <f ca="1" t="shared" si="0"/>
        <v>10</v>
      </c>
      <c r="Q23" s="304"/>
      <c r="R23" s="304"/>
      <c r="S23" s="305">
        <v>10</v>
      </c>
      <c r="T23" s="305"/>
      <c r="U23" s="305"/>
      <c r="V23" s="139" t="str">
        <f ca="1">IF(职业选项!V58&gt;0,职业选项!V58,"")</f>
        <v/>
      </c>
      <c r="W23" s="139"/>
      <c r="X23" s="139"/>
      <c r="Y23" s="139" t="str">
        <f ca="1">规则数据!H29</f>
        <v/>
      </c>
      <c r="Z23" s="139"/>
      <c r="AA23" s="139"/>
      <c r="AB23" s="139"/>
      <c r="AC23" s="139"/>
      <c r="AD23" s="306"/>
      <c r="AE23" s="307" t="s">
        <v>59</v>
      </c>
      <c r="AF23" s="302"/>
      <c r="AG23" s="303" t="s">
        <v>84</v>
      </c>
      <c r="AH23" s="303"/>
      <c r="AI23" s="303"/>
      <c r="AJ23" s="303"/>
      <c r="AK23" s="303"/>
      <c r="AL23" s="303"/>
      <c r="AM23" s="303"/>
      <c r="AN23" s="303"/>
      <c r="AO23" s="303"/>
      <c r="AP23" s="303"/>
      <c r="AQ23" s="303"/>
      <c r="AR23" s="303"/>
      <c r="AS23" s="304">
        <f ca="1" t="shared" si="1"/>
        <v>0</v>
      </c>
      <c r="AT23" s="304"/>
      <c r="AU23" s="304"/>
      <c r="AV23" s="305">
        <v>0</v>
      </c>
      <c r="AW23" s="305"/>
      <c r="AX23" s="305"/>
      <c r="AY23" s="139" t="str">
        <f ca="1">IF(职业选项!V59&gt;0,职业选项!V59,"")</f>
        <v/>
      </c>
      <c r="AZ23" s="139"/>
      <c r="BA23" s="139"/>
      <c r="BB23" s="139" t="str">
        <f ca="1">规则数据!H59</f>
        <v/>
      </c>
      <c r="BC23" s="139"/>
      <c r="BD23" s="139"/>
      <c r="BE23" s="139"/>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85</v>
      </c>
      <c r="EE23" s="291"/>
      <c r="EF23" s="291" t="s">
        <v>86</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s">
        <v>59</v>
      </c>
      <c r="C24" s="302"/>
      <c r="D24" s="303" t="s">
        <v>87</v>
      </c>
      <c r="E24" s="303"/>
      <c r="F24" s="303"/>
      <c r="G24" s="303"/>
      <c r="H24" s="303"/>
      <c r="I24" s="303"/>
      <c r="J24" s="303"/>
      <c r="K24" s="303"/>
      <c r="L24" s="303"/>
      <c r="M24" s="303"/>
      <c r="N24" s="303"/>
      <c r="O24" s="303"/>
      <c r="P24" s="304">
        <f ca="1" t="shared" si="0"/>
        <v>0</v>
      </c>
      <c r="Q24" s="304"/>
      <c r="R24" s="304"/>
      <c r="S24" s="305">
        <v>0</v>
      </c>
      <c r="T24" s="305"/>
      <c r="U24" s="305"/>
      <c r="V24" s="139" t="str">
        <f ca="1">IF(职业选项!V60&gt;0,职业选项!V60,"")</f>
        <v/>
      </c>
      <c r="W24" s="139"/>
      <c r="X24" s="139"/>
      <c r="Y24" s="139" t="str">
        <f ca="1">规则数据!H30</f>
        <v/>
      </c>
      <c r="Z24" s="139"/>
      <c r="AA24" s="139"/>
      <c r="AB24" s="139"/>
      <c r="AC24" s="139"/>
      <c r="AD24" s="306"/>
      <c r="AE24" s="307" t="s">
        <v>59</v>
      </c>
      <c r="AF24" s="302"/>
      <c r="AG24" s="330" t="s">
        <v>88</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 ca="1" t="shared" si="1"/>
        <v>0</v>
      </c>
      <c r="AT24" s="304"/>
      <c r="AU24" s="304"/>
      <c r="AV24" s="305">
        <v>0</v>
      </c>
      <c r="AW24" s="305"/>
      <c r="AX24" s="305"/>
      <c r="AY24" s="139" t="str">
        <f ca="1">IF(职业选项!V61&gt;0,职业选项!V61,"")</f>
        <v/>
      </c>
      <c r="AZ24" s="139"/>
      <c r="BA24" s="139"/>
      <c r="BB24" s="139" t="str">
        <f ca="1">规则数据!H60</f>
        <v/>
      </c>
      <c r="BC24" s="139"/>
      <c r="BD24" s="139"/>
      <c r="BE24" s="139"/>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IF(CZ23="","",IF(AND($DF$46="艰苦经历",IFERROR(VALUE($DF$55),0)=1),0,EF$22))</f>
        <v/>
      </c>
      <c r="EE24" s="353"/>
      <c r="EF24" s="312" t="s">
        <v>89</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s">
        <v>59</v>
      </c>
      <c r="C25" s="302"/>
      <c r="D25" s="321" t="s">
        <v>90</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 ca="1" t="shared" si="0"/>
        <v>0</v>
      </c>
      <c r="Q25" s="304"/>
      <c r="R25" s="304"/>
      <c r="S25" s="305">
        <v>0</v>
      </c>
      <c r="T25" s="305"/>
      <c r="U25" s="305"/>
      <c r="V25" s="139" t="str">
        <f ca="1">IF(职业选项!V62&gt;0,职业选项!V62,"")</f>
        <v/>
      </c>
      <c r="W25" s="139"/>
      <c r="X25" s="139"/>
      <c r="Y25" s="139" t="str">
        <f ca="1">规则数据!H31</f>
        <v/>
      </c>
      <c r="Z25" s="139"/>
      <c r="AA25" s="139"/>
      <c r="AB25" s="139"/>
      <c r="AC25" s="139"/>
      <c r="AD25" s="306"/>
      <c r="AE25" s="307" t="s">
        <v>59</v>
      </c>
      <c r="AF25" s="302"/>
      <c r="AG25" s="321" t="s">
        <v>88</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 ca="1" t="shared" si="1"/>
        <v>0</v>
      </c>
      <c r="AT25" s="304"/>
      <c r="AU25" s="304"/>
      <c r="AV25" s="305">
        <v>0</v>
      </c>
      <c r="AW25" s="305"/>
      <c r="AX25" s="305"/>
      <c r="AY25" s="139" t="str">
        <f ca="1">IF(职业选项!V63&gt;0,职业选项!V63,"")</f>
        <v/>
      </c>
      <c r="AZ25" s="139"/>
      <c r="BA25" s="139"/>
      <c r="BB25" s="139" t="str">
        <f ca="1">规则数据!H61</f>
        <v/>
      </c>
      <c r="BC25" s="139"/>
      <c r="BD25" s="139"/>
      <c r="BE25" s="139"/>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s">
        <v>59</v>
      </c>
      <c r="C26" s="302"/>
      <c r="D26" s="330" t="s">
        <v>90</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 ca="1" t="shared" si="0"/>
        <v>0</v>
      </c>
      <c r="Q26" s="304"/>
      <c r="R26" s="304"/>
      <c r="S26" s="305">
        <v>0</v>
      </c>
      <c r="T26" s="305"/>
      <c r="U26" s="305"/>
      <c r="V26" s="139" t="str">
        <f ca="1">IF(职业选项!V64&gt;0,职业选项!V64,"")</f>
        <v/>
      </c>
      <c r="W26" s="139"/>
      <c r="X26" s="139"/>
      <c r="Y26" s="139" t="str">
        <f ca="1">规则数据!H32</f>
        <v/>
      </c>
      <c r="Z26" s="139"/>
      <c r="AA26" s="139"/>
      <c r="AB26" s="139"/>
      <c r="AC26" s="139"/>
      <c r="AD26" s="306"/>
      <c r="AE26" s="307" t="s">
        <v>59</v>
      </c>
      <c r="AF26" s="302"/>
      <c r="AG26" s="330" t="s">
        <v>88</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 ca="1" t="shared" si="1"/>
        <v>0</v>
      </c>
      <c r="AT26" s="304"/>
      <c r="AU26" s="304"/>
      <c r="AV26" s="305">
        <v>0</v>
      </c>
      <c r="AW26" s="305"/>
      <c r="AX26" s="305"/>
      <c r="AY26" s="139" t="str">
        <f ca="1">IF(职业选项!V65&gt;0,职业选项!V65,"")</f>
        <v/>
      </c>
      <c r="AZ26" s="139"/>
      <c r="BA26" s="139"/>
      <c r="BB26" s="139" t="str">
        <f ca="1">规则数据!H62</f>
        <v/>
      </c>
      <c r="BC26" s="139"/>
      <c r="BD26" s="139"/>
      <c r="BE26" s="139"/>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85</v>
      </c>
      <c r="EE26" s="132"/>
      <c r="EF26" s="132" t="s">
        <v>86</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s">
        <v>59</v>
      </c>
      <c r="C27" s="302"/>
      <c r="D27" s="321" t="s">
        <v>90</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 ca="1" t="shared" si="0"/>
        <v>0</v>
      </c>
      <c r="Q27" s="304"/>
      <c r="R27" s="304"/>
      <c r="S27" s="305">
        <v>0</v>
      </c>
      <c r="T27" s="305"/>
      <c r="U27" s="305"/>
      <c r="V27" s="139" t="str">
        <f ca="1">IF(职业选项!V66&gt;0,职业选项!V66,"")</f>
        <v/>
      </c>
      <c r="W27" s="139"/>
      <c r="X27" s="139"/>
      <c r="Y27" s="139" t="str">
        <f ca="1">规则数据!H33</f>
        <v/>
      </c>
      <c r="Z27" s="139"/>
      <c r="AA27" s="139"/>
      <c r="AB27" s="139"/>
      <c r="AC27" s="139"/>
      <c r="AD27" s="306"/>
      <c r="AE27" s="307" t="s">
        <v>59</v>
      </c>
      <c r="AF27" s="302"/>
      <c r="AG27" s="303" t="s">
        <v>91</v>
      </c>
      <c r="AH27" s="303"/>
      <c r="AI27" s="303"/>
      <c r="AJ27" s="303"/>
      <c r="AK27" s="303"/>
      <c r="AL27" s="303"/>
      <c r="AM27" s="303"/>
      <c r="AN27" s="303"/>
      <c r="AO27" s="303"/>
      <c r="AP27" s="303"/>
      <c r="AQ27" s="303"/>
      <c r="AR27" s="303"/>
      <c r="AS27" s="304">
        <f ca="1" t="shared" si="1"/>
        <v>10</v>
      </c>
      <c r="AT27" s="304"/>
      <c r="AU27" s="304"/>
      <c r="AV27" s="305">
        <v>10</v>
      </c>
      <c r="AW27" s="305"/>
      <c r="AX27" s="305"/>
      <c r="AY27" s="139" t="str">
        <f ca="1">IF(职业选项!V67&gt;0,职业选项!V67,"")</f>
        <v/>
      </c>
      <c r="AZ27" s="139"/>
      <c r="BA27" s="139"/>
      <c r="BB27" s="139" t="str">
        <f ca="1">规则数据!H63</f>
        <v/>
      </c>
      <c r="BC27" s="139"/>
      <c r="BD27" s="139"/>
      <c r="BE27" s="139"/>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IF(CZ26="","",IF(AND($DF$46="艰苦经历",IFERROR(VALUE($DF$55),0)=2),0,EF$22))</f>
        <v/>
      </c>
      <c r="EE27" s="353"/>
      <c r="EF27" s="312" t="s">
        <v>89</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s">
        <v>59</v>
      </c>
      <c r="C28" s="302"/>
      <c r="D28" s="330" t="s">
        <v>90</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 ca="1" t="shared" si="0"/>
        <v>0</v>
      </c>
      <c r="Q28" s="304"/>
      <c r="R28" s="304"/>
      <c r="S28" s="305">
        <v>0</v>
      </c>
      <c r="T28" s="305"/>
      <c r="U28" s="305"/>
      <c r="V28" s="139" t="str">
        <f ca="1">IF(职业选项!V68&gt;0,职业选项!V68,"")</f>
        <v/>
      </c>
      <c r="W28" s="139"/>
      <c r="X28" s="139"/>
      <c r="Y28" s="139" t="str">
        <f ca="1">规则数据!H34</f>
        <v/>
      </c>
      <c r="Z28" s="139"/>
      <c r="AA28" s="139"/>
      <c r="AB28" s="139"/>
      <c r="AC28" s="139"/>
      <c r="AD28" s="306"/>
      <c r="AE28" s="307" t="s">
        <v>59</v>
      </c>
      <c r="AF28" s="302"/>
      <c r="AG28" s="303" t="s">
        <v>92</v>
      </c>
      <c r="AH28" s="303"/>
      <c r="AI28" s="303"/>
      <c r="AJ28" s="303"/>
      <c r="AK28" s="303"/>
      <c r="AL28" s="303"/>
      <c r="AM28" s="303"/>
      <c r="AN28" s="303"/>
      <c r="AO28" s="303"/>
      <c r="AP28" s="303"/>
      <c r="AQ28" s="303"/>
      <c r="AR28" s="303"/>
      <c r="AS28" s="304">
        <f ca="1" t="shared" si="1"/>
        <v>10</v>
      </c>
      <c r="AT28" s="304"/>
      <c r="AU28" s="304"/>
      <c r="AV28" s="305">
        <v>10</v>
      </c>
      <c r="AW28" s="305"/>
      <c r="AX28" s="305"/>
      <c r="AY28" s="139" t="str">
        <f ca="1">IF(职业选项!V69&gt;0,职业选项!V69,"")</f>
        <v/>
      </c>
      <c r="AZ28" s="139"/>
      <c r="BA28" s="139"/>
      <c r="BB28" s="139" t="str">
        <f ca="1">规则数据!H64</f>
        <v/>
      </c>
      <c r="BC28" s="139"/>
      <c r="BD28" s="139"/>
      <c r="BE28" s="139"/>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s">
        <v>59</v>
      </c>
      <c r="C29" s="302"/>
      <c r="D29" s="303" t="s">
        <v>93</v>
      </c>
      <c r="E29" s="303"/>
      <c r="F29" s="303"/>
      <c r="G29" s="303"/>
      <c r="H29" s="303"/>
      <c r="I29" s="303"/>
      <c r="J29" s="303"/>
      <c r="K29" s="303"/>
      <c r="L29" s="303"/>
      <c r="M29" s="303"/>
      <c r="N29" s="303"/>
      <c r="O29" s="303"/>
      <c r="P29" s="304">
        <f ca="1" t="shared" si="0"/>
        <v>10</v>
      </c>
      <c r="Q29" s="304"/>
      <c r="R29" s="304"/>
      <c r="S29" s="305">
        <v>10</v>
      </c>
      <c r="T29" s="305"/>
      <c r="U29" s="305"/>
      <c r="V29" s="139" t="str">
        <f ca="1">IF(职业选项!V70&gt;0,职业选项!V70,"")</f>
        <v/>
      </c>
      <c r="W29" s="139"/>
      <c r="X29" s="139"/>
      <c r="Y29" s="139" t="str">
        <f ca="1">规则数据!H35</f>
        <v/>
      </c>
      <c r="Z29" s="139"/>
      <c r="AA29" s="139"/>
      <c r="AB29" s="139"/>
      <c r="AC29" s="139"/>
      <c r="AD29" s="306"/>
      <c r="AE29" s="307" t="s">
        <v>59</v>
      </c>
      <c r="AF29" s="302"/>
      <c r="AG29" s="321" t="s">
        <v>94</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 ca="1" t="shared" si="1"/>
        <v>0</v>
      </c>
      <c r="AT29" s="304"/>
      <c r="AU29" s="304"/>
      <c r="AV29" s="305">
        <v>0</v>
      </c>
      <c r="AW29" s="305"/>
      <c r="AX29" s="305"/>
      <c r="AY29" s="139" t="str">
        <f ca="1">IF(职业选项!V71&gt;0,职业选项!V71,"")</f>
        <v/>
      </c>
      <c r="AZ29" s="139"/>
      <c r="BA29" s="139"/>
      <c r="BB29" s="139" t="str">
        <f ca="1">规则数据!H65</f>
        <v/>
      </c>
      <c r="BC29" s="139"/>
      <c r="BD29" s="139"/>
      <c r="BE29" s="139"/>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85</v>
      </c>
      <c r="EE29" s="132"/>
      <c r="EF29" s="132" t="s">
        <v>86</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s">
        <v>59</v>
      </c>
      <c r="C30" s="302"/>
      <c r="D30" s="303" t="s">
        <v>95</v>
      </c>
      <c r="E30" s="303"/>
      <c r="F30" s="303"/>
      <c r="G30" s="303"/>
      <c r="H30" s="303"/>
      <c r="I30" s="303"/>
      <c r="J30" s="303"/>
      <c r="K30" s="303"/>
      <c r="L30" s="303"/>
      <c r="M30" s="303"/>
      <c r="N30" s="303"/>
      <c r="O30" s="303"/>
      <c r="P30" s="304">
        <f ca="1" t="shared" si="0"/>
        <v>0</v>
      </c>
      <c r="Q30" s="304"/>
      <c r="R30" s="304"/>
      <c r="S30" s="305">
        <v>0</v>
      </c>
      <c r="T30" s="305"/>
      <c r="U30" s="305"/>
      <c r="V30" s="139" t="str">
        <f ca="1">IF(职业选项!V72&gt;0,职业选项!V72,"")</f>
        <v/>
      </c>
      <c r="W30" s="139"/>
      <c r="X30" s="139"/>
      <c r="Y30" s="139" t="str">
        <f ca="1">规则数据!H36</f>
        <v/>
      </c>
      <c r="Z30" s="139"/>
      <c r="AA30" s="139"/>
      <c r="AB30" s="139"/>
      <c r="AC30" s="139"/>
      <c r="AD30" s="306"/>
      <c r="AE30" s="307" t="s">
        <v>59</v>
      </c>
      <c r="AF30" s="302"/>
      <c r="AG30" s="330" t="s">
        <v>94</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 ca="1" t="shared" si="1"/>
        <v>0</v>
      </c>
      <c r="AT30" s="304"/>
      <c r="AU30" s="304"/>
      <c r="AV30" s="305">
        <v>0</v>
      </c>
      <c r="AW30" s="305"/>
      <c r="AX30" s="305"/>
      <c r="AY30" s="139" t="str">
        <f ca="1">IF(职业选项!V73&gt;0,职业选项!V73,"")</f>
        <v/>
      </c>
      <c r="AZ30" s="139"/>
      <c r="BA30" s="139"/>
      <c r="BB30" s="139" t="str">
        <f ca="1">规则数据!H66</f>
        <v/>
      </c>
      <c r="BC30" s="139"/>
      <c r="BD30" s="139"/>
      <c r="BE30" s="139"/>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IF(CZ29="","",IF(AND($DF$46="艰苦经历",IFERROR(VALUE($DF$55),0)=3),0,EF$22))</f>
        <v/>
      </c>
      <c r="EE30" s="353"/>
      <c r="EF30" s="312" t="s">
        <v>89</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s">
        <v>59</v>
      </c>
      <c r="C31" s="302"/>
      <c r="D31" s="303" t="s">
        <v>96</v>
      </c>
      <c r="E31" s="303"/>
      <c r="F31" s="303"/>
      <c r="G31" s="303"/>
      <c r="H31" s="303"/>
      <c r="I31" s="303"/>
      <c r="J31" s="303"/>
      <c r="K31" s="303"/>
      <c r="L31" s="303"/>
      <c r="M31" s="303"/>
      <c r="N31" s="303"/>
      <c r="O31" s="303"/>
      <c r="P31" s="304">
        <f ca="1" t="shared" si="0"/>
        <v>10</v>
      </c>
      <c r="Q31" s="304"/>
      <c r="R31" s="304"/>
      <c r="S31" s="305">
        <v>10</v>
      </c>
      <c r="T31" s="305"/>
      <c r="U31" s="305"/>
      <c r="V31" s="139" t="str">
        <f ca="1">IF(职业选项!V74&gt;0,职业选项!V74,"")</f>
        <v/>
      </c>
      <c r="W31" s="139"/>
      <c r="X31" s="139"/>
      <c r="Y31" s="139" t="str">
        <f ca="1">规则数据!H37</f>
        <v/>
      </c>
      <c r="Z31" s="139"/>
      <c r="AA31" s="139"/>
      <c r="AB31" s="139"/>
      <c r="AC31" s="139"/>
      <c r="AD31" s="306"/>
      <c r="AE31" s="307" t="s">
        <v>59</v>
      </c>
      <c r="AF31" s="302"/>
      <c r="AG31" s="321" t="s">
        <v>94</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 ca="1" t="shared" si="1"/>
        <v>0</v>
      </c>
      <c r="AT31" s="304"/>
      <c r="AU31" s="304"/>
      <c r="AV31" s="305">
        <v>0</v>
      </c>
      <c r="AW31" s="305"/>
      <c r="AX31" s="305"/>
      <c r="AY31" s="139" t="str">
        <f ca="1">IF(职业选项!V75&gt;0,职业选项!V75,"")</f>
        <v/>
      </c>
      <c r="AZ31" s="139"/>
      <c r="BA31" s="139"/>
      <c r="BB31" s="139" t="str">
        <f ca="1">规则数据!H67</f>
        <v/>
      </c>
      <c r="BC31" s="139"/>
      <c r="BD31" s="139"/>
      <c r="BE31" s="139"/>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s">
        <v>59</v>
      </c>
      <c r="C32" s="302"/>
      <c r="D32" s="303" t="s">
        <v>97</v>
      </c>
      <c r="E32" s="303"/>
      <c r="F32" s="303"/>
      <c r="G32" s="303"/>
      <c r="H32" s="303"/>
      <c r="I32" s="303"/>
      <c r="J32" s="303"/>
      <c r="K32" s="303"/>
      <c r="L32" s="303"/>
      <c r="M32" s="303"/>
      <c r="N32" s="303"/>
      <c r="O32" s="303"/>
      <c r="P32" s="304">
        <f ca="1" t="shared" si="0"/>
        <v>30</v>
      </c>
      <c r="Q32" s="304"/>
      <c r="R32" s="304"/>
      <c r="S32" s="305">
        <v>30</v>
      </c>
      <c r="T32" s="305"/>
      <c r="U32" s="305"/>
      <c r="V32" s="139" t="str">
        <f ca="1">IF(职业选项!V76&gt;0,职业选项!V76,"")</f>
        <v/>
      </c>
      <c r="W32" s="139"/>
      <c r="X32" s="139"/>
      <c r="Y32" s="139" t="str">
        <f ca="1">规则数据!H38</f>
        <v/>
      </c>
      <c r="Z32" s="139"/>
      <c r="AA32" s="139"/>
      <c r="AB32" s="139"/>
      <c r="AC32" s="139"/>
      <c r="AD32" s="306"/>
      <c r="AE32" s="307" t="s">
        <v>59</v>
      </c>
      <c r="AF32" s="302"/>
      <c r="AG32" s="303" t="s">
        <v>98</v>
      </c>
      <c r="AH32" s="303"/>
      <c r="AI32" s="303"/>
      <c r="AJ32" s="303"/>
      <c r="AK32" s="303"/>
      <c r="AL32" s="303"/>
      <c r="AM32" s="303"/>
      <c r="AN32" s="303"/>
      <c r="AO32" s="303"/>
      <c r="AP32" s="303"/>
      <c r="AQ32" s="303"/>
      <c r="AR32" s="303"/>
      <c r="AS32" s="304">
        <f ca="1" t="shared" si="1"/>
        <v>20</v>
      </c>
      <c r="AT32" s="304"/>
      <c r="AU32" s="304"/>
      <c r="AV32" s="305">
        <v>20</v>
      </c>
      <c r="AW32" s="305"/>
      <c r="AX32" s="305"/>
      <c r="AY32" s="139" t="str">
        <f ca="1">IF(职业选项!V77&gt;0,职业选项!V77,"")</f>
        <v/>
      </c>
      <c r="AZ32" s="139"/>
      <c r="BA32" s="139"/>
      <c r="BB32" s="139" t="str">
        <f ca="1">规则数据!H68</f>
        <v/>
      </c>
      <c r="BC32" s="139"/>
      <c r="BD32" s="139"/>
      <c r="BE32" s="139"/>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85</v>
      </c>
      <c r="EE32" s="132"/>
      <c r="EF32" s="132" t="s">
        <v>86</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s">
        <v>59</v>
      </c>
      <c r="C33" s="302"/>
      <c r="D33" s="303" t="s">
        <v>99</v>
      </c>
      <c r="E33" s="303"/>
      <c r="F33" s="303"/>
      <c r="G33" s="303"/>
      <c r="H33" s="303"/>
      <c r="I33" s="303"/>
      <c r="J33" s="303"/>
      <c r="K33" s="303"/>
      <c r="L33" s="303"/>
      <c r="M33" s="303"/>
      <c r="N33" s="303"/>
      <c r="O33" s="303"/>
      <c r="P33" s="304">
        <f ca="1" t="shared" si="0"/>
        <v>20</v>
      </c>
      <c r="Q33" s="304"/>
      <c r="R33" s="304"/>
      <c r="S33" s="305">
        <v>20</v>
      </c>
      <c r="T33" s="305"/>
      <c r="U33" s="305"/>
      <c r="V33" s="139" t="str">
        <f ca="1">IF(职业选项!V78&gt;0,职业选项!V78,"")</f>
        <v/>
      </c>
      <c r="W33" s="139"/>
      <c r="X33" s="139"/>
      <c r="Y33" s="139" t="str">
        <f ca="1">规则数据!H39</f>
        <v/>
      </c>
      <c r="Z33" s="139"/>
      <c r="AA33" s="139"/>
      <c r="AB33" s="139"/>
      <c r="AC33" s="139"/>
      <c r="AD33" s="306"/>
      <c r="AE33" s="307" t="s">
        <v>59</v>
      </c>
      <c r="AF33" s="302"/>
      <c r="AG33" s="303" t="s">
        <v>100</v>
      </c>
      <c r="AH33" s="303"/>
      <c r="AI33" s="303"/>
      <c r="AJ33" s="303"/>
      <c r="AK33" s="303"/>
      <c r="AL33" s="303"/>
      <c r="AM33" s="303"/>
      <c r="AN33" s="303"/>
      <c r="AO33" s="303"/>
      <c r="AP33" s="303"/>
      <c r="AQ33" s="303"/>
      <c r="AR33" s="303"/>
      <c r="AS33" s="304">
        <f ca="1" t="shared" si="1"/>
        <v>0</v>
      </c>
      <c r="AT33" s="304"/>
      <c r="AU33" s="304"/>
      <c r="AV33" s="305">
        <v>0</v>
      </c>
      <c r="AW33" s="305"/>
      <c r="AX33" s="305"/>
      <c r="AY33" s="139" t="str">
        <f ca="1">IF(职业选项!V79&gt;0,职业选项!V79,"")</f>
        <v/>
      </c>
      <c r="AZ33" s="139"/>
      <c r="BA33" s="139"/>
      <c r="BB33" s="139" t="str">
        <f ca="1">规则数据!H69</f>
        <v/>
      </c>
      <c r="BC33" s="139"/>
      <c r="BD33" s="139"/>
      <c r="BE33" s="139"/>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IF(CZ32="","",IF(AND($DF$46="艰苦经历",IFERROR(VALUE($DF$55),0)=4),0,EF$22))</f>
        <v/>
      </c>
      <c r="EE33" s="353"/>
      <c r="EF33" s="312" t="s">
        <v>89</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s">
        <v>59</v>
      </c>
      <c r="C34" s="302"/>
      <c r="D34" s="303" t="s">
        <v>101</v>
      </c>
      <c r="E34" s="303"/>
      <c r="F34" s="303"/>
      <c r="G34" s="303"/>
      <c r="H34" s="303"/>
      <c r="I34" s="303"/>
      <c r="J34" s="303"/>
      <c r="K34" s="303"/>
      <c r="L34" s="303"/>
      <c r="M34" s="303"/>
      <c r="N34" s="303"/>
      <c r="O34" s="303"/>
      <c r="P34" s="304">
        <f ca="1" t="shared" si="0"/>
        <v>20</v>
      </c>
      <c r="Q34" s="304"/>
      <c r="R34" s="304"/>
      <c r="S34" s="305">
        <v>20</v>
      </c>
      <c r="T34" s="305"/>
      <c r="U34" s="305"/>
      <c r="V34" s="139" t="str">
        <f ca="1">IF(职业选项!V80&gt;0,职业选项!V80,"")</f>
        <v/>
      </c>
      <c r="W34" s="139"/>
      <c r="X34" s="139"/>
      <c r="Y34" s="139" t="str">
        <f ca="1">规则数据!H40</f>
        <v/>
      </c>
      <c r="Z34" s="139"/>
      <c r="AA34" s="139"/>
      <c r="AB34" s="139"/>
      <c r="AC34" s="139"/>
      <c r="AD34" s="306"/>
      <c r="AE34" s="307" t="s">
        <v>59</v>
      </c>
      <c r="AF34" s="302"/>
      <c r="AG34" s="303" t="s">
        <v>102</v>
      </c>
      <c r="AH34" s="303"/>
      <c r="AI34" s="303"/>
      <c r="AJ34" s="303"/>
      <c r="AK34" s="303"/>
      <c r="AL34" s="303"/>
      <c r="AM34" s="303"/>
      <c r="AN34" s="303"/>
      <c r="AO34" s="303"/>
      <c r="AP34" s="303"/>
      <c r="AQ34" s="303"/>
      <c r="AR34" s="303"/>
      <c r="AS34" s="304">
        <f ca="1" t="shared" si="1"/>
        <v>10</v>
      </c>
      <c r="AT34" s="304"/>
      <c r="AU34" s="304"/>
      <c r="AV34" s="305">
        <v>10</v>
      </c>
      <c r="AW34" s="305"/>
      <c r="AX34" s="305"/>
      <c r="AY34" s="139" t="str">
        <f ca="1">IF(职业选项!V81&gt;0,职业选项!V81,"")</f>
        <v/>
      </c>
      <c r="AZ34" s="139"/>
      <c r="BA34" s="139"/>
      <c r="BB34" s="139" t="str">
        <f ca="1">规则数据!H70</f>
        <v/>
      </c>
      <c r="BC34" s="139"/>
      <c r="BD34" s="139"/>
      <c r="BE34" s="139"/>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s">
        <v>59</v>
      </c>
      <c r="C35" s="302"/>
      <c r="D35" s="303" t="s">
        <v>103</v>
      </c>
      <c r="E35" s="303"/>
      <c r="F35" s="303"/>
      <c r="G35" s="303"/>
      <c r="H35" s="303"/>
      <c r="I35" s="303"/>
      <c r="J35" s="303"/>
      <c r="K35" s="303"/>
      <c r="L35" s="303"/>
      <c r="M35" s="303"/>
      <c r="N35" s="303"/>
      <c r="O35" s="303"/>
      <c r="P35" s="304">
        <f ca="1" t="shared" si="0"/>
        <v>10</v>
      </c>
      <c r="Q35" s="304"/>
      <c r="R35" s="304"/>
      <c r="S35" s="305">
        <v>10</v>
      </c>
      <c r="T35" s="305"/>
      <c r="U35" s="305"/>
      <c r="V35" s="139" t="str">
        <f ca="1">IF(职业选项!V82&gt;0,职业选项!V82,"")</f>
        <v/>
      </c>
      <c r="W35" s="139"/>
      <c r="X35" s="139"/>
      <c r="Y35" s="139" t="str">
        <f ca="1">规则数据!H41</f>
        <v/>
      </c>
      <c r="Z35" s="139"/>
      <c r="AA35" s="139"/>
      <c r="AB35" s="139"/>
      <c r="AC35" s="139"/>
      <c r="AD35" s="306"/>
      <c r="AE35" s="307" t="s">
        <v>59</v>
      </c>
      <c r="AF35" s="302"/>
      <c r="AG35" s="303" t="s">
        <v>104</v>
      </c>
      <c r="AH35" s="303"/>
      <c r="AI35" s="303"/>
      <c r="AJ35" s="303"/>
      <c r="AK35" s="303"/>
      <c r="AL35" s="303"/>
      <c r="AM35" s="303"/>
      <c r="AN35" s="303"/>
      <c r="AO35" s="303"/>
      <c r="AP35" s="303"/>
      <c r="AQ35" s="303"/>
      <c r="AR35" s="303"/>
      <c r="AS35" s="304">
        <f ca="1" t="shared" si="1"/>
        <v>0</v>
      </c>
      <c r="AT35" s="304"/>
      <c r="AU35" s="304"/>
      <c r="AV35" s="305">
        <v>0</v>
      </c>
      <c r="AW35" s="305"/>
      <c r="AX35" s="305"/>
      <c r="AY35" s="139" t="str">
        <f ca="1">IF(职业选项!V83&gt;0,职业选项!V83,"")</f>
        <v/>
      </c>
      <c r="AZ35" s="139"/>
      <c r="BA35" s="139"/>
      <c r="BB35" s="139" t="str">
        <f ca="1">规则数据!H71</f>
        <v/>
      </c>
      <c r="BC35" s="139"/>
      <c r="BD35" s="139"/>
      <c r="BE35" s="139"/>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85</v>
      </c>
      <c r="EE35" s="132"/>
      <c r="EF35" s="132" t="s">
        <v>86</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s">
        <v>59</v>
      </c>
      <c r="C36" s="302"/>
      <c r="D36" s="330" t="s">
        <v>105</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 ca="1" t="shared" si="0"/>
        <v>0</v>
      </c>
      <c r="Q36" s="304"/>
      <c r="R36" s="304"/>
      <c r="S36" s="305">
        <v>0</v>
      </c>
      <c r="T36" s="305"/>
      <c r="U36" s="305"/>
      <c r="V36" s="139" t="str">
        <f ca="1">IF(职业选项!V84&gt;0,职业选项!V84,"")</f>
        <v/>
      </c>
      <c r="W36" s="139"/>
      <c r="X36" s="139"/>
      <c r="Y36" s="139" t="str">
        <f ca="1">规则数据!H42</f>
        <v/>
      </c>
      <c r="Z36" s="139"/>
      <c r="AA36" s="139"/>
      <c r="AB36" s="139"/>
      <c r="AC36" s="139"/>
      <c r="AD36" s="306"/>
      <c r="AE36" s="307" t="s">
        <v>59</v>
      </c>
      <c r="AF36" s="302"/>
      <c r="AG36" s="303" t="s">
        <v>106</v>
      </c>
      <c r="AH36" s="303"/>
      <c r="AI36" s="303"/>
      <c r="AJ36" s="303"/>
      <c r="AK36" s="303"/>
      <c r="AL36" s="303"/>
      <c r="AM36" s="303"/>
      <c r="AN36" s="303"/>
      <c r="AO36" s="303"/>
      <c r="AP36" s="303"/>
      <c r="AQ36" s="303"/>
      <c r="AR36" s="303"/>
      <c r="AS36" s="304">
        <f ca="1" t="shared" si="1"/>
        <v>10</v>
      </c>
      <c r="AT36" s="304"/>
      <c r="AU36" s="304"/>
      <c r="AV36" s="305">
        <v>10</v>
      </c>
      <c r="AW36" s="305"/>
      <c r="AX36" s="305"/>
      <c r="AY36" s="139" t="str">
        <f ca="1">IF(职业选项!V85&gt;0,职业选项!V85,"")</f>
        <v/>
      </c>
      <c r="AZ36" s="139"/>
      <c r="BA36" s="139"/>
      <c r="BB36" s="139" t="str">
        <f ca="1">规则数据!H72</f>
        <v/>
      </c>
      <c r="BC36" s="139"/>
      <c r="BD36" s="139"/>
      <c r="BE36" s="139"/>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IF(CZ35="","",IF(AND($DF$46="艰苦经历",IFERROR(VALUE($DF$55),0)=5),0,EF$22))</f>
        <v/>
      </c>
      <c r="EE36" s="353"/>
      <c r="EF36" s="312" t="s">
        <v>89</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s">
        <v>59</v>
      </c>
      <c r="C37" s="302"/>
      <c r="D37" s="321" t="s">
        <v>105</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 ca="1" t="shared" si="0"/>
        <v>0</v>
      </c>
      <c r="Q37" s="304"/>
      <c r="R37" s="304"/>
      <c r="S37" s="305">
        <v>0</v>
      </c>
      <c r="T37" s="305"/>
      <c r="U37" s="305"/>
      <c r="V37" s="139" t="str">
        <f ca="1">IF(职业选项!V86&gt;0,职业选项!V86,"")</f>
        <v/>
      </c>
      <c r="W37" s="139"/>
      <c r="X37" s="139"/>
      <c r="Y37" s="139" t="str">
        <f ca="1">规则数据!H43</f>
        <v/>
      </c>
      <c r="Z37" s="139"/>
      <c r="AA37" s="139"/>
      <c r="AB37" s="139"/>
      <c r="AC37" s="139"/>
      <c r="AD37" s="306"/>
      <c r="AE37" s="307" t="s">
        <v>59</v>
      </c>
      <c r="AF37" s="302"/>
      <c r="AG37" s="303" t="s">
        <v>107</v>
      </c>
      <c r="AH37" s="303"/>
      <c r="AI37" s="303"/>
      <c r="AJ37" s="303"/>
      <c r="AK37" s="303"/>
      <c r="AL37" s="303"/>
      <c r="AM37" s="303"/>
      <c r="AN37" s="303"/>
      <c r="AO37" s="303"/>
      <c r="AP37" s="303"/>
      <c r="AQ37" s="303"/>
      <c r="AR37" s="303"/>
      <c r="AS37" s="304">
        <f ca="1" t="shared" si="1"/>
        <v>20</v>
      </c>
      <c r="AT37" s="304"/>
      <c r="AU37" s="304"/>
      <c r="AV37" s="305">
        <v>20</v>
      </c>
      <c r="AW37" s="305"/>
      <c r="AX37" s="305"/>
      <c r="AY37" s="139" t="str">
        <f ca="1">IF(职业选项!V87&gt;0,职业选项!V87,"")</f>
        <v/>
      </c>
      <c r="AZ37" s="139"/>
      <c r="BA37" s="139"/>
      <c r="BB37" s="139" t="str">
        <f ca="1">规则数据!H73</f>
        <v/>
      </c>
      <c r="BC37" s="139"/>
      <c r="BD37" s="139"/>
      <c r="BE37" s="139"/>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s">
        <v>59</v>
      </c>
      <c r="C38" s="302"/>
      <c r="D38" s="330" t="s">
        <v>105</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 ca="1" t="shared" si="0"/>
        <v>0</v>
      </c>
      <c r="Q38" s="304"/>
      <c r="R38" s="304"/>
      <c r="S38" s="305">
        <v>0</v>
      </c>
      <c r="T38" s="305"/>
      <c r="U38" s="305"/>
      <c r="V38" s="139" t="str">
        <f ca="1">IF(职业选项!V88&gt;0,职业选项!V88,"")</f>
        <v/>
      </c>
      <c r="W38" s="139"/>
      <c r="X38" s="139"/>
      <c r="Y38" s="139" t="str">
        <f ca="1">规则数据!H44</f>
        <v/>
      </c>
      <c r="Z38" s="139"/>
      <c r="AA38" s="139"/>
      <c r="AB38" s="139"/>
      <c r="AC38" s="139"/>
      <c r="AD38" s="306"/>
      <c r="AE38" s="307" t="s">
        <v>59</v>
      </c>
      <c r="AF38" s="302"/>
      <c r="AG38" s="303" t="s">
        <v>108</v>
      </c>
      <c r="AH38" s="303"/>
      <c r="AI38" s="303"/>
      <c r="AJ38" s="303"/>
      <c r="AK38" s="303"/>
      <c r="AL38" s="303"/>
      <c r="AM38" s="303"/>
      <c r="AN38" s="303"/>
      <c r="AO38" s="303"/>
      <c r="AP38" s="303"/>
      <c r="AQ38" s="303"/>
      <c r="AR38" s="303"/>
      <c r="AS38" s="304">
        <f ca="1" t="shared" si="1"/>
        <v>40</v>
      </c>
      <c r="AT38" s="304"/>
      <c r="AU38" s="304"/>
      <c r="AV38" s="305">
        <v>40</v>
      </c>
      <c r="AW38" s="305"/>
      <c r="AX38" s="305"/>
      <c r="AY38" s="139" t="str">
        <f ca="1">IF(职业选项!V89&gt;0,职业选项!V89,"")</f>
        <v/>
      </c>
      <c r="AZ38" s="139"/>
      <c r="BA38" s="139"/>
      <c r="BB38" s="139" t="str">
        <f ca="1">规则数据!H74</f>
        <v/>
      </c>
      <c r="BC38" s="139"/>
      <c r="BD38" s="139"/>
      <c r="BE38" s="139"/>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85</v>
      </c>
      <c r="EE38" s="132"/>
      <c r="EF38" s="132" t="s">
        <v>86</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s">
        <v>59</v>
      </c>
      <c r="C39" s="302"/>
      <c r="D39" s="303" t="s">
        <v>109</v>
      </c>
      <c r="E39" s="303"/>
      <c r="F39" s="303"/>
      <c r="G39" s="303"/>
      <c r="H39" s="303"/>
      <c r="I39" s="303"/>
      <c r="J39" s="303"/>
      <c r="K39" s="303"/>
      <c r="L39" s="303"/>
      <c r="M39" s="303"/>
      <c r="N39" s="303"/>
      <c r="O39" s="303"/>
      <c r="P39" s="304">
        <f ca="1" t="shared" si="0"/>
        <v>0</v>
      </c>
      <c r="Q39" s="304"/>
      <c r="R39" s="304"/>
      <c r="S39" s="305">
        <v>0</v>
      </c>
      <c r="T39" s="305"/>
      <c r="U39" s="305"/>
      <c r="V39" s="139" t="str">
        <f ca="1">IF(职业选项!V90&gt;0,职业选项!V90,"")</f>
        <v/>
      </c>
      <c r="W39" s="139"/>
      <c r="X39" s="139"/>
      <c r="Y39" s="139" t="str">
        <f ca="1">规则数据!H45</f>
        <v/>
      </c>
      <c r="Z39" s="139"/>
      <c r="AA39" s="139"/>
      <c r="AB39" s="139"/>
      <c r="AC39" s="139"/>
      <c r="AD39" s="306"/>
      <c r="AE39" s="360"/>
      <c r="AF39" s="361"/>
      <c r="AG39" s="303" t="s">
        <v>110</v>
      </c>
      <c r="AH39" s="303"/>
      <c r="AI39" s="303"/>
      <c r="AJ39" s="303"/>
      <c r="AK39" s="303"/>
      <c r="AL39" s="303"/>
      <c r="AM39" s="303"/>
      <c r="AN39" s="303"/>
      <c r="AO39" s="303"/>
      <c r="AP39" s="303"/>
      <c r="AQ39" s="303"/>
      <c r="AR39" s="303"/>
      <c r="AS39" s="304">
        <f>N(BB39)+N(BE39)</f>
        <v>0</v>
      </c>
      <c r="AT39" s="304"/>
      <c r="AU39" s="304"/>
      <c r="AV39" s="305">
        <v>0</v>
      </c>
      <c r="AW39" s="305"/>
      <c r="AX39" s="305"/>
      <c r="AY39" s="305" t="s">
        <v>111</v>
      </c>
      <c r="AZ39" s="305"/>
      <c r="BA39" s="305"/>
      <c r="BB39" s="305">
        <f>IF(DF46="人类不应知道之事",10,0)</f>
        <v>0</v>
      </c>
      <c r="BC39" s="305"/>
      <c r="BD39" s="305"/>
      <c r="BE39" s="139"/>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IF(CZ38="","",IF(AND($DF$46="艰苦经历",IFERROR(VALUE($DF$55),0)=6),0,EF$22))</f>
        <v/>
      </c>
      <c r="EE39" s="353"/>
      <c r="EF39" s="312" t="s">
        <v>89</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s">
        <v>59</v>
      </c>
      <c r="C40" s="302"/>
      <c r="D40" s="303" t="s">
        <v>112</v>
      </c>
      <c r="E40" s="303"/>
      <c r="F40" s="303"/>
      <c r="G40" s="303"/>
      <c r="H40" s="303"/>
      <c r="I40" s="303"/>
      <c r="J40" s="303"/>
      <c r="K40" s="303"/>
      <c r="L40" s="303"/>
      <c r="M40" s="303"/>
      <c r="N40" s="303"/>
      <c r="O40" s="303"/>
      <c r="P40" s="304">
        <f ca="1" t="shared" si="0"/>
        <v>10</v>
      </c>
      <c r="Q40" s="304"/>
      <c r="R40" s="304"/>
      <c r="S40" s="305">
        <v>10</v>
      </c>
      <c r="T40" s="305"/>
      <c r="U40" s="305"/>
      <c r="V40" s="139" t="str">
        <f ca="1">IF(职业选项!V91&gt;0,职业选项!V91,"")</f>
        <v/>
      </c>
      <c r="W40" s="139"/>
      <c r="X40" s="139"/>
      <c r="Y40" s="139" t="str">
        <f ca="1">规则数据!H46</f>
        <v/>
      </c>
      <c r="Z40" s="139"/>
      <c r="AA40" s="139"/>
      <c r="AB40" s="139"/>
      <c r="AC40" s="139"/>
      <c r="AD40" s="306"/>
      <c r="AE40" s="307" t="s">
        <v>59</v>
      </c>
      <c r="AF40" s="302"/>
      <c r="AG40" s="362" t="str">
        <f ca="1">IFERROR(INDEX(规则数据!$C$2:$C$9,SMALL(规则数据!$AX$2:$AX$9,1)),"")</f>
        <v/>
      </c>
      <c r="AH40" s="362"/>
      <c r="AI40" s="362"/>
      <c r="AJ40" s="362"/>
      <c r="AK40" s="362"/>
      <c r="AL40" s="362"/>
      <c r="AM40" s="362"/>
      <c r="AN40" s="362"/>
      <c r="AO40" s="362"/>
      <c r="AP40" s="362"/>
      <c r="AQ40" s="362"/>
      <c r="AR40" s="362"/>
      <c r="AS40" s="363">
        <f ca="1">IF(AY40="",N(AV40),N(AY40))+N(BB40)+N(BE40)</f>
        <v>0</v>
      </c>
      <c r="AT40" s="363"/>
      <c r="AU40" s="363"/>
      <c r="AV40" s="139"/>
      <c r="AW40" s="139"/>
      <c r="AX40" s="139"/>
      <c r="AY40" s="139"/>
      <c r="AZ40" s="139"/>
      <c r="BA40" s="139"/>
      <c r="BB40" s="139" t="str">
        <f ca="1">规则数据!H75</f>
        <v/>
      </c>
      <c r="BC40" s="139"/>
      <c r="BD40" s="139"/>
      <c r="BE40" s="139"/>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s">
        <v>59</v>
      </c>
      <c r="C41" s="302"/>
      <c r="D41" s="303" t="s">
        <v>113</v>
      </c>
      <c r="E41" s="303"/>
      <c r="F41" s="303"/>
      <c r="G41" s="303"/>
      <c r="H41" s="303"/>
      <c r="I41" s="303"/>
      <c r="J41" s="303"/>
      <c r="K41" s="303"/>
      <c r="L41" s="303"/>
      <c r="M41" s="303"/>
      <c r="N41" s="303"/>
      <c r="O41" s="303"/>
      <c r="P41" s="304">
        <f ca="1" t="shared" si="0"/>
        <v>0</v>
      </c>
      <c r="Q41" s="304"/>
      <c r="R41" s="304"/>
      <c r="S41" s="305">
        <v>0</v>
      </c>
      <c r="T41" s="305"/>
      <c r="U41" s="305"/>
      <c r="V41" s="139" t="str">
        <f ca="1">IF(职业选项!V92&gt;0,职业选项!V92,"")</f>
        <v/>
      </c>
      <c r="W41" s="139"/>
      <c r="X41" s="139"/>
      <c r="Y41" s="139" t="str">
        <f ca="1">规则数据!H47</f>
        <v/>
      </c>
      <c r="Z41" s="139"/>
      <c r="AA41" s="139"/>
      <c r="AB41" s="139"/>
      <c r="AC41" s="139"/>
      <c r="AD41" s="306"/>
      <c r="AE41" s="307" t="s">
        <v>59</v>
      </c>
      <c r="AF41" s="302"/>
      <c r="AG41" s="362" t="str">
        <f ca="1">IFERROR(INDEX(规则数据!$C$2:$C$9,SMALL(规则数据!$AX$2:$AX$9,2)),"")</f>
        <v/>
      </c>
      <c r="AH41" s="362"/>
      <c r="AI41" s="362"/>
      <c r="AJ41" s="362"/>
      <c r="AK41" s="362"/>
      <c r="AL41" s="362"/>
      <c r="AM41" s="362"/>
      <c r="AN41" s="362"/>
      <c r="AO41" s="362"/>
      <c r="AP41" s="362"/>
      <c r="AQ41" s="362"/>
      <c r="AR41" s="362"/>
      <c r="AS41" s="363">
        <f ca="1">IF(AY41="",N(AV41),N(AY41))+N(BB41)+N(BE41)</f>
        <v>0</v>
      </c>
      <c r="AT41" s="363"/>
      <c r="AU41" s="363"/>
      <c r="AV41" s="139"/>
      <c r="AW41" s="139"/>
      <c r="AX41" s="139"/>
      <c r="AY41" s="139"/>
      <c r="AZ41" s="139"/>
      <c r="BA41" s="139"/>
      <c r="BB41" s="139" t="str">
        <f ca="1">规则数据!H76</f>
        <v/>
      </c>
      <c r="BC41" s="139"/>
      <c r="BD41" s="139"/>
      <c r="BE41" s="139"/>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85</v>
      </c>
      <c r="EE41" s="132"/>
      <c r="EF41" s="132" t="s">
        <v>86</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s">
        <v>59</v>
      </c>
      <c r="C42" s="302"/>
      <c r="D42" s="303" t="s">
        <v>114</v>
      </c>
      <c r="E42" s="303"/>
      <c r="F42" s="303"/>
      <c r="G42" s="303"/>
      <c r="H42" s="303"/>
      <c r="I42" s="303"/>
      <c r="J42" s="303"/>
      <c r="K42" s="303"/>
      <c r="L42" s="303"/>
      <c r="M42" s="303"/>
      <c r="N42" s="303"/>
      <c r="O42" s="303"/>
      <c r="P42" s="304">
        <f ca="1" t="shared" si="0"/>
        <v>10</v>
      </c>
      <c r="Q42" s="304"/>
      <c r="R42" s="304"/>
      <c r="S42" s="305">
        <v>10</v>
      </c>
      <c r="T42" s="305"/>
      <c r="U42" s="305"/>
      <c r="V42" s="139" t="str">
        <f ca="1">IF(职业选项!V93&gt;0,职业选项!V93,"")</f>
        <v/>
      </c>
      <c r="W42" s="139"/>
      <c r="X42" s="139"/>
      <c r="Y42" s="139" t="str">
        <f ca="1">规则数据!H48</f>
        <v/>
      </c>
      <c r="Z42" s="139"/>
      <c r="AA42" s="139"/>
      <c r="AB42" s="139"/>
      <c r="AC42" s="139"/>
      <c r="AD42" s="306"/>
      <c r="AE42" s="307" t="s">
        <v>59</v>
      </c>
      <c r="AF42" s="302"/>
      <c r="AG42" s="362" t="str">
        <f ca="1">IFERROR(INDEX(规则数据!$C$2:$C$9,SMALL(规则数据!$AX$2:$AX$9,3)),"")</f>
        <v/>
      </c>
      <c r="AH42" s="362"/>
      <c r="AI42" s="362"/>
      <c r="AJ42" s="362"/>
      <c r="AK42" s="362"/>
      <c r="AL42" s="362"/>
      <c r="AM42" s="362"/>
      <c r="AN42" s="362"/>
      <c r="AO42" s="362"/>
      <c r="AP42" s="362"/>
      <c r="AQ42" s="362"/>
      <c r="AR42" s="362"/>
      <c r="AS42" s="363">
        <f ca="1">IF(AY42="",N(AV42),N(AY42))+N(BB42)+N(BE42)</f>
        <v>0</v>
      </c>
      <c r="AT42" s="363"/>
      <c r="AU42" s="363"/>
      <c r="AV42" s="139"/>
      <c r="AW42" s="139"/>
      <c r="AX42" s="139"/>
      <c r="AY42" s="139"/>
      <c r="AZ42" s="139"/>
      <c r="BA42" s="139"/>
      <c r="BB42" s="139" t="str">
        <f ca="1">规则数据!H77</f>
        <v/>
      </c>
      <c r="BC42" s="139"/>
      <c r="BD42" s="139"/>
      <c r="BE42" s="139"/>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IF(CZ41="","",IF(AND($DF$46="艰苦经历",IFERROR(VALUE($DF$55),0)=7),0,EF$22))</f>
        <v/>
      </c>
      <c r="EE42" s="353"/>
      <c r="EF42" s="312" t="s">
        <v>89</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s">
        <v>59</v>
      </c>
      <c r="C43" s="365"/>
      <c r="D43" s="366" t="s">
        <v>115</v>
      </c>
      <c r="E43" s="366"/>
      <c r="F43" s="366"/>
      <c r="G43" s="366"/>
      <c r="H43" s="366"/>
      <c r="I43" s="366"/>
      <c r="J43" s="366"/>
      <c r="K43" s="366"/>
      <c r="L43" s="366"/>
      <c r="M43" s="366"/>
      <c r="N43" s="366"/>
      <c r="O43" s="366"/>
      <c r="P43" s="367">
        <f ca="1" t="shared" si="0"/>
        <v>10</v>
      </c>
      <c r="Q43" s="367"/>
      <c r="R43" s="367"/>
      <c r="S43" s="368">
        <v>10</v>
      </c>
      <c r="T43" s="368"/>
      <c r="U43" s="368"/>
      <c r="V43" s="369" t="str">
        <f ca="1">IF(职业选项!V94&gt;0,职业选项!V94,"")</f>
        <v/>
      </c>
      <c r="W43" s="369"/>
      <c r="X43" s="369"/>
      <c r="Y43" s="369" t="str">
        <f ca="1">规则数据!H49</f>
        <v/>
      </c>
      <c r="Z43" s="369"/>
      <c r="AA43" s="369"/>
      <c r="AB43" s="369"/>
      <c r="AC43" s="369"/>
      <c r="AD43" s="370"/>
      <c r="AE43" s="371" t="s">
        <v>59</v>
      </c>
      <c r="AF43" s="365"/>
      <c r="AG43" s="372" t="str">
        <f ca="1">IFERROR(INDEX(规则数据!$C$2:$C$9,SMALL(规则数据!$AX$2:$AX$9,4)),"")</f>
        <v/>
      </c>
      <c r="AH43" s="372"/>
      <c r="AI43" s="372"/>
      <c r="AJ43" s="372"/>
      <c r="AK43" s="372"/>
      <c r="AL43" s="372"/>
      <c r="AM43" s="372"/>
      <c r="AN43" s="372"/>
      <c r="AO43" s="372"/>
      <c r="AP43" s="372"/>
      <c r="AQ43" s="372"/>
      <c r="AR43" s="372"/>
      <c r="AS43" s="373">
        <f ca="1">IF(AY43="",N(AV43),N(AY43))+N(BB43)+N(BE43)</f>
        <v>0</v>
      </c>
      <c r="AT43" s="373"/>
      <c r="AU43" s="373"/>
      <c r="AV43" s="369"/>
      <c r="AW43" s="369"/>
      <c r="AX43" s="369"/>
      <c r="AY43" s="369"/>
      <c r="AZ43" s="369"/>
      <c r="BA43" s="369"/>
      <c r="BB43" s="369" t="str">
        <f ca="1">规则数据!H78</f>
        <v/>
      </c>
      <c r="BC43" s="369"/>
      <c r="BD43" s="369"/>
      <c r="BE43" s="369"/>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116</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118</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120</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122</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s">
        <v>124</v>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125</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126</v>
      </c>
      <c r="BO48" s="428"/>
      <c r="BP48" s="428"/>
      <c r="BQ48" s="428"/>
      <c r="BR48" s="428"/>
      <c r="BS48" s="428"/>
      <c r="BT48" s="428"/>
      <c r="BU48" s="428"/>
      <c r="BV48" s="428"/>
      <c r="BZ48" s="430" t="s">
        <v>127</v>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129</v>
      </c>
      <c r="DF54" s="441"/>
      <c r="DK54" s="430" t="s">
        <v>130</v>
      </c>
      <c r="DR54" s="441"/>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131</v>
      </c>
      <c r="DF55" s="441"/>
      <c r="DK55" s="430" t="s">
        <v>132</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14" t="str">
        <f ca="1">规则数据!S6</f>
        <v>0/8项；已加0/160点；待填细项／选择</v>
      </c>
      <c r="BO56" s="440"/>
      <c r="BP56" s="440"/>
      <c r="BQ56" s="440"/>
      <c r="BR56" s="440"/>
      <c r="BS56" s="440"/>
      <c r="BT56" s="440"/>
      <c r="BU56" s="440"/>
      <c r="BV56" s="440"/>
      <c r="BW56" s="440"/>
      <c r="BX56" s="440"/>
      <c r="BY56" s="440"/>
      <c r="BZ56" s="440"/>
      <c r="CA56" s="440"/>
      <c r="CB56" s="440"/>
      <c r="CC56" s="440"/>
      <c r="CD56" s="440"/>
      <c r="CE56" s="440"/>
      <c r="CF56" s="440"/>
      <c r="CG56" s="440"/>
      <c r="CH56" s="440"/>
      <c r="CI56" s="440"/>
      <c r="CJ56" s="440"/>
      <c r="CK56" s="440"/>
      <c r="CL56" s="440"/>
      <c r="CM56" s="440"/>
      <c r="CN56" s="440"/>
      <c r="CO56" s="440"/>
      <c r="CP56" s="44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30" t="str">
        <f ca="1">规则数据!A9</f>
        <v>自选技能8（+20）</v>
      </c>
      <c r="BO57" s="449"/>
      <c r="BP57" s="449"/>
      <c r="BQ57" s="449"/>
      <c r="BR57" s="449"/>
      <c r="BS57" s="449"/>
      <c r="BT57" s="449"/>
      <c r="BU57" s="449"/>
      <c r="BV57" s="449"/>
      <c r="BW57" s="449"/>
      <c r="BX57" s="449"/>
      <c r="BY57" s="449"/>
      <c r="BZ57" s="441"/>
      <c r="CA57" s="449"/>
      <c r="CB57" s="449"/>
      <c r="CC57" s="449"/>
      <c r="CD57" s="449"/>
      <c r="CE57" s="449"/>
      <c r="CF57" s="449"/>
      <c r="CG57" s="449"/>
      <c r="CH57" s="449"/>
      <c r="CI57" s="449"/>
      <c r="CJ57" s="449"/>
      <c r="CK57" s="449"/>
      <c r="CL57" s="450"/>
      <c r="CM57" s="450"/>
      <c r="CN57" s="450"/>
      <c r="CO57" s="450"/>
      <c r="CP57" s="450"/>
      <c r="CQ57" s="451"/>
      <c r="CZ57" s="430" t="s">
        <v>133</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134</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135</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136</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137</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0">
    <mergeCell ref="AQ1:BG1"/>
    <mergeCell ref="B2:Z2"/>
    <mergeCell ref="AB2:AG2"/>
    <mergeCell ref="AH2:AJ2"/>
    <mergeCell ref="AK2:AM2"/>
    <mergeCell ref="AN2:AP2"/>
    <mergeCell ref="AQ2:BG2"/>
    <mergeCell ref="BX2:CO2"/>
    <mergeCell ref="CP2:CX2"/>
    <mergeCell ref="CZ2:EY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6:CP56"/>
    <mergeCell ref="CZ56:EY56"/>
    <mergeCell ref="B57:O57"/>
    <mergeCell ref="P57:Q57"/>
    <mergeCell ref="BN57:BY57"/>
    <mergeCell ref="BZ57:CK57"/>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2">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子技能!$C$2:$C$13</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7:CK57"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AE14:AE43 B14:C43" showInputMessage="0">
      <formula1>"☐,√"</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138</v>
      </c>
    </row>
    <row r="2" ht="190.9" customHeight="1" spans="1:4">
      <c r="A2" s="553" t="s">
        <v>139</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140</v>
      </c>
    </row>
    <row r="4" spans="1:4">
      <c r="A4" s="555" t="s">
        <v>141</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142</v>
      </c>
      <c r="B1" s="556" t="s">
        <v>143</v>
      </c>
      <c r="C1" s="556" t="s">
        <v>144</v>
      </c>
      <c r="D1" s="556" t="s">
        <v>145</v>
      </c>
      <c r="T1" s="556" t="s">
        <v>146</v>
      </c>
      <c r="U1" s="556" t="s">
        <v>147</v>
      </c>
      <c r="AF1" s="556" t="s">
        <v>148</v>
      </c>
      <c r="AJ1" s="556" t="s">
        <v>149</v>
      </c>
      <c r="AN1" s="556" t="s">
        <v>150</v>
      </c>
    </row>
    <row r="2" spans="1:41">
      <c r="A2" t="s" s="557">
        <v>151</v>
      </c>
      <c r="C2" t="s" s="557">
        <v>152</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153</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154</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155</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156</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157</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158</v>
      </c>
      <c r="B8" t="s" s="557">
        <v>22</v>
      </c>
      <c r="C8" s="557">
        <v>4</v>
      </c>
      <c r="D8" t="s" s="557">
        <v>159</v>
      </c>
      <c r="E8" t="s" s="557">
        <v>160</v>
      </c>
      <c r="F8" t="s" s="557">
        <v>161</v>
      </c>
      <c r="G8" t="s" s="557">
        <v>162</v>
      </c>
      <c r="H8" t="s" s="557">
        <v>163</v>
      </c>
      <c r="I8" t="s" s="557">
        <v>164</v>
      </c>
      <c r="J8" t="s" s="557">
        <v>165</v>
      </c>
      <c r="T8" s="557">
        <v>2</v>
      </c>
      <c r="U8" t="s" s="557">
        <v>166</v>
      </c>
      <c r="V8" t="s" s="557">
        <v>167</v>
      </c>
      <c r="W8" t="s" s="557">
        <v>168</v>
      </c>
      <c r="X8" t="s" s="557">
        <v>169</v>
      </c>
      <c r="Y8" t="s" s="557">
        <v>170</v>
      </c>
      <c r="Z8" t="s" s="557">
        <v>171</v>
      </c>
      <c r="AA8" t="s" s="557">
        <v>172</v>
      </c>
      <c r="AO8" s="560">
        <f t="shared" ref="AO8:AO71" si="1">ROW()</f>
        <v>8</v>
      </c>
    </row>
    <row r="9" spans="1:41">
      <c r="A9" t="s" s="557">
        <v>173</v>
      </c>
      <c r="B9" t="s" s="557">
        <v>22</v>
      </c>
      <c r="C9" s="557">
        <v>3</v>
      </c>
      <c r="D9" t="s" s="557">
        <v>174</v>
      </c>
      <c r="E9" t="s" s="557">
        <v>175</v>
      </c>
      <c r="F9" t="s" s="557">
        <v>176</v>
      </c>
      <c r="G9" t="s" s="557">
        <v>177</v>
      </c>
      <c r="H9" t="s" s="557">
        <v>178</v>
      </c>
      <c r="I9" t="s" s="557">
        <v>179</v>
      </c>
      <c r="T9" s="557">
        <v>4</v>
      </c>
      <c r="U9" t="s" s="557">
        <v>180</v>
      </c>
      <c r="V9" t="s" s="557">
        <v>181</v>
      </c>
      <c r="W9" t="s" s="557">
        <v>182</v>
      </c>
      <c r="X9" t="s" s="557">
        <v>162</v>
      </c>
      <c r="Y9" t="s" s="557">
        <v>183</v>
      </c>
      <c r="Z9" t="s" s="557">
        <v>184</v>
      </c>
      <c r="AA9" t="s" s="557">
        <v>185</v>
      </c>
      <c r="AO9" s="560">
        <f t="shared" si="1"/>
        <v>9</v>
      </c>
    </row>
    <row r="10" spans="1:41">
      <c r="A10" t="s" s="557">
        <v>186</v>
      </c>
      <c r="B10" t="s" s="557">
        <v>187</v>
      </c>
      <c r="C10" s="557">
        <v>3</v>
      </c>
      <c r="D10" t="s" s="557">
        <v>188</v>
      </c>
      <c r="E10" t="s" s="557">
        <v>160</v>
      </c>
      <c r="F10" t="s" s="557">
        <v>189</v>
      </c>
      <c r="G10" t="s" s="557">
        <v>190</v>
      </c>
      <c r="H10" t="s" s="557">
        <v>191</v>
      </c>
      <c r="I10" t="s" s="557">
        <v>192</v>
      </c>
      <c r="J10" t="s" s="557">
        <v>193</v>
      </c>
      <c r="K10" t="s" s="557">
        <v>194</v>
      </c>
      <c r="L10" t="s" s="557">
        <v>195</v>
      </c>
      <c r="M10" t="s" s="557">
        <v>196</v>
      </c>
      <c r="N10" t="s" s="557">
        <v>197</v>
      </c>
      <c r="T10" s="557">
        <v>1</v>
      </c>
      <c r="U10" t="s" s="557">
        <v>198</v>
      </c>
      <c r="V10" t="s" s="557">
        <v>199</v>
      </c>
      <c r="W10" t="s" s="557">
        <v>161</v>
      </c>
      <c r="X10" t="s" s="557">
        <v>200</v>
      </c>
      <c r="Y10" t="s" s="557">
        <v>201</v>
      </c>
      <c r="AO10" s="560">
        <f t="shared" si="1"/>
        <v>10</v>
      </c>
    </row>
    <row r="11" spans="1:41">
      <c r="A11" t="s" s="557">
        <v>202</v>
      </c>
      <c r="B11" t="s" s="557">
        <v>203</v>
      </c>
      <c r="C11" s="557">
        <v>3</v>
      </c>
      <c r="D11" t="s" s="557">
        <v>181</v>
      </c>
      <c r="E11" t="s" s="557">
        <v>204</v>
      </c>
      <c r="F11" t="s" s="557">
        <v>205</v>
      </c>
      <c r="G11" t="s" s="557">
        <v>165</v>
      </c>
      <c r="H11" t="s" s="557">
        <v>201</v>
      </c>
      <c r="I11" t="s" s="557">
        <v>206</v>
      </c>
      <c r="J11" t="s" s="557">
        <v>207</v>
      </c>
      <c r="T11" s="557">
        <v>2</v>
      </c>
      <c r="U11" t="s" s="557">
        <v>208</v>
      </c>
      <c r="V11" t="s" s="557">
        <v>209</v>
      </c>
      <c r="W11" t="s" s="557">
        <v>210</v>
      </c>
      <c r="X11" t="s" s="557">
        <v>211</v>
      </c>
      <c r="AO11" s="560">
        <f t="shared" si="1"/>
        <v>11</v>
      </c>
    </row>
    <row r="12" spans="1:41">
      <c r="A12" t="s" s="557">
        <v>117</v>
      </c>
      <c r="B12" t="s" s="557">
        <v>22</v>
      </c>
      <c r="C12" s="557">
        <v>4</v>
      </c>
      <c r="D12" t="s" s="557">
        <v>160</v>
      </c>
      <c r="E12" t="s" s="557">
        <v>212</v>
      </c>
      <c r="F12" t="s" s="557">
        <v>213</v>
      </c>
      <c r="G12" t="s" s="557">
        <v>210</v>
      </c>
      <c r="H12" t="s" s="557">
        <v>210</v>
      </c>
      <c r="T12" s="557">
        <v>3</v>
      </c>
      <c r="U12" t="s" s="557">
        <v>180</v>
      </c>
      <c r="V12" t="s" s="557">
        <v>182</v>
      </c>
      <c r="W12" t="s" s="557">
        <v>162</v>
      </c>
      <c r="X12" t="s" s="557">
        <v>214</v>
      </c>
      <c r="Y12" t="s" s="557">
        <v>184</v>
      </c>
      <c r="Z12" t="s" s="557">
        <v>215</v>
      </c>
      <c r="AO12" s="560">
        <f t="shared" si="1"/>
        <v>12</v>
      </c>
    </row>
    <row r="13" spans="1:41">
      <c r="A13" t="s" s="557">
        <v>216</v>
      </c>
      <c r="B13" t="s" s="557">
        <v>217</v>
      </c>
      <c r="C13" s="557">
        <v>2</v>
      </c>
      <c r="D13" t="s" s="557">
        <v>218</v>
      </c>
      <c r="E13" t="s" s="557">
        <v>219</v>
      </c>
      <c r="F13" t="s" s="557">
        <v>220</v>
      </c>
      <c r="G13" t="s" s="557">
        <v>221</v>
      </c>
      <c r="H13" t="s" s="557">
        <v>200</v>
      </c>
      <c r="I13" t="s" s="557">
        <v>222</v>
      </c>
      <c r="J13" t="s" s="557">
        <v>223</v>
      </c>
      <c r="K13" t="s" s="557">
        <v>169</v>
      </c>
      <c r="L13" t="s" s="557">
        <v>224</v>
      </c>
      <c r="M13" t="s" s="557">
        <v>172</v>
      </c>
      <c r="N13" t="s" s="557">
        <v>225</v>
      </c>
      <c r="O13" t="s" s="557">
        <v>197</v>
      </c>
      <c r="AO13" s="560">
        <f t="shared" si="1"/>
        <v>13</v>
      </c>
    </row>
    <row r="14" spans="1:41">
      <c r="A14" t="s" s="557">
        <v>226</v>
      </c>
      <c r="B14" t="s" s="557">
        <v>227</v>
      </c>
      <c r="C14" s="557">
        <v>4</v>
      </c>
      <c r="D14" t="s" s="557">
        <v>188</v>
      </c>
      <c r="E14" t="s" s="557">
        <v>228</v>
      </c>
      <c r="F14" t="s" s="557">
        <v>229</v>
      </c>
      <c r="G14" t="s" s="557">
        <v>230</v>
      </c>
      <c r="H14" t="s" s="557">
        <v>190</v>
      </c>
      <c r="I14" t="s" s="557">
        <v>231</v>
      </c>
      <c r="J14" t="s" s="557">
        <v>232</v>
      </c>
      <c r="K14" t="s" s="557">
        <v>233</v>
      </c>
      <c r="L14" t="s" s="557">
        <v>195</v>
      </c>
      <c r="M14" t="s" s="557">
        <v>224</v>
      </c>
      <c r="N14" t="s" s="557">
        <v>234</v>
      </c>
      <c r="T14" s="557">
        <v>2</v>
      </c>
      <c r="U14" t="s" s="557">
        <v>235</v>
      </c>
      <c r="V14" t="s" s="557">
        <v>220</v>
      </c>
      <c r="W14" t="s" s="557">
        <v>236</v>
      </c>
      <c r="X14" t="s" s="557">
        <v>162</v>
      </c>
      <c r="Y14" t="s" s="557">
        <v>214</v>
      </c>
      <c r="Z14" t="s" s="557">
        <v>168</v>
      </c>
      <c r="AA14" t="s" s="557">
        <v>169</v>
      </c>
      <c r="AB14" t="s" s="557">
        <v>237</v>
      </c>
      <c r="AC14" t="s" s="557">
        <v>215</v>
      </c>
      <c r="AO14" s="560">
        <f t="shared" si="1"/>
        <v>14</v>
      </c>
    </row>
    <row r="15" spans="1:41">
      <c r="A15" t="s" s="557">
        <v>238</v>
      </c>
      <c r="B15" t="s" s="557">
        <v>239</v>
      </c>
      <c r="C15" s="557">
        <v>3</v>
      </c>
      <c r="D15" t="s" s="557">
        <v>188</v>
      </c>
      <c r="E15" t="s" s="557">
        <v>219</v>
      </c>
      <c r="F15" t="s" s="557">
        <v>240</v>
      </c>
      <c r="G15" t="s" s="557">
        <v>241</v>
      </c>
      <c r="H15" t="s" s="557">
        <v>242</v>
      </c>
      <c r="I15" t="s" s="557">
        <v>190</v>
      </c>
      <c r="J15" t="s" s="557">
        <v>243</v>
      </c>
      <c r="K15" t="s" s="557">
        <v>214</v>
      </c>
      <c r="L15" t="s" s="557">
        <v>183</v>
      </c>
      <c r="M15" t="s" s="557">
        <v>169</v>
      </c>
      <c r="N15" t="s" s="557">
        <v>207</v>
      </c>
      <c r="AO15" s="560">
        <f t="shared" si="1"/>
        <v>15</v>
      </c>
    </row>
    <row r="16" spans="1:41">
      <c r="A16" t="s" s="557">
        <v>244</v>
      </c>
      <c r="B16" t="s" s="557">
        <v>245</v>
      </c>
      <c r="C16" s="557">
        <v>3</v>
      </c>
      <c r="D16" t="s" s="557">
        <v>246</v>
      </c>
      <c r="E16" t="s" s="557">
        <v>166</v>
      </c>
      <c r="F16" t="s" s="557">
        <v>247</v>
      </c>
      <c r="G16" t="s" s="557">
        <v>161</v>
      </c>
      <c r="H16" t="s" s="557">
        <v>161</v>
      </c>
      <c r="I16" t="s" s="557">
        <v>162</v>
      </c>
      <c r="J16" t="s" s="557">
        <v>248</v>
      </c>
      <c r="K16" t="s" s="557">
        <v>168</v>
      </c>
      <c r="L16" t="s" s="557">
        <v>184</v>
      </c>
      <c r="M16" t="s" s="557">
        <v>195</v>
      </c>
      <c r="AO16" s="560">
        <f t="shared" si="1"/>
        <v>16</v>
      </c>
    </row>
    <row r="17" spans="1:41">
      <c r="A17" t="s" s="557">
        <v>249</v>
      </c>
      <c r="B17" t="s" s="557">
        <v>22</v>
      </c>
      <c r="C17" s="557">
        <v>3</v>
      </c>
      <c r="D17" t="s" s="557">
        <v>166</v>
      </c>
      <c r="E17" t="s" s="557">
        <v>181</v>
      </c>
      <c r="F17" t="s" s="557">
        <v>212</v>
      </c>
      <c r="G17" t="s" s="557">
        <v>250</v>
      </c>
      <c r="H17" t="s" s="557">
        <v>161</v>
      </c>
      <c r="I17" t="s" s="557">
        <v>161</v>
      </c>
      <c r="J17" t="s" s="557">
        <v>162</v>
      </c>
      <c r="K17" t="s" s="557">
        <v>248</v>
      </c>
      <c r="L17" t="s" s="557">
        <v>168</v>
      </c>
      <c r="M17" t="s" s="557">
        <v>179</v>
      </c>
      <c r="AO17" s="560">
        <f t="shared" si="1"/>
        <v>17</v>
      </c>
    </row>
    <row r="18" spans="1:41">
      <c r="A18" t="s" s="557">
        <v>251</v>
      </c>
      <c r="B18" t="s" s="557">
        <v>252</v>
      </c>
      <c r="C18" s="557">
        <v>2</v>
      </c>
      <c r="D18" t="s" s="557">
        <v>188</v>
      </c>
      <c r="E18" t="s" s="557">
        <v>160</v>
      </c>
      <c r="F18" t="s" s="557">
        <v>189</v>
      </c>
      <c r="G18" t="s" s="557">
        <v>236</v>
      </c>
      <c r="H18" t="s" s="557">
        <v>253</v>
      </c>
      <c r="I18" t="s" s="557">
        <v>231</v>
      </c>
      <c r="J18" t="s" s="557">
        <v>161</v>
      </c>
      <c r="K18" t="s" s="557">
        <v>162</v>
      </c>
      <c r="L18" t="s" s="557">
        <v>193</v>
      </c>
      <c r="M18" t="s" s="557">
        <v>254</v>
      </c>
      <c r="N18" t="s" s="557">
        <v>179</v>
      </c>
      <c r="O18" t="s" s="557">
        <v>224</v>
      </c>
      <c r="P18" t="s" s="557">
        <v>234</v>
      </c>
      <c r="AO18" s="560">
        <f t="shared" si="1"/>
        <v>18</v>
      </c>
    </row>
    <row r="19" spans="1:41">
      <c r="A19" t="s" s="557">
        <v>255</v>
      </c>
      <c r="B19" t="s" s="557">
        <v>245</v>
      </c>
      <c r="C19" s="557">
        <v>4</v>
      </c>
      <c r="D19" t="s" s="557">
        <v>180</v>
      </c>
      <c r="E19" t="s" s="557">
        <v>181</v>
      </c>
      <c r="F19" t="s" s="557">
        <v>256</v>
      </c>
      <c r="G19" t="s" s="557">
        <v>254</v>
      </c>
      <c r="T19" s="557">
        <v>4</v>
      </c>
      <c r="U19" t="s" s="557">
        <v>199</v>
      </c>
      <c r="V19" t="s" s="557">
        <v>229</v>
      </c>
      <c r="W19" t="s" s="557">
        <v>161</v>
      </c>
      <c r="X19" t="s" s="557">
        <v>257</v>
      </c>
      <c r="Y19" t="s" s="557">
        <v>201</v>
      </c>
      <c r="AO19" s="560">
        <f t="shared" si="1"/>
        <v>19</v>
      </c>
    </row>
    <row r="20" spans="1:41">
      <c r="A20" t="s" s="557">
        <v>258</v>
      </c>
      <c r="B20" t="s" s="557">
        <v>245</v>
      </c>
      <c r="C20" s="557">
        <v>4</v>
      </c>
      <c r="D20" t="s" s="557">
        <v>259</v>
      </c>
      <c r="E20" t="s" s="557">
        <v>248</v>
      </c>
      <c r="F20" t="s" s="557">
        <v>256</v>
      </c>
      <c r="G20" t="s" s="557">
        <v>195</v>
      </c>
      <c r="T20" s="557">
        <v>5</v>
      </c>
      <c r="U20" t="s" s="557">
        <v>166</v>
      </c>
      <c r="V20" t="s" s="557">
        <v>167</v>
      </c>
      <c r="W20" t="s" s="557">
        <v>260</v>
      </c>
      <c r="X20" t="s" s="557">
        <v>181</v>
      </c>
      <c r="Y20" t="s" s="557">
        <v>212</v>
      </c>
      <c r="Z20" t="s" s="557">
        <v>189</v>
      </c>
      <c r="AA20" t="s" s="557">
        <v>162</v>
      </c>
      <c r="AB20" t="s" s="557">
        <v>184</v>
      </c>
      <c r="AC20" t="s" s="557">
        <v>261</v>
      </c>
      <c r="AD20" t="s" s="557">
        <v>237</v>
      </c>
      <c r="AE20" t="s" s="557">
        <v>185</v>
      </c>
      <c r="AO20" s="560">
        <f t="shared" si="1"/>
        <v>20</v>
      </c>
    </row>
    <row r="21" spans="1:41">
      <c r="A21" t="s" s="557">
        <v>262</v>
      </c>
      <c r="B21" t="s" s="557">
        <v>252</v>
      </c>
      <c r="C21" s="557">
        <v>4</v>
      </c>
      <c r="D21" t="s" s="557">
        <v>263</v>
      </c>
      <c r="E21" t="s" s="557">
        <v>160</v>
      </c>
      <c r="F21" t="s" s="557">
        <v>204</v>
      </c>
      <c r="G21" t="s" s="557">
        <v>256</v>
      </c>
      <c r="H21" t="s" s="557">
        <v>264</v>
      </c>
      <c r="I21" t="s" s="557">
        <v>165</v>
      </c>
      <c r="J21" t="s" s="557">
        <v>215</v>
      </c>
      <c r="K21" t="s" s="557">
        <v>265</v>
      </c>
      <c r="T21" s="557">
        <v>2</v>
      </c>
      <c r="U21" t="s" s="557">
        <v>266</v>
      </c>
      <c r="V21" t="s" s="557">
        <v>214</v>
      </c>
      <c r="W21" t="s" s="557">
        <v>169</v>
      </c>
      <c r="X21" t="s" s="557">
        <v>267</v>
      </c>
      <c r="Y21" t="s" s="557">
        <v>171</v>
      </c>
      <c r="AO21" s="560">
        <f t="shared" si="1"/>
        <v>21</v>
      </c>
    </row>
    <row r="22" spans="1:41">
      <c r="A22" t="s" s="557">
        <v>268</v>
      </c>
      <c r="B22" t="s" s="557">
        <v>269</v>
      </c>
      <c r="C22" s="557">
        <v>3</v>
      </c>
      <c r="D22" t="s" s="557">
        <v>218</v>
      </c>
      <c r="E22" t="s" s="557">
        <v>270</v>
      </c>
      <c r="F22" t="s" s="557">
        <v>240</v>
      </c>
      <c r="G22" t="s" s="557">
        <v>241</v>
      </c>
      <c r="H22" t="s" s="557">
        <v>169</v>
      </c>
      <c r="I22" t="s" s="557">
        <v>271</v>
      </c>
      <c r="J22" t="s" s="557">
        <v>272</v>
      </c>
      <c r="K22" t="s" s="557">
        <v>273</v>
      </c>
      <c r="T22" s="557">
        <v>2</v>
      </c>
      <c r="U22" t="s" s="557">
        <v>161</v>
      </c>
      <c r="V22" t="s" s="557">
        <v>274</v>
      </c>
      <c r="W22" t="s" s="557">
        <v>200</v>
      </c>
      <c r="X22" t="s" s="557">
        <v>275</v>
      </c>
      <c r="AO22" s="560">
        <f t="shared" si="1"/>
        <v>22</v>
      </c>
    </row>
    <row r="23" spans="1:41">
      <c r="A23" t="s" s="557">
        <v>276</v>
      </c>
      <c r="B23" t="s" s="557">
        <v>217</v>
      </c>
      <c r="C23" s="557">
        <v>3</v>
      </c>
      <c r="D23" t="s" s="557">
        <v>218</v>
      </c>
      <c r="E23" t="s" s="557">
        <v>160</v>
      </c>
      <c r="F23" t="s" s="557">
        <v>250</v>
      </c>
      <c r="G23" t="s" s="557">
        <v>190</v>
      </c>
      <c r="H23" t="s" s="557">
        <v>231</v>
      </c>
      <c r="I23" t="s" s="557">
        <v>277</v>
      </c>
      <c r="J23" t="s" s="557">
        <v>168</v>
      </c>
      <c r="K23" t="s" s="557">
        <v>194</v>
      </c>
      <c r="L23" t="s" s="557">
        <v>222</v>
      </c>
      <c r="M23" t="s" s="557">
        <v>278</v>
      </c>
      <c r="N23" t="s" s="557">
        <v>165</v>
      </c>
      <c r="O23" t="s" s="557">
        <v>207</v>
      </c>
      <c r="P23" t="s" s="557">
        <v>197</v>
      </c>
      <c r="T23" s="557">
        <v>1</v>
      </c>
      <c r="U23" t="s" s="557">
        <v>208</v>
      </c>
      <c r="V23" t="s" s="557">
        <v>279</v>
      </c>
      <c r="W23" t="s" s="557">
        <v>200</v>
      </c>
      <c r="X23" t="s" s="557">
        <v>280</v>
      </c>
      <c r="AO23" s="560">
        <f t="shared" si="1"/>
        <v>23</v>
      </c>
    </row>
    <row r="24" spans="1:41">
      <c r="A24" t="s" s="557">
        <v>281</v>
      </c>
      <c r="B24" t="s" s="557">
        <v>245</v>
      </c>
      <c r="C24" s="557">
        <v>4</v>
      </c>
      <c r="D24" t="s" s="557">
        <v>198</v>
      </c>
      <c r="E24" t="s" s="557">
        <v>247</v>
      </c>
      <c r="F24" t="s" s="557">
        <v>199</v>
      </c>
      <c r="G24" t="s" s="557">
        <v>282</v>
      </c>
      <c r="H24" t="s" s="557">
        <v>161</v>
      </c>
      <c r="I24" t="s" s="557">
        <v>248</v>
      </c>
      <c r="J24" t="s" s="557">
        <v>184</v>
      </c>
      <c r="K24" t="s" s="557">
        <v>195</v>
      </c>
      <c r="T24" s="557">
        <v>1</v>
      </c>
      <c r="U24" t="s" s="557">
        <v>283</v>
      </c>
      <c r="V24" t="s" s="557">
        <v>284</v>
      </c>
      <c r="W24" t="s" s="557">
        <v>285</v>
      </c>
      <c r="X24" t="s" s="557">
        <v>286</v>
      </c>
      <c r="AO24" s="560">
        <f t="shared" si="1"/>
        <v>24</v>
      </c>
    </row>
    <row r="25" spans="1:41">
      <c r="A25" t="s" s="557">
        <v>287</v>
      </c>
      <c r="B25" t="s" s="557">
        <v>288</v>
      </c>
      <c r="C25" s="557">
        <v>4</v>
      </c>
      <c r="D25" t="s" s="557">
        <v>188</v>
      </c>
      <c r="E25" t="s" s="557">
        <v>228</v>
      </c>
      <c r="F25" t="s" s="557">
        <v>270</v>
      </c>
      <c r="G25" t="s" s="557">
        <v>253</v>
      </c>
      <c r="H25" t="s" s="557">
        <v>231</v>
      </c>
      <c r="I25" t="s" s="557">
        <v>289</v>
      </c>
      <c r="J25" t="s" s="557">
        <v>290</v>
      </c>
      <c r="K25" t="s" s="557">
        <v>278</v>
      </c>
      <c r="L25" t="s" s="557">
        <v>291</v>
      </c>
      <c r="M25" t="s" s="557">
        <v>234</v>
      </c>
      <c r="T25" s="557">
        <v>3</v>
      </c>
      <c r="U25" t="s" s="557">
        <v>292</v>
      </c>
      <c r="V25" t="s" s="557">
        <v>212</v>
      </c>
      <c r="W25" t="s" s="557">
        <v>182</v>
      </c>
      <c r="X25" t="s" s="557">
        <v>220</v>
      </c>
      <c r="Y25" t="s" s="557">
        <v>162</v>
      </c>
      <c r="Z25" t="s" s="557">
        <v>183</v>
      </c>
      <c r="AA25" t="s" s="557">
        <v>293</v>
      </c>
      <c r="AB25" t="s" s="557">
        <v>171</v>
      </c>
      <c r="AC25" t="s" s="557">
        <v>179</v>
      </c>
      <c r="AD25" t="s" s="557">
        <v>294</v>
      </c>
      <c r="AO25" s="560">
        <f t="shared" si="1"/>
        <v>25</v>
      </c>
    </row>
    <row r="26" spans="1:41">
      <c r="A26" t="s" s="557">
        <v>295</v>
      </c>
      <c r="AF26" t="s" s="557">
        <v>186</v>
      </c>
      <c r="AJ26" t="s" s="557">
        <v>93</v>
      </c>
      <c r="AK26" t="s" s="557">
        <v>84</v>
      </c>
      <c r="AL26" t="s" s="557">
        <v>296</v>
      </c>
      <c r="AM26" t="s" s="557">
        <v>98</v>
      </c>
      <c r="AN26" s="557" t="str">
        <f>附表!$L$62&amp;"。"</f>
        <v>参见《特工手册》的“本职装备：联邦探员”。</v>
      </c>
      <c r="AO26" s="560">
        <f t="shared" si="1"/>
        <v>26</v>
      </c>
    </row>
    <row r="27" spans="1:41">
      <c r="A27" t="s" s="557">
        <v>297</v>
      </c>
      <c r="AF27" t="s" s="557">
        <v>186</v>
      </c>
      <c r="AG27" t="s" s="557">
        <v>123</v>
      </c>
      <c r="AH27" t="s" s="557">
        <v>298</v>
      </c>
      <c r="AJ27" t="s" s="557">
        <v>299</v>
      </c>
      <c r="AK27" t="s" s="557">
        <v>115</v>
      </c>
      <c r="AL27" t="s" s="557">
        <v>100</v>
      </c>
      <c r="AM27" t="s" s="557">
        <v>87</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300</v>
      </c>
      <c r="AF28" t="s" s="557">
        <v>301</v>
      </c>
      <c r="AG28" t="s" s="557">
        <v>298</v>
      </c>
      <c r="AH28" t="s" s="557">
        <v>202</v>
      </c>
      <c r="AI28" t="s" s="557">
        <v>117</v>
      </c>
      <c r="AJ28" t="s" s="557">
        <v>87</v>
      </c>
      <c r="AK28" t="s" s="557">
        <v>115</v>
      </c>
      <c r="AL28" t="s" s="557">
        <v>91</v>
      </c>
      <c r="AM28" t="s" s="557">
        <v>302</v>
      </c>
      <c r="AN28" t="s" s="557">
        <v>303</v>
      </c>
      <c r="AO28" s="560">
        <f t="shared" si="1"/>
        <v>28</v>
      </c>
    </row>
    <row r="29" spans="1:41">
      <c r="A29" t="s" s="557">
        <v>304</v>
      </c>
      <c r="AF29" t="s" s="557">
        <v>123</v>
      </c>
      <c r="AG29" t="s" s="557">
        <v>298</v>
      </c>
      <c r="AJ29" t="s" s="557">
        <v>93</v>
      </c>
      <c r="AK29" t="s" s="557">
        <v>109</v>
      </c>
      <c r="AL29" t="s" s="557">
        <v>101</v>
      </c>
      <c r="AM29" t="s" s="557">
        <v>61</v>
      </c>
      <c r="AN29" t="s" s="557">
        <v>305</v>
      </c>
      <c r="AO29" s="560">
        <f t="shared" si="1"/>
        <v>29</v>
      </c>
    </row>
    <row r="30" spans="1:41">
      <c r="A30" t="s" s="557">
        <v>306</v>
      </c>
      <c r="C30" s="557">
        <v>1</v>
      </c>
      <c r="D30" t="s" s="557">
        <v>218</v>
      </c>
      <c r="E30" t="s" s="557">
        <v>219</v>
      </c>
      <c r="F30" t="s" s="557">
        <v>220</v>
      </c>
      <c r="G30" t="s" s="557">
        <v>307</v>
      </c>
      <c r="H30" t="s" s="557">
        <v>221</v>
      </c>
      <c r="I30" t="s" s="557">
        <v>192</v>
      </c>
      <c r="J30" t="s" s="557">
        <v>200</v>
      </c>
      <c r="K30" t="s" s="557">
        <v>222</v>
      </c>
      <c r="L30" t="s" s="557">
        <v>223</v>
      </c>
      <c r="M30" t="s" s="557">
        <v>169</v>
      </c>
      <c r="N30" t="s" s="557">
        <v>224</v>
      </c>
      <c r="O30" t="s" s="557">
        <v>172</v>
      </c>
      <c r="P30" t="s" s="557">
        <v>225</v>
      </c>
      <c r="Q30" t="s" s="557">
        <v>197</v>
      </c>
      <c r="AJ30" t="s" s="557">
        <v>93</v>
      </c>
      <c r="AK30" t="s" s="557">
        <v>101</v>
      </c>
      <c r="AL30" t="s" s="557">
        <v>68</v>
      </c>
      <c r="AM30" t="s" s="557">
        <v>102</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308</v>
      </c>
      <c r="AF31" t="s" s="557">
        <v>186</v>
      </c>
      <c r="AG31" t="s" s="557">
        <v>309</v>
      </c>
      <c r="AJ31" t="s" s="557">
        <v>93</v>
      </c>
      <c r="AK31" t="s" s="557">
        <v>84</v>
      </c>
      <c r="AL31" t="s" s="557">
        <v>296</v>
      </c>
      <c r="AM31" t="s" s="557">
        <v>98</v>
      </c>
      <c r="AN31" s="557" t="str">
        <f>附表!$L$62&amp;"。"</f>
        <v>参见《特工手册》的“本职装备：联邦探员”。</v>
      </c>
      <c r="AO31" s="560">
        <f t="shared" si="1"/>
        <v>31</v>
      </c>
    </row>
    <row r="32" spans="1:41">
      <c r="A32" t="s" s="557">
        <v>310</v>
      </c>
      <c r="AF32" t="s" s="557">
        <v>158</v>
      </c>
      <c r="AG32" t="s" s="557">
        <v>311</v>
      </c>
      <c r="AH32" t="s" s="557">
        <v>312</v>
      </c>
      <c r="AI32" t="s" s="557">
        <v>117</v>
      </c>
      <c r="AJ32" t="s" s="557">
        <v>60</v>
      </c>
      <c r="AK32" t="s" s="557">
        <v>109</v>
      </c>
      <c r="AL32" t="s" s="557">
        <v>61</v>
      </c>
      <c r="AM32" t="s" s="557">
        <v>84</v>
      </c>
      <c r="AN32" t="s" s="557">
        <v>313</v>
      </c>
      <c r="AO32" s="560">
        <f t="shared" si="1"/>
        <v>32</v>
      </c>
    </row>
    <row r="33" spans="1:41">
      <c r="A33" t="s" s="557">
        <v>314</v>
      </c>
      <c r="AF33" t="s" s="557">
        <v>301</v>
      </c>
      <c r="AG33" t="s" s="557">
        <v>123</v>
      </c>
      <c r="AJ33" t="s" s="557">
        <v>87</v>
      </c>
      <c r="AK33" t="s" s="557">
        <v>93</v>
      </c>
      <c r="AL33" t="s" s="557">
        <v>61</v>
      </c>
      <c r="AM33" t="s" s="557">
        <v>100</v>
      </c>
      <c r="AN33" t="s" s="557">
        <v>315</v>
      </c>
      <c r="AO33" s="560">
        <f t="shared" si="1"/>
        <v>33</v>
      </c>
    </row>
    <row r="34" spans="1:41">
      <c r="A34" t="s" s="557">
        <v>316</v>
      </c>
      <c r="C34" s="557">
        <v>2</v>
      </c>
      <c r="D34" t="s" s="557">
        <v>188</v>
      </c>
      <c r="E34" t="s" s="557">
        <v>160</v>
      </c>
      <c r="F34" t="s" s="557">
        <v>189</v>
      </c>
      <c r="G34" t="s" s="557">
        <v>253</v>
      </c>
      <c r="H34" t="s" s="557">
        <v>191</v>
      </c>
      <c r="I34" t="s" s="557">
        <v>317</v>
      </c>
      <c r="J34" t="s" s="557">
        <v>192</v>
      </c>
      <c r="K34" t="s" s="557">
        <v>318</v>
      </c>
      <c r="L34" t="s" s="557">
        <v>319</v>
      </c>
      <c r="M34" t="s" s="557">
        <v>194</v>
      </c>
      <c r="N34" t="s" s="557">
        <v>320</v>
      </c>
      <c r="O34" t="s" s="557">
        <v>165</v>
      </c>
      <c r="P34" t="s" s="557">
        <v>321</v>
      </c>
      <c r="Q34" t="s" s="557">
        <v>196</v>
      </c>
      <c r="R34" t="s" s="557">
        <v>322</v>
      </c>
      <c r="S34" t="s" s="557">
        <v>197</v>
      </c>
      <c r="AJ34" t="s" s="557">
        <v>77</v>
      </c>
      <c r="AK34" t="s" s="557">
        <v>101</v>
      </c>
      <c r="AL34" t="s" s="557">
        <v>109</v>
      </c>
      <c r="AM34" t="s" s="557">
        <v>98</v>
      </c>
      <c r="AN34" s="557" t="str">
        <f>附表!$L$64&amp;"。"</f>
        <v>参见《特工手册》的“本职装备：警局警员”。</v>
      </c>
      <c r="AO34" s="560">
        <f t="shared" si="1"/>
        <v>34</v>
      </c>
    </row>
    <row r="35" spans="1:41">
      <c r="A35" t="s" s="557">
        <v>323</v>
      </c>
      <c r="AF35" t="s" s="557">
        <v>186</v>
      </c>
      <c r="AJ35" t="s" s="557">
        <v>83</v>
      </c>
      <c r="AK35" t="s" s="557">
        <v>93</v>
      </c>
      <c r="AL35" t="s" s="557">
        <v>109</v>
      </c>
      <c r="AM35" t="s" s="557">
        <v>115</v>
      </c>
      <c r="AN35" s="557" t="str">
        <f>附表!$L$62&amp;"。"</f>
        <v>参见《特工手册》的“本职装备：联邦探员”。</v>
      </c>
      <c r="AO35" s="560">
        <f t="shared" si="1"/>
        <v>35</v>
      </c>
    </row>
    <row r="36" spans="1:41">
      <c r="A36" t="s" s="557">
        <v>324</v>
      </c>
      <c r="AF36" t="s" s="557">
        <v>325</v>
      </c>
      <c r="AG36" t="s" s="557">
        <v>123</v>
      </c>
      <c r="AJ36" t="s" s="557">
        <v>83</v>
      </c>
      <c r="AK36" t="s" s="557">
        <v>87</v>
      </c>
      <c r="AL36" t="s" s="557">
        <v>302</v>
      </c>
      <c r="AM36" t="s" s="557">
        <v>100</v>
      </c>
      <c r="AN36" s="557" t="str">
        <f>附表!$L$62&amp;"。"</f>
        <v>参见《特工手册》的“本职装备：联邦探员”。</v>
      </c>
      <c r="AO36" s="560">
        <f t="shared" si="1"/>
        <v>36</v>
      </c>
    </row>
    <row r="37" spans="1:41">
      <c r="A37" t="s" s="557">
        <v>326</v>
      </c>
      <c r="C37" s="557">
        <v>2</v>
      </c>
      <c r="D37" t="s" s="557">
        <v>188</v>
      </c>
      <c r="E37" t="s" s="557">
        <v>160</v>
      </c>
      <c r="F37" t="s" s="557">
        <v>189</v>
      </c>
      <c r="G37" t="s" s="557">
        <v>307</v>
      </c>
      <c r="H37" t="s" s="557">
        <v>190</v>
      </c>
      <c r="I37" t="s" s="557">
        <v>191</v>
      </c>
      <c r="J37" t="s" s="557">
        <v>192</v>
      </c>
      <c r="K37" t="s" s="557">
        <v>200</v>
      </c>
      <c r="L37" t="s" s="557">
        <v>193</v>
      </c>
      <c r="M37" t="s" s="557">
        <v>194</v>
      </c>
      <c r="N37" t="s" s="557">
        <v>195</v>
      </c>
      <c r="O37" t="s" s="557">
        <v>196</v>
      </c>
      <c r="P37" t="s" s="557">
        <v>327</v>
      </c>
      <c r="Q37" t="s" s="557">
        <v>197</v>
      </c>
      <c r="AJ37" t="s" s="557">
        <v>97</v>
      </c>
      <c r="AK37" t="s" s="557">
        <v>101</v>
      </c>
      <c r="AL37" t="s" s="557">
        <v>93</v>
      </c>
      <c r="AM37" t="s" s="557">
        <v>68</v>
      </c>
      <c r="AN37" s="557" t="str">
        <f>附表!$L$63&amp;"。"</f>
        <v>参见《特工手册》的“本职装备：特警部队”。</v>
      </c>
      <c r="AO37" s="560">
        <f t="shared" si="1"/>
        <v>37</v>
      </c>
    </row>
    <row r="38" spans="1:41">
      <c r="A38" t="s" s="557">
        <v>328</v>
      </c>
      <c r="AF38" t="s" s="557">
        <v>186</v>
      </c>
      <c r="AJ38" t="s" s="557">
        <v>77</v>
      </c>
      <c r="AK38" t="s" s="557">
        <v>115</v>
      </c>
      <c r="AL38" t="s" s="557">
        <v>78</v>
      </c>
      <c r="AM38" t="s" s="557">
        <v>108</v>
      </c>
      <c r="AN38" s="557" t="str">
        <f>附表!$L$62&amp;"。"</f>
        <v>参见《特工手册》的“本职装备：联邦探员”。</v>
      </c>
      <c r="AO38" s="560">
        <f t="shared" si="1"/>
        <v>38</v>
      </c>
    </row>
    <row r="39" spans="1:41">
      <c r="A39" t="s" s="557">
        <v>329</v>
      </c>
      <c r="AF39" t="s" s="557">
        <v>186</v>
      </c>
      <c r="AJ39" t="s" s="557">
        <v>93</v>
      </c>
      <c r="AK39" t="s" s="557">
        <v>109</v>
      </c>
      <c r="AL39" t="s" s="557">
        <v>61</v>
      </c>
      <c r="AM39" t="s" s="557">
        <v>98</v>
      </c>
      <c r="AN39" s="557" t="str">
        <f>附表!$L$62&amp;"。"</f>
        <v>参见《特工手册》的“本职装备：联邦探员”。</v>
      </c>
      <c r="AO39" s="560">
        <f t="shared" si="1"/>
        <v>39</v>
      </c>
    </row>
    <row r="40" spans="1:41">
      <c r="A40" t="s" s="557">
        <v>330</v>
      </c>
      <c r="C40" s="557">
        <v>2</v>
      </c>
      <c r="D40" t="s" s="557">
        <v>188</v>
      </c>
      <c r="E40" t="s" s="557">
        <v>331</v>
      </c>
      <c r="F40" t="s" s="557">
        <v>160</v>
      </c>
      <c r="G40" t="s" s="557">
        <v>189</v>
      </c>
      <c r="H40" t="s" s="557">
        <v>230</v>
      </c>
      <c r="I40" t="s" s="557">
        <v>190</v>
      </c>
      <c r="J40" t="s" s="557">
        <v>191</v>
      </c>
      <c r="K40" t="s" s="557">
        <v>192</v>
      </c>
      <c r="L40" t="s" s="557">
        <v>200</v>
      </c>
      <c r="M40" t="s" s="557">
        <v>193</v>
      </c>
      <c r="N40" t="s" s="557">
        <v>194</v>
      </c>
      <c r="O40" t="s" s="557">
        <v>195</v>
      </c>
      <c r="P40" t="s" s="557">
        <v>196</v>
      </c>
      <c r="Q40" t="s" s="557">
        <v>327</v>
      </c>
      <c r="R40" t="s" s="557">
        <v>197</v>
      </c>
      <c r="AJ40" t="s" s="557">
        <v>77</v>
      </c>
      <c r="AK40" t="s" s="557">
        <v>97</v>
      </c>
      <c r="AL40" t="s" s="557">
        <v>101</v>
      </c>
      <c r="AM40" t="s" s="557">
        <v>108</v>
      </c>
      <c r="AN40" s="557" t="str">
        <f>附表!$L$63&amp;"。"</f>
        <v>参见《特工手册》的“本职装备：特警部队”。</v>
      </c>
      <c r="AO40" s="560">
        <f t="shared" si="1"/>
        <v>40</v>
      </c>
    </row>
    <row r="41" spans="1:41">
      <c r="A41" t="s" s="557">
        <v>332</v>
      </c>
      <c r="AF41" t="s" s="557">
        <v>117</v>
      </c>
      <c r="AJ41" t="s" s="557">
        <v>83</v>
      </c>
      <c r="AK41" t="s" s="557">
        <v>333</v>
      </c>
      <c r="AL41" t="s" s="557">
        <v>84</v>
      </c>
      <c r="AM41" t="s" s="557">
        <v>334</v>
      </c>
      <c r="AN41" t="s" s="557">
        <v>335</v>
      </c>
      <c r="AO41" s="560">
        <f t="shared" si="1"/>
        <v>41</v>
      </c>
    </row>
    <row r="42" spans="1:41">
      <c r="A42" t="s" s="557">
        <v>336</v>
      </c>
      <c r="AF42" t="s" s="557">
        <v>337</v>
      </c>
      <c r="AJ42" t="s" s="557">
        <v>83</v>
      </c>
      <c r="AK42" t="s" s="557">
        <v>115</v>
      </c>
      <c r="AL42" t="s" s="557">
        <v>338</v>
      </c>
      <c r="AM42" t="s" s="557">
        <v>100</v>
      </c>
      <c r="AN42" s="557" t="str">
        <f>附表!$L$65&amp;"，还有特化的情报和许多不同的生存装备。"</f>
        <v>参见《特工手册》的“本职装备：特种作战员”，还有特化的情报和许多不同的生存装备。</v>
      </c>
      <c r="AO42" s="560">
        <f t="shared" si="1"/>
        <v>42</v>
      </c>
    </row>
    <row r="43" spans="1:41">
      <c r="A43" t="s" s="557">
        <v>339</v>
      </c>
      <c r="C43" s="557">
        <v>3</v>
      </c>
      <c r="D43" t="s" s="557">
        <v>188</v>
      </c>
      <c r="E43" t="s" s="557">
        <v>219</v>
      </c>
      <c r="F43" t="s" s="557">
        <v>270</v>
      </c>
      <c r="G43" t="s" s="557">
        <v>253</v>
      </c>
      <c r="H43" t="s" s="557">
        <v>231</v>
      </c>
      <c r="I43" t="s" s="557">
        <v>277</v>
      </c>
      <c r="J43" t="s" s="557">
        <v>290</v>
      </c>
      <c r="K43" t="s" s="557">
        <v>169</v>
      </c>
      <c r="L43" t="s" s="557">
        <v>291</v>
      </c>
      <c r="M43" t="s" s="557">
        <v>172</v>
      </c>
      <c r="N43" t="s" s="557">
        <v>234</v>
      </c>
      <c r="T43" s="557">
        <v>3</v>
      </c>
      <c r="U43" t="s" s="557">
        <v>212</v>
      </c>
      <c r="V43" t="s" s="557">
        <v>182</v>
      </c>
      <c r="W43" t="s" s="557">
        <v>220</v>
      </c>
      <c r="X43" t="s" s="557">
        <v>162</v>
      </c>
      <c r="Y43" t="s" s="557">
        <v>183</v>
      </c>
      <c r="Z43" t="s" s="557">
        <v>293</v>
      </c>
      <c r="AA43" t="s" s="557">
        <v>171</v>
      </c>
      <c r="AB43" t="s" s="557">
        <v>179</v>
      </c>
      <c r="AC43" t="s" s="557">
        <v>294</v>
      </c>
      <c r="AJ43" t="s" s="557">
        <v>77</v>
      </c>
      <c r="AK43" t="s" s="557">
        <v>101</v>
      </c>
      <c r="AL43" t="s" s="557">
        <v>103</v>
      </c>
      <c r="AM43" t="s" s="557">
        <v>113</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340</v>
      </c>
      <c r="C44" s="557">
        <v>3</v>
      </c>
      <c r="D44" t="s" s="557">
        <v>188</v>
      </c>
      <c r="E44" t="s" s="557">
        <v>228</v>
      </c>
      <c r="F44" t="s" s="557">
        <v>270</v>
      </c>
      <c r="G44" t="s" s="557">
        <v>190</v>
      </c>
      <c r="H44" t="s" s="557">
        <v>231</v>
      </c>
      <c r="I44" t="s" s="557">
        <v>277</v>
      </c>
      <c r="J44" t="s" s="557">
        <v>341</v>
      </c>
      <c r="K44" t="s" s="557">
        <v>293</v>
      </c>
      <c r="L44" t="s" s="557">
        <v>342</v>
      </c>
      <c r="M44" t="s" s="557">
        <v>169</v>
      </c>
      <c r="N44" t="s" s="557">
        <v>343</v>
      </c>
      <c r="O44" t="s" s="557">
        <v>172</v>
      </c>
      <c r="P44" t="s" s="557">
        <v>234</v>
      </c>
      <c r="T44" s="557">
        <v>1</v>
      </c>
      <c r="U44" t="s" s="557">
        <v>292</v>
      </c>
      <c r="V44" t="s" s="557">
        <v>212</v>
      </c>
      <c r="W44" t="s" s="557">
        <v>182</v>
      </c>
      <c r="X44" t="s" s="557">
        <v>220</v>
      </c>
      <c r="Y44" t="s" s="557">
        <v>162</v>
      </c>
      <c r="Z44" t="s" s="557">
        <v>179</v>
      </c>
      <c r="AJ44" t="s" s="557">
        <v>101</v>
      </c>
      <c r="AK44" t="s" s="557">
        <v>112</v>
      </c>
      <c r="AL44" t="s" s="557">
        <v>100</v>
      </c>
      <c r="AM44" t="s" s="557">
        <v>106</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344</v>
      </c>
      <c r="AF45" t="s" s="557">
        <v>202</v>
      </c>
      <c r="AJ45" t="s" s="557">
        <v>77</v>
      </c>
      <c r="AK45" t="s" s="557">
        <v>103</v>
      </c>
      <c r="AL45" t="s" s="557">
        <v>66</v>
      </c>
      <c r="AM45" t="s" s="557">
        <v>104</v>
      </c>
      <c r="AN45" t="s" s="557">
        <v>345</v>
      </c>
      <c r="AO45" s="560">
        <f t="shared" si="1"/>
        <v>45</v>
      </c>
    </row>
    <row r="46" spans="1:41">
      <c r="A46" t="s" s="557">
        <v>346</v>
      </c>
      <c r="C46" s="557">
        <v>1</v>
      </c>
      <c r="D46" t="s" s="557">
        <v>188</v>
      </c>
      <c r="E46" t="s" s="557">
        <v>219</v>
      </c>
      <c r="F46" t="s" s="557">
        <v>220</v>
      </c>
      <c r="G46" t="s" s="557">
        <v>221</v>
      </c>
      <c r="H46" t="s" s="557">
        <v>347</v>
      </c>
      <c r="I46" t="s" s="557">
        <v>200</v>
      </c>
      <c r="J46" t="s" s="557">
        <v>256</v>
      </c>
      <c r="K46" t="s" s="557">
        <v>222</v>
      </c>
      <c r="L46" t="s" s="557">
        <v>223</v>
      </c>
      <c r="M46" t="s" s="557">
        <v>169</v>
      </c>
      <c r="N46" t="s" s="557">
        <v>165</v>
      </c>
      <c r="O46" t="s" s="557">
        <v>224</v>
      </c>
      <c r="P46" t="s" s="557">
        <v>172</v>
      </c>
      <c r="Q46" t="s" s="557">
        <v>225</v>
      </c>
      <c r="R46" t="s" s="557">
        <v>197</v>
      </c>
      <c r="AJ46" t="s" s="557">
        <v>101</v>
      </c>
      <c r="AK46" t="s" s="557">
        <v>95</v>
      </c>
      <c r="AL46" t="s" s="557">
        <v>78</v>
      </c>
      <c r="AM46" t="s" s="557">
        <v>100</v>
      </c>
      <c r="AN46" s="557" t="str">
        <f>附表!$L$65&amp;"。"</f>
        <v>参见《特工手册》的“本职装备：特种作战员”。</v>
      </c>
      <c r="AO46" s="560">
        <f t="shared" si="1"/>
        <v>46</v>
      </c>
    </row>
    <row r="47" spans="1:41">
      <c r="A47" t="s" s="557">
        <v>348</v>
      </c>
      <c r="AF47" t="s" s="557">
        <v>216</v>
      </c>
      <c r="AN47" s="557" t="str">
        <f>附表!$L$65&amp;"。"</f>
        <v>参见《特工手册》的“本职装备：特种作战员”。</v>
      </c>
      <c r="AO47" s="560">
        <f t="shared" si="1"/>
        <v>47</v>
      </c>
    </row>
    <row r="48" spans="1:41">
      <c r="A48" t="s" s="557">
        <v>349</v>
      </c>
      <c r="C48" s="557">
        <v>3</v>
      </c>
      <c r="D48" t="s" s="557">
        <v>188</v>
      </c>
      <c r="E48" t="s" s="557">
        <v>228</v>
      </c>
      <c r="F48" t="s" s="557">
        <v>270</v>
      </c>
      <c r="G48" t="s" s="557">
        <v>253</v>
      </c>
      <c r="H48" t="s" s="557">
        <v>231</v>
      </c>
      <c r="I48" t="s" s="557">
        <v>277</v>
      </c>
      <c r="J48" t="s" s="557">
        <v>162</v>
      </c>
      <c r="K48" t="s" s="557">
        <v>168</v>
      </c>
      <c r="L48" t="s" s="557">
        <v>290</v>
      </c>
      <c r="M48" t="s" s="557">
        <v>278</v>
      </c>
      <c r="N48" t="s" s="557">
        <v>195</v>
      </c>
      <c r="O48" t="s" s="557">
        <v>179</v>
      </c>
      <c r="P48" t="s" s="557">
        <v>234</v>
      </c>
      <c r="T48" s="557">
        <v>1</v>
      </c>
      <c r="U48" t="s" s="557">
        <v>350</v>
      </c>
      <c r="V48" t="s" s="557">
        <v>351</v>
      </c>
      <c r="W48" t="s" s="557">
        <v>352</v>
      </c>
      <c r="X48" t="s" s="557">
        <v>353</v>
      </c>
      <c r="AJ48" t="s" s="557">
        <v>77</v>
      </c>
      <c r="AK48" t="s" s="557">
        <v>299</v>
      </c>
      <c r="AL48" t="s" s="557">
        <v>91</v>
      </c>
      <c r="AM48" t="s" s="557">
        <v>100</v>
      </c>
      <c r="AN48" s="557" t="str">
        <f>附表!$L$65&amp;"。"</f>
        <v>参见《特工手册》的“本职装备：特种作战员”。</v>
      </c>
      <c r="AO48" s="560">
        <f t="shared" si="1"/>
        <v>48</v>
      </c>
    </row>
    <row r="49" spans="1:41">
      <c r="A49" t="s" s="557">
        <v>354</v>
      </c>
      <c r="C49" s="557">
        <v>1</v>
      </c>
      <c r="D49" t="s" s="557">
        <v>218</v>
      </c>
      <c r="E49" t="s" s="557">
        <v>228</v>
      </c>
      <c r="F49" t="s" s="557">
        <v>270</v>
      </c>
      <c r="G49" t="s" s="557">
        <v>240</v>
      </c>
      <c r="H49" t="s" s="557">
        <v>241</v>
      </c>
      <c r="I49" t="s" s="557">
        <v>231</v>
      </c>
      <c r="J49" t="s" s="557">
        <v>200</v>
      </c>
      <c r="K49" t="s" s="557">
        <v>355</v>
      </c>
      <c r="L49" t="s" s="557">
        <v>356</v>
      </c>
      <c r="M49" t="s" s="557">
        <v>357</v>
      </c>
      <c r="N49" t="s" s="557">
        <v>358</v>
      </c>
      <c r="O49" t="s" s="557">
        <v>359</v>
      </c>
      <c r="P49" t="s" s="557">
        <v>225</v>
      </c>
      <c r="AJ49" t="s" s="557">
        <v>65</v>
      </c>
      <c r="AK49" t="s" s="557">
        <v>360</v>
      </c>
      <c r="AL49" t="s" s="557">
        <v>106</v>
      </c>
      <c r="AM49" t="s" s="557">
        <v>102</v>
      </c>
      <c r="AN49" s="557" t="str">
        <f>附表!$L$65&amp;"，以及维修直升机设备的操作手册和现场手册。"</f>
        <v>参见《特工手册》的“本职装备：特种作战员”，以及维修直升机设备的操作手册和现场手册。</v>
      </c>
      <c r="AO49" s="560">
        <f t="shared" si="1"/>
        <v>49</v>
      </c>
    </row>
    <row r="50" spans="1:41">
      <c r="A50" t="s" s="557">
        <v>361</v>
      </c>
      <c r="C50" s="557">
        <v>1</v>
      </c>
      <c r="D50" t="s" s="557">
        <v>218</v>
      </c>
      <c r="E50" t="s" s="557">
        <v>219</v>
      </c>
      <c r="F50" t="s" s="557">
        <v>221</v>
      </c>
      <c r="G50" t="s" s="557">
        <v>200</v>
      </c>
      <c r="H50" t="s" s="557">
        <v>168</v>
      </c>
      <c r="I50" t="s" s="557">
        <v>222</v>
      </c>
      <c r="J50" t="s" s="557">
        <v>223</v>
      </c>
      <c r="K50" t="s" s="557">
        <v>169</v>
      </c>
      <c r="L50" t="s" s="557">
        <v>362</v>
      </c>
      <c r="M50" t="s" s="557">
        <v>224</v>
      </c>
      <c r="N50" t="s" s="557">
        <v>172</v>
      </c>
      <c r="O50" t="s" s="557">
        <v>225</v>
      </c>
      <c r="P50" t="s" s="557">
        <v>197</v>
      </c>
      <c r="AJ50" t="s" s="557">
        <v>101</v>
      </c>
      <c r="AK50" t="s" s="557">
        <v>74</v>
      </c>
      <c r="AL50" t="s" s="557">
        <v>98</v>
      </c>
      <c r="AM50" t="s" s="557">
        <v>102</v>
      </c>
      <c r="AN50" s="557" t="str">
        <f>附表!$L$65&amp;"，并且能查阅机密报告。"</f>
        <v>参见《特工手册》的“本职装备：特种作战员”，并且能查阅机密报告。</v>
      </c>
      <c r="AO50" s="560">
        <f t="shared" si="1"/>
        <v>50</v>
      </c>
    </row>
    <row r="51" spans="1:41">
      <c r="A51" t="s" s="557">
        <v>363</v>
      </c>
      <c r="AF51" t="s" s="557">
        <v>364</v>
      </c>
      <c r="AJ51" t="s" s="557">
        <v>65</v>
      </c>
      <c r="AK51" t="s" s="557">
        <v>103</v>
      </c>
      <c r="AL51" t="s" s="557">
        <v>74</v>
      </c>
      <c r="AM51" t="s" s="557">
        <v>365</v>
      </c>
      <c r="AN51" t="s" s="557">
        <v>366</v>
      </c>
      <c r="AO51" s="560">
        <f t="shared" si="1"/>
        <v>51</v>
      </c>
    </row>
    <row r="52" spans="1:41">
      <c r="A52" t="s" s="557">
        <v>367</v>
      </c>
      <c r="AF52" t="s" s="557">
        <v>123</v>
      </c>
      <c r="AJ52" t="s" s="557">
        <v>87</v>
      </c>
      <c r="AK52" t="s" s="557">
        <v>368</v>
      </c>
      <c r="AL52" t="s" s="557">
        <v>78</v>
      </c>
      <c r="AM52" t="s" s="557">
        <v>100</v>
      </c>
      <c r="AN52" t="s" s="557">
        <v>369</v>
      </c>
      <c r="AO52" s="560">
        <f t="shared" si="1"/>
        <v>52</v>
      </c>
    </row>
    <row r="53" spans="1:41">
      <c r="A53" t="s" s="557">
        <v>370</v>
      </c>
      <c r="AF53" t="s" s="557">
        <v>364</v>
      </c>
      <c r="AJ53" t="s" s="557">
        <v>65</v>
      </c>
      <c r="AK53" t="s" s="557">
        <v>100</v>
      </c>
      <c r="AL53" t="s" s="557">
        <v>371</v>
      </c>
      <c r="AM53" t="s" s="557">
        <v>372</v>
      </c>
      <c r="AN53" t="s" s="557">
        <v>373</v>
      </c>
      <c r="AO53" s="560">
        <f t="shared" si="1"/>
        <v>53</v>
      </c>
    </row>
    <row r="54" spans="1:41">
      <c r="A54" t="s" s="557">
        <v>374</v>
      </c>
      <c r="AF54" t="s" s="557">
        <v>301</v>
      </c>
      <c r="AG54" t="s" s="557">
        <v>123</v>
      </c>
      <c r="AJ54" t="s" s="557">
        <v>83</v>
      </c>
      <c r="AK54" t="s" s="557">
        <v>87</v>
      </c>
      <c r="AL54" t="s" s="557">
        <v>375</v>
      </c>
      <c r="AM54" t="s" s="557">
        <v>100</v>
      </c>
      <c r="AN54" s="557" t="str">
        <f>附表!$L$62&amp;"。"</f>
        <v>参见《特工手册》的“本职装备：联邦探员”。</v>
      </c>
      <c r="AO54" s="560">
        <f t="shared" si="1"/>
        <v>54</v>
      </c>
    </row>
    <row r="55" spans="1:41">
      <c r="A55" t="s" s="557">
        <v>376</v>
      </c>
      <c r="AF55" t="s" s="557">
        <v>364</v>
      </c>
      <c r="AJ55" t="s" s="557">
        <v>65</v>
      </c>
      <c r="AK55" t="s" s="557">
        <v>100</v>
      </c>
      <c r="AL55" t="s" s="557">
        <v>377</v>
      </c>
      <c r="AN55" t="s" s="557">
        <v>378</v>
      </c>
      <c r="AO55" s="560">
        <f t="shared" si="1"/>
        <v>55</v>
      </c>
    </row>
    <row r="56" spans="1:41">
      <c r="A56" t="s" s="557">
        <v>379</v>
      </c>
      <c r="AF56" t="s" s="557">
        <v>173</v>
      </c>
      <c r="AJ56" t="s" s="557">
        <v>83</v>
      </c>
      <c r="AK56" t="s" s="557">
        <v>100</v>
      </c>
      <c r="AL56" t="s" s="557">
        <v>372</v>
      </c>
      <c r="AM56" t="s" s="557">
        <v>368</v>
      </c>
      <c r="AN56" t="s" s="557">
        <v>378</v>
      </c>
      <c r="AO56" s="560">
        <f t="shared" si="1"/>
        <v>56</v>
      </c>
    </row>
    <row r="57" spans="1:41">
      <c r="A57" t="s" s="557">
        <v>380</v>
      </c>
      <c r="C57" s="557">
        <v>1</v>
      </c>
      <c r="D57" t="s" s="557">
        <v>218</v>
      </c>
      <c r="E57" t="s" s="557">
        <v>219</v>
      </c>
      <c r="F57" t="s" s="557">
        <v>220</v>
      </c>
      <c r="G57" t="s" s="557">
        <v>221</v>
      </c>
      <c r="H57" t="s" s="557">
        <v>200</v>
      </c>
      <c r="I57" t="s" s="557">
        <v>222</v>
      </c>
      <c r="J57" t="s" s="557">
        <v>223</v>
      </c>
      <c r="K57" t="s" s="557">
        <v>169</v>
      </c>
      <c r="L57" t="s" s="557">
        <v>224</v>
      </c>
      <c r="M57" t="s" s="557">
        <v>172</v>
      </c>
      <c r="N57" t="s" s="557">
        <v>225</v>
      </c>
      <c r="O57" t="s" s="557">
        <v>197</v>
      </c>
      <c r="T57" s="557">
        <v>1</v>
      </c>
      <c r="U57" t="s" s="557">
        <v>204</v>
      </c>
      <c r="V57" t="s" s="557">
        <v>362</v>
      </c>
      <c r="AJ57" t="s" s="557">
        <v>77</v>
      </c>
      <c r="AK57" t="s" s="557">
        <v>74</v>
      </c>
      <c r="AL57" t="s" s="557">
        <v>106</v>
      </c>
      <c r="AM57" t="s" s="557">
        <v>102</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381</v>
      </c>
      <c r="AF58" t="s" s="557">
        <v>186</v>
      </c>
      <c r="AJ58" t="s" s="557">
        <v>93</v>
      </c>
      <c r="AK58" t="s" s="557">
        <v>78</v>
      </c>
      <c r="AL58" t="s" s="557">
        <v>115</v>
      </c>
      <c r="AM58" t="s" s="557">
        <v>61</v>
      </c>
      <c r="AN58" s="557" t="str">
        <f>附表!$L$62&amp;"。"</f>
        <v>参见《特工手册》的“本职装备：联邦探员”。</v>
      </c>
      <c r="AO58" s="560">
        <f t="shared" si="1"/>
        <v>58</v>
      </c>
    </row>
    <row r="59" spans="1:41">
      <c r="A59" t="s" s="557">
        <v>382</v>
      </c>
      <c r="C59" s="557">
        <v>2</v>
      </c>
      <c r="D59" t="s" s="557">
        <v>218</v>
      </c>
      <c r="E59" t="s" s="557">
        <v>331</v>
      </c>
      <c r="F59" t="s" s="557">
        <v>270</v>
      </c>
      <c r="G59" t="s" s="557">
        <v>240</v>
      </c>
      <c r="H59" t="s" s="557">
        <v>241</v>
      </c>
      <c r="I59" t="s" s="557">
        <v>383</v>
      </c>
      <c r="J59" t="s" s="557">
        <v>384</v>
      </c>
      <c r="K59" t="s" s="557">
        <v>169</v>
      </c>
      <c r="L59" t="s" s="557">
        <v>385</v>
      </c>
      <c r="M59" t="s" s="557">
        <v>272</v>
      </c>
      <c r="N59" t="s" s="557">
        <v>196</v>
      </c>
      <c r="O59" t="s" s="557">
        <v>294</v>
      </c>
      <c r="AJ59" t="s" s="557">
        <v>65</v>
      </c>
      <c r="AK59" t="s" s="557">
        <v>77</v>
      </c>
      <c r="AL59" t="s" s="557">
        <v>372</v>
      </c>
      <c r="AM59" t="s" s="557">
        <v>103</v>
      </c>
      <c r="AN59" t="s" s="557">
        <v>386</v>
      </c>
      <c r="AO59" s="560">
        <f t="shared" si="1"/>
        <v>59</v>
      </c>
    </row>
    <row r="60" spans="1:41">
      <c r="A60" t="s" s="557">
        <v>387</v>
      </c>
      <c r="C60" s="557">
        <v>2</v>
      </c>
      <c r="D60" t="s" s="557">
        <v>188</v>
      </c>
      <c r="E60" t="s" s="557">
        <v>228</v>
      </c>
      <c r="F60" t="s" s="557">
        <v>160</v>
      </c>
      <c r="G60" t="s" s="557">
        <v>231</v>
      </c>
      <c r="H60" t="s" s="557">
        <v>204</v>
      </c>
      <c r="I60" t="s" s="557">
        <v>256</v>
      </c>
      <c r="J60" t="s" s="557">
        <v>264</v>
      </c>
      <c r="K60" t="s" s="557">
        <v>195</v>
      </c>
      <c r="L60" t="s" s="557">
        <v>215</v>
      </c>
      <c r="M60" t="s" s="557">
        <v>265</v>
      </c>
      <c r="N60" t="s" s="557">
        <v>172</v>
      </c>
      <c r="T60" s="557">
        <v>2</v>
      </c>
      <c r="U60" t="s" s="557">
        <v>266</v>
      </c>
      <c r="V60" t="s" s="557">
        <v>214</v>
      </c>
      <c r="W60" t="s" s="557">
        <v>169</v>
      </c>
      <c r="X60" t="s" s="557">
        <v>267</v>
      </c>
      <c r="Y60" t="s" s="557">
        <v>171</v>
      </c>
      <c r="AJ60" t="s" s="557">
        <v>103</v>
      </c>
      <c r="AK60" t="s" s="557">
        <v>66</v>
      </c>
      <c r="AL60" t="s" s="557">
        <v>91</v>
      </c>
      <c r="AM60" t="s" s="557">
        <v>104</v>
      </c>
      <c r="AN60" t="s" s="557">
        <v>388</v>
      </c>
      <c r="AO60" s="560">
        <f t="shared" si="1"/>
        <v>60</v>
      </c>
    </row>
    <row r="61" spans="1:41">
      <c r="A61" t="s" s="557">
        <v>389</v>
      </c>
      <c r="C61" s="557">
        <v>1</v>
      </c>
      <c r="D61" t="s" s="557">
        <v>188</v>
      </c>
      <c r="E61" t="s" s="557">
        <v>219</v>
      </c>
      <c r="F61" t="s" s="557">
        <v>220</v>
      </c>
      <c r="G61" t="s" s="557">
        <v>221</v>
      </c>
      <c r="H61" t="s" s="557">
        <v>200</v>
      </c>
      <c r="I61" t="s" s="557">
        <v>222</v>
      </c>
      <c r="J61" t="s" s="557">
        <v>223</v>
      </c>
      <c r="K61" t="s" s="557">
        <v>169</v>
      </c>
      <c r="L61" t="s" s="557">
        <v>390</v>
      </c>
      <c r="M61" t="s" s="557">
        <v>224</v>
      </c>
      <c r="N61" t="s" s="557">
        <v>391</v>
      </c>
      <c r="O61" t="s" s="557">
        <v>294</v>
      </c>
      <c r="P61" t="s" s="557">
        <v>197</v>
      </c>
      <c r="AJ61" t="s" s="557">
        <v>101</v>
      </c>
      <c r="AK61" t="s" s="557">
        <v>68</v>
      </c>
      <c r="AL61" t="s" s="557">
        <v>102</v>
      </c>
      <c r="AM61" t="s" s="557">
        <v>108</v>
      </c>
      <c r="AN61" s="557" t="str">
        <f>附表!$L$65&amp;"，以及SCUBA 和游泳装备。所有设备都是防水的。"</f>
        <v>参见《特工手册》的“本职装备：特种作战员”，以及SCUBA 和游泳装备。所有设备都是防水的。</v>
      </c>
      <c r="AO61" s="560">
        <f t="shared" si="1"/>
        <v>61</v>
      </c>
    </row>
    <row r="62" spans="1:41">
      <c r="A62" t="s" s="557">
        <v>392</v>
      </c>
      <c r="C62" s="557">
        <v>1</v>
      </c>
      <c r="D62" t="s" s="557">
        <v>218</v>
      </c>
      <c r="E62" t="s" s="557">
        <v>219</v>
      </c>
      <c r="F62" t="s" s="557">
        <v>220</v>
      </c>
      <c r="G62" t="s" s="557">
        <v>307</v>
      </c>
      <c r="H62" t="s" s="557">
        <v>221</v>
      </c>
      <c r="I62" t="s" s="557">
        <v>200</v>
      </c>
      <c r="J62" t="s" s="557">
        <v>222</v>
      </c>
      <c r="K62" t="s" s="557">
        <v>223</v>
      </c>
      <c r="L62" t="s" s="557">
        <v>357</v>
      </c>
      <c r="M62" t="s" s="557">
        <v>393</v>
      </c>
      <c r="N62" t="s" s="557">
        <v>391</v>
      </c>
      <c r="O62" t="s" s="557">
        <v>225</v>
      </c>
      <c r="P62" t="s" s="557">
        <v>197</v>
      </c>
      <c r="AJ62" t="s" s="557">
        <v>99</v>
      </c>
      <c r="AK62" t="s" s="557">
        <v>101</v>
      </c>
      <c r="AL62" t="s" s="557">
        <v>100</v>
      </c>
      <c r="AM62" t="s" s="557">
        <v>106</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394</v>
      </c>
      <c r="C63" s="557">
        <v>3</v>
      </c>
      <c r="D63" t="s" s="557">
        <v>395</v>
      </c>
      <c r="E63" t="s" s="557">
        <v>219</v>
      </c>
      <c r="F63" t="s" s="557">
        <v>181</v>
      </c>
      <c r="G63" t="s" s="557">
        <v>396</v>
      </c>
      <c r="H63" t="s" s="557">
        <v>397</v>
      </c>
      <c r="I63" t="s" s="557">
        <v>231</v>
      </c>
      <c r="J63" t="s" s="557">
        <v>248</v>
      </c>
      <c r="K63" t="s" s="557">
        <v>168</v>
      </c>
      <c r="L63" t="s" s="557">
        <v>233</v>
      </c>
      <c r="M63" t="s" s="557">
        <v>195</v>
      </c>
      <c r="N63" t="s" s="557">
        <v>398</v>
      </c>
      <c r="O63" t="s" s="557">
        <v>234</v>
      </c>
      <c r="T63" s="557">
        <v>1</v>
      </c>
      <c r="U63" t="s" s="557">
        <v>399</v>
      </c>
      <c r="V63" t="s" s="557">
        <v>161</v>
      </c>
      <c r="W63" t="s" s="557">
        <v>275</v>
      </c>
      <c r="AJ63" t="s" s="557">
        <v>400</v>
      </c>
      <c r="AK63" t="s" s="557">
        <v>77</v>
      </c>
      <c r="AL63" t="s" s="557">
        <v>115</v>
      </c>
      <c r="AM63" t="s" s="557">
        <v>106</v>
      </c>
      <c r="AN63" s="557" t="str">
        <f>附表!$L$65&amp;"。"</f>
        <v>参见《特工手册》的“本职装备：特种作战员”。</v>
      </c>
      <c r="AO63" s="560">
        <f t="shared" si="1"/>
        <v>63</v>
      </c>
    </row>
    <row r="64" spans="1:41">
      <c r="A64" t="s" s="557">
        <v>401</v>
      </c>
      <c r="C64" s="557">
        <v>2</v>
      </c>
      <c r="D64" t="s" s="557">
        <v>218</v>
      </c>
      <c r="E64" t="s" s="557">
        <v>219</v>
      </c>
      <c r="F64" t="s" s="557">
        <v>270</v>
      </c>
      <c r="G64" t="s" s="557">
        <v>220</v>
      </c>
      <c r="H64" t="s" s="557">
        <v>307</v>
      </c>
      <c r="I64" t="s" s="557">
        <v>253</v>
      </c>
      <c r="J64" t="s" s="557">
        <v>221</v>
      </c>
      <c r="K64" t="s" s="557">
        <v>277</v>
      </c>
      <c r="L64" t="s" s="557">
        <v>162</v>
      </c>
      <c r="M64" t="s" s="557">
        <v>183</v>
      </c>
      <c r="N64" t="s" s="557">
        <v>200</v>
      </c>
      <c r="O64" t="s" s="557">
        <v>290</v>
      </c>
      <c r="P64" t="s" s="557">
        <v>278</v>
      </c>
      <c r="Q64" t="s" s="557">
        <v>291</v>
      </c>
      <c r="R64" t="s" s="557">
        <v>294</v>
      </c>
      <c r="S64" t="s" s="557">
        <v>234</v>
      </c>
      <c r="AJ64" t="s" s="557">
        <v>113</v>
      </c>
      <c r="AK64" t="s" s="557">
        <v>74</v>
      </c>
      <c r="AL64" t="s" s="557">
        <v>102</v>
      </c>
      <c r="AN64" t="s" s="557">
        <v>402</v>
      </c>
      <c r="AO64" s="560">
        <f t="shared" si="1"/>
        <v>64</v>
      </c>
    </row>
    <row r="65" spans="1:41">
      <c r="A65" t="s" s="557">
        <v>403</v>
      </c>
      <c r="C65" s="557">
        <v>3</v>
      </c>
      <c r="D65" t="s" s="557">
        <v>218</v>
      </c>
      <c r="E65" t="s" s="557">
        <v>219</v>
      </c>
      <c r="F65" t="s" s="557">
        <v>270</v>
      </c>
      <c r="G65" t="s" s="557">
        <v>253</v>
      </c>
      <c r="H65" t="s" s="557">
        <v>221</v>
      </c>
      <c r="I65" t="s" s="557">
        <v>277</v>
      </c>
      <c r="J65" t="s" s="557">
        <v>293</v>
      </c>
      <c r="K65" t="s" s="557">
        <v>290</v>
      </c>
      <c r="L65" t="s" s="557">
        <v>278</v>
      </c>
      <c r="M65" t="s" s="557">
        <v>291</v>
      </c>
      <c r="N65" t="s" s="557">
        <v>322</v>
      </c>
      <c r="O65" t="s" s="557">
        <v>234</v>
      </c>
      <c r="T65" s="557">
        <v>2</v>
      </c>
      <c r="U65" t="s" s="557">
        <v>220</v>
      </c>
      <c r="V65" t="s" s="557">
        <v>162</v>
      </c>
      <c r="W65" t="s" s="557">
        <v>200</v>
      </c>
      <c r="X65" t="s" s="557">
        <v>171</v>
      </c>
      <c r="Y65" t="s" s="557">
        <v>179</v>
      </c>
      <c r="Z65" t="s" s="557">
        <v>294</v>
      </c>
      <c r="AJ65" t="s" s="557">
        <v>65</v>
      </c>
      <c r="AK65" t="s" s="557">
        <v>101</v>
      </c>
      <c r="AL65" t="s" s="557">
        <v>68</v>
      </c>
      <c r="AM65" t="s" s="557">
        <v>108</v>
      </c>
      <c r="AN65" s="557" t="str">
        <f>附表!$L$65&amp;"。"</f>
        <v>参见《特工手册》的“本职装备：特种作战员”。</v>
      </c>
      <c r="AO65" s="560">
        <f t="shared" si="1"/>
        <v>65</v>
      </c>
    </row>
    <row r="66" spans="1:41">
      <c r="A66" t="s" s="557">
        <v>404</v>
      </c>
      <c r="C66" s="557">
        <v>1</v>
      </c>
      <c r="D66" t="s" s="557">
        <v>188</v>
      </c>
      <c r="E66" t="s" s="557">
        <v>219</v>
      </c>
      <c r="F66" t="s" s="557">
        <v>220</v>
      </c>
      <c r="G66" t="s" s="557">
        <v>221</v>
      </c>
      <c r="H66" t="s" s="557">
        <v>200</v>
      </c>
      <c r="I66" t="s" s="557">
        <v>222</v>
      </c>
      <c r="J66" t="s" s="557">
        <v>223</v>
      </c>
      <c r="K66" t="s" s="557">
        <v>169</v>
      </c>
      <c r="L66" t="s" s="557">
        <v>165</v>
      </c>
      <c r="M66" t="s" s="557">
        <v>390</v>
      </c>
      <c r="N66" t="s" s="557">
        <v>224</v>
      </c>
      <c r="O66" t="s" s="557">
        <v>172</v>
      </c>
      <c r="P66" t="s" s="557">
        <v>225</v>
      </c>
      <c r="Q66" t="s" s="557">
        <v>197</v>
      </c>
      <c r="AJ66" t="s" s="557">
        <v>77</v>
      </c>
      <c r="AK66" t="s" s="557">
        <v>113</v>
      </c>
      <c r="AL66" t="s" s="557">
        <v>115</v>
      </c>
      <c r="AM66" t="s" s="557">
        <v>68</v>
      </c>
      <c r="AN66" s="557" t="str">
        <f>附表!$L$65&amp;"。"</f>
        <v>参见《特工手册》的“本职装备：特种作战员”。</v>
      </c>
      <c r="AO66" s="560">
        <f t="shared" si="1"/>
        <v>66</v>
      </c>
    </row>
    <row r="67" spans="1:41">
      <c r="A67" t="s" s="557">
        <v>405</v>
      </c>
      <c r="AF67" t="s" s="557">
        <v>298</v>
      </c>
      <c r="AJ67" t="s" s="557">
        <v>83</v>
      </c>
      <c r="AK67" t="s" s="557">
        <v>115</v>
      </c>
      <c r="AL67" t="s" s="557">
        <v>78</v>
      </c>
      <c r="AM67" t="s" s="557">
        <v>100</v>
      </c>
      <c r="AN67" t="s" s="557">
        <v>406</v>
      </c>
      <c r="AO67" s="560">
        <f t="shared" si="1"/>
        <v>67</v>
      </c>
    </row>
    <row r="68" spans="1:41">
      <c r="A68" t="s" s="557">
        <v>407</v>
      </c>
      <c r="C68" s="557">
        <v>1</v>
      </c>
      <c r="D68" t="s" s="557">
        <v>218</v>
      </c>
      <c r="E68" t="s" s="557">
        <v>228</v>
      </c>
      <c r="F68" t="s" s="557">
        <v>220</v>
      </c>
      <c r="G68" t="s" s="557">
        <v>221</v>
      </c>
      <c r="H68" t="s" s="557">
        <v>162</v>
      </c>
      <c r="I68" t="s" s="557">
        <v>200</v>
      </c>
      <c r="J68" t="s" s="557">
        <v>319</v>
      </c>
      <c r="K68" t="s" s="557">
        <v>222</v>
      </c>
      <c r="L68" t="s" s="557">
        <v>408</v>
      </c>
      <c r="M68" t="s" s="557">
        <v>169</v>
      </c>
      <c r="N68" t="s" s="557">
        <v>165</v>
      </c>
      <c r="O68" t="s" s="557">
        <v>224</v>
      </c>
      <c r="P68" t="s" s="557">
        <v>172</v>
      </c>
      <c r="Q68" t="s" s="557">
        <v>273</v>
      </c>
      <c r="R68" t="s" s="557">
        <v>197</v>
      </c>
      <c r="AJ68" t="s" s="557">
        <v>65</v>
      </c>
      <c r="AK68" t="s" s="557">
        <v>101</v>
      </c>
      <c r="AL68" t="s" s="557">
        <v>102</v>
      </c>
      <c r="AM68" t="s" s="557">
        <v>106</v>
      </c>
      <c r="AN68" s="557" t="str">
        <f>附表!$L$65&amp;"，并且能调阅机密报告。"</f>
        <v>参见《特工手册》的“本职装备：特种作战员”，并且能调阅机密报告。</v>
      </c>
      <c r="AO68" s="560">
        <f t="shared" si="1"/>
        <v>68</v>
      </c>
    </row>
    <row r="69" spans="1:41">
      <c r="A69" t="s" s="557">
        <v>409</v>
      </c>
      <c r="C69" s="557">
        <v>1</v>
      </c>
      <c r="D69" t="s" s="557">
        <v>246</v>
      </c>
      <c r="E69" t="s" s="557">
        <v>166</v>
      </c>
      <c r="F69" t="s" s="557">
        <v>331</v>
      </c>
      <c r="G69" t="s" s="557">
        <v>247</v>
      </c>
      <c r="H69" t="s" s="557">
        <v>410</v>
      </c>
      <c r="I69" t="s" s="557">
        <v>231</v>
      </c>
      <c r="J69" t="s" s="557">
        <v>161</v>
      </c>
      <c r="K69" t="s" s="557">
        <v>161</v>
      </c>
      <c r="L69" t="s" s="557">
        <v>162</v>
      </c>
      <c r="M69" t="s" s="557">
        <v>248</v>
      </c>
      <c r="N69" t="s" s="557">
        <v>168</v>
      </c>
      <c r="O69" t="s" s="557">
        <v>184</v>
      </c>
      <c r="P69" t="s" s="557">
        <v>195</v>
      </c>
      <c r="Q69" t="s" s="557">
        <v>224</v>
      </c>
      <c r="R69" t="s" s="557">
        <v>197</v>
      </c>
      <c r="AJ69" t="s" s="557">
        <v>83</v>
      </c>
      <c r="AK69" t="s" s="557">
        <v>93</v>
      </c>
      <c r="AL69" t="s" s="557">
        <v>78</v>
      </c>
      <c r="AM69" t="s" s="557">
        <v>100</v>
      </c>
      <c r="AN69" s="557" t="str">
        <f>附表!$L$65&amp;"，并且能调阅机密报告。"</f>
        <v>参见《特工手册》的“本职装备：特种作战员”，并且能调阅机密报告。</v>
      </c>
      <c r="AO69" s="560">
        <f t="shared" si="1"/>
        <v>69</v>
      </c>
    </row>
    <row r="70" spans="1:41">
      <c r="A70" t="s" s="557">
        <v>411</v>
      </c>
      <c r="AF70" t="s" s="557">
        <v>298</v>
      </c>
      <c r="AJ70" t="s" s="557">
        <v>67</v>
      </c>
      <c r="AK70" t="s" s="557">
        <v>115</v>
      </c>
      <c r="AL70" t="s" s="557">
        <v>100</v>
      </c>
      <c r="AM70" t="s" s="557">
        <v>114</v>
      </c>
      <c r="AN70" t="s" s="557">
        <v>406</v>
      </c>
      <c r="AO70" s="560">
        <f t="shared" si="1"/>
        <v>70</v>
      </c>
    </row>
    <row r="71" spans="1:41">
      <c r="A71" t="s" s="557">
        <v>412</v>
      </c>
      <c r="AF71" t="s" s="557">
        <v>413</v>
      </c>
      <c r="AJ71" t="s" s="557">
        <v>67</v>
      </c>
      <c r="AK71" t="s" s="557">
        <v>83</v>
      </c>
      <c r="AL71" t="s" s="557">
        <v>338</v>
      </c>
      <c r="AM71" t="s" s="557">
        <v>114</v>
      </c>
      <c r="AN71" t="s" s="557">
        <v>414</v>
      </c>
      <c r="AO71" s="560">
        <f t="shared" si="1"/>
        <v>71</v>
      </c>
    </row>
    <row r="72" spans="1:41">
      <c r="A72" t="s" s="557">
        <v>415</v>
      </c>
      <c r="AF72" t="s" s="557">
        <v>186</v>
      </c>
      <c r="AJ72" t="s" s="557">
        <v>83</v>
      </c>
      <c r="AK72" t="s" s="557">
        <v>338</v>
      </c>
      <c r="AL72" t="s" s="557">
        <v>115</v>
      </c>
      <c r="AM72" t="s" s="557">
        <v>78</v>
      </c>
      <c r="AN72" s="557" t="str">
        <f>附表!$L$62&amp;"。"</f>
        <v>参见《特工手册》的“本职装备：联邦探员”。</v>
      </c>
      <c r="AO72" s="560">
        <f t="shared" ref="AO72:AO106" si="2">ROW()</f>
        <v>72</v>
      </c>
    </row>
    <row r="73" spans="1:41">
      <c r="A73" t="s" s="557">
        <v>416</v>
      </c>
      <c r="AF73" t="s" s="557">
        <v>413</v>
      </c>
      <c r="AJ73" t="s" s="557">
        <v>83</v>
      </c>
      <c r="AK73" t="s" s="557">
        <v>338</v>
      </c>
      <c r="AL73" t="s" s="557">
        <v>61</v>
      </c>
      <c r="AM73" t="s" s="557">
        <v>78</v>
      </c>
      <c r="AN73" t="s" s="557">
        <v>417</v>
      </c>
      <c r="AO73" s="560">
        <f t="shared" si="2"/>
        <v>73</v>
      </c>
    </row>
    <row r="74" spans="1:41">
      <c r="A74" t="s" s="557">
        <v>418</v>
      </c>
      <c r="AF74" t="s" s="557">
        <v>312</v>
      </c>
      <c r="AJ74" t="s" s="557">
        <v>60</v>
      </c>
      <c r="AK74" t="s" s="557">
        <v>83</v>
      </c>
      <c r="AL74" t="s" s="557">
        <v>93</v>
      </c>
      <c r="AM74" t="s" s="557">
        <v>61</v>
      </c>
      <c r="AN74" s="557" t="str">
        <f>"控制某INL项目的预算"&amp;附表!$L$66&amp;"。"</f>
        <v>控制某INL项目的预算（参见《特工手册》的“项目群经理”）。</v>
      </c>
      <c r="AO74" s="560">
        <f t="shared" si="2"/>
        <v>74</v>
      </c>
    </row>
    <row r="75" spans="1:41">
      <c r="A75" t="s" s="557">
        <v>419</v>
      </c>
      <c r="AF75" t="s" s="557">
        <v>413</v>
      </c>
      <c r="AG75" t="s" s="557">
        <v>325</v>
      </c>
      <c r="AH75" t="s" s="557">
        <v>123</v>
      </c>
      <c r="AJ75" t="s" s="557">
        <v>114</v>
      </c>
      <c r="AK75" t="s" s="557">
        <v>115</v>
      </c>
      <c r="AL75" t="s" s="557">
        <v>78</v>
      </c>
      <c r="AM75" t="s" s="557">
        <v>100</v>
      </c>
      <c r="AN75" t="s" s="557">
        <v>420</v>
      </c>
      <c r="AO75" s="560">
        <f t="shared" si="2"/>
        <v>75</v>
      </c>
    </row>
    <row r="76" spans="1:41">
      <c r="A76" t="s" s="557">
        <v>421</v>
      </c>
      <c r="AF76" t="s" s="557">
        <v>202</v>
      </c>
      <c r="AG76" t="s" s="557">
        <v>312</v>
      </c>
      <c r="AH76" t="s" s="557">
        <v>117</v>
      </c>
      <c r="AJ76" t="s" s="557">
        <v>60</v>
      </c>
      <c r="AK76" t="s" s="557">
        <v>83</v>
      </c>
      <c r="AL76" t="s" s="557">
        <v>78</v>
      </c>
      <c r="AM76" t="s" s="557">
        <v>422</v>
      </c>
      <c r="AN76" s="557" t="str">
        <f>"控制某项目的预算"&amp;附表!$L$66&amp;"。"</f>
        <v>控制某项目的预算（参见《特工手册》的“项目群经理”）。</v>
      </c>
      <c r="AO76" s="560">
        <f t="shared" si="2"/>
        <v>76</v>
      </c>
    </row>
    <row r="77" spans="1:41">
      <c r="A77" t="s" s="557">
        <v>423</v>
      </c>
      <c r="AF77" t="s" s="557">
        <v>202</v>
      </c>
      <c r="AG77" t="s" s="557">
        <v>312</v>
      </c>
      <c r="AH77" t="s" s="557">
        <v>117</v>
      </c>
      <c r="AJ77" t="s" s="557">
        <v>60</v>
      </c>
      <c r="AK77" t="s" s="557">
        <v>83</v>
      </c>
      <c r="AL77" t="s" s="557">
        <v>78</v>
      </c>
      <c r="AM77" t="s" s="557">
        <v>422</v>
      </c>
      <c r="AN77" t="s" s="557">
        <v>424</v>
      </c>
      <c r="AO77" s="560">
        <f t="shared" si="2"/>
        <v>77</v>
      </c>
    </row>
    <row r="78" ht="28" spans="1:41">
      <c r="A78" t="s" s="557">
        <v>425</v>
      </c>
      <c r="AF78" t="s" s="557">
        <v>325</v>
      </c>
      <c r="AG78" t="s" s="557">
        <v>202</v>
      </c>
      <c r="AH78" t="s" s="557">
        <v>117</v>
      </c>
      <c r="AJ78" t="s" s="557">
        <v>338</v>
      </c>
      <c r="AK78" t="s" s="557">
        <v>109</v>
      </c>
      <c r="AL78" t="s" s="557">
        <v>422</v>
      </c>
      <c r="AM78" t="s" s="557">
        <v>106</v>
      </c>
      <c r="AN78" s="561" t="s">
        <v>426</v>
      </c>
      <c r="AO78" s="560">
        <f t="shared" si="2"/>
        <v>78</v>
      </c>
    </row>
    <row r="79" spans="1:41">
      <c r="A79" t="s" s="557">
        <v>427</v>
      </c>
      <c r="AF79" t="s" s="557">
        <v>428</v>
      </c>
      <c r="AG79" t="s" s="557">
        <v>202</v>
      </c>
      <c r="AH79" t="s" s="557">
        <v>117</v>
      </c>
      <c r="AJ79" t="s" s="557">
        <v>103</v>
      </c>
      <c r="AK79" t="s" s="557">
        <v>84</v>
      </c>
      <c r="AL79" t="s" s="557">
        <v>91</v>
      </c>
      <c r="AM79" t="s" s="557">
        <v>104</v>
      </c>
      <c r="AN79" t="s" s="557">
        <v>424</v>
      </c>
      <c r="AO79" s="560">
        <f t="shared" si="2"/>
        <v>79</v>
      </c>
    </row>
    <row r="80" spans="1:41">
      <c r="A80" t="s" s="557">
        <v>429</v>
      </c>
      <c r="C80" s="557">
        <v>4</v>
      </c>
      <c r="D80" t="s" s="557">
        <v>188</v>
      </c>
      <c r="E80" t="s" s="557">
        <v>160</v>
      </c>
      <c r="F80" t="s" s="557">
        <v>189</v>
      </c>
      <c r="G80" t="s" s="557">
        <v>253</v>
      </c>
      <c r="H80" t="s" s="557">
        <v>231</v>
      </c>
      <c r="I80" t="s" s="557">
        <v>214</v>
      </c>
      <c r="J80" t="s" s="557">
        <v>168</v>
      </c>
      <c r="K80" t="s" s="557">
        <v>194</v>
      </c>
      <c r="L80" t="s" s="557">
        <v>195</v>
      </c>
      <c r="M80" t="s" s="557">
        <v>430</v>
      </c>
      <c r="N80" t="s" s="557">
        <v>196</v>
      </c>
      <c r="AJ80" t="s" s="557">
        <v>83</v>
      </c>
      <c r="AK80" t="s" s="557">
        <v>93</v>
      </c>
      <c r="AL80" t="s" s="557">
        <v>109</v>
      </c>
      <c r="AM80" t="s" s="557">
        <v>431</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432</v>
      </c>
      <c r="C81" s="557">
        <v>4</v>
      </c>
      <c r="D81" t="s" s="557">
        <v>218</v>
      </c>
      <c r="E81" t="s" s="557">
        <v>160</v>
      </c>
      <c r="F81" t="s" s="557">
        <v>214</v>
      </c>
      <c r="G81" t="s" s="557">
        <v>184</v>
      </c>
      <c r="H81" t="s" s="557">
        <v>433</v>
      </c>
      <c r="I81" t="s" s="557">
        <v>434</v>
      </c>
      <c r="J81" t="s" s="557">
        <v>210</v>
      </c>
      <c r="K81" t="s" s="557">
        <v>171</v>
      </c>
      <c r="AJ81" t="s" s="557">
        <v>93</v>
      </c>
      <c r="AK81" t="s" s="557">
        <v>109</v>
      </c>
      <c r="AL81" t="s" s="557">
        <v>115</v>
      </c>
      <c r="AM81" t="s" s="557">
        <v>78</v>
      </c>
      <c r="AN81" t="s" s="557">
        <v>435</v>
      </c>
      <c r="AO81" s="560">
        <f t="shared" si="2"/>
        <v>81</v>
      </c>
    </row>
    <row r="82" spans="1:41">
      <c r="A82" t="s" s="557">
        <v>436</v>
      </c>
      <c r="AF82" t="s" s="557">
        <v>186</v>
      </c>
      <c r="AJ82" t="s" s="557">
        <v>65</v>
      </c>
      <c r="AK82" t="s" s="557">
        <v>83</v>
      </c>
      <c r="AL82" t="s" s="557">
        <v>115</v>
      </c>
      <c r="AM82" t="s" s="557">
        <v>78</v>
      </c>
      <c r="AN82" s="557" t="str">
        <f>附表!$L$62&amp;"。"</f>
        <v>参见《特工手册》的“本职装备：联邦探员”。</v>
      </c>
      <c r="AO82" s="560">
        <f t="shared" si="2"/>
        <v>82</v>
      </c>
    </row>
    <row r="83" spans="1:41">
      <c r="A83" t="s" s="557">
        <v>437</v>
      </c>
      <c r="C83" s="557">
        <v>2</v>
      </c>
      <c r="D83" t="s" s="557">
        <v>188</v>
      </c>
      <c r="E83" t="s" s="557">
        <v>270</v>
      </c>
      <c r="F83" t="s" s="557">
        <v>189</v>
      </c>
      <c r="G83" t="s" s="557">
        <v>190</v>
      </c>
      <c r="H83" t="s" s="557">
        <v>191</v>
      </c>
      <c r="I83" t="s" s="557">
        <v>192</v>
      </c>
      <c r="J83" t="s" s="557">
        <v>438</v>
      </c>
      <c r="K83" t="s" s="557">
        <v>318</v>
      </c>
      <c r="L83" t="s" s="557">
        <v>193</v>
      </c>
      <c r="M83" t="s" s="557">
        <v>194</v>
      </c>
      <c r="N83" t="s" s="557">
        <v>165</v>
      </c>
      <c r="O83" s="562" t="s">
        <v>439</v>
      </c>
      <c r="P83" t="s" s="557">
        <v>196</v>
      </c>
      <c r="Q83" t="s" s="557">
        <v>225</v>
      </c>
      <c r="R83" t="s" s="557">
        <v>197</v>
      </c>
      <c r="AJ83" t="s" s="557">
        <v>65</v>
      </c>
      <c r="AK83" t="s" s="557">
        <v>77</v>
      </c>
      <c r="AL83" t="s" s="557">
        <v>98</v>
      </c>
      <c r="AM83" t="s" s="557">
        <v>100</v>
      </c>
      <c r="AN83" s="557" t="str">
        <f>附表!$L$62&amp;"，以及水上生存装备。"</f>
        <v>参见《特工手册》的“本职装备：联邦探员”，以及水上生存装备。</v>
      </c>
      <c r="AO83" s="560">
        <f t="shared" si="2"/>
        <v>83</v>
      </c>
    </row>
    <row r="84" spans="1:41">
      <c r="A84" t="s" s="557">
        <v>440</v>
      </c>
      <c r="AF84" t="s" s="557">
        <v>186</v>
      </c>
      <c r="AJ84" t="s" s="557">
        <v>65</v>
      </c>
      <c r="AK84" t="s" s="557">
        <v>441</v>
      </c>
      <c r="AL84" t="s" s="557">
        <v>442</v>
      </c>
      <c r="AM84" t="s" s="557">
        <v>98</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443</v>
      </c>
      <c r="AF85" t="s" s="557">
        <v>186</v>
      </c>
      <c r="AJ85" t="s" s="557">
        <v>77</v>
      </c>
      <c r="AK85" t="s" s="557">
        <v>99</v>
      </c>
      <c r="AL85" t="s" s="557">
        <v>74</v>
      </c>
      <c r="AM85" t="s" s="557">
        <v>106</v>
      </c>
      <c r="AN85" s="557" t="str">
        <f>附表!$L$62&amp;"，以及各式各样的交通工具。"</f>
        <v>参见《特工手册》的“本职装备：联邦探员”，以及各式各样的交通工具。</v>
      </c>
      <c r="AO85" s="560">
        <f t="shared" si="2"/>
        <v>85</v>
      </c>
    </row>
    <row r="86" spans="1:41">
      <c r="A86" t="s" s="557">
        <v>444</v>
      </c>
      <c r="C86" s="557">
        <v>2</v>
      </c>
      <c r="D86" t="s" s="557">
        <v>188</v>
      </c>
      <c r="E86" t="s" s="557">
        <v>445</v>
      </c>
      <c r="F86" t="s" s="557">
        <v>189</v>
      </c>
      <c r="G86" t="s" s="557">
        <v>190</v>
      </c>
      <c r="H86" t="s" s="557">
        <v>191</v>
      </c>
      <c r="I86" t="s" s="557">
        <v>192</v>
      </c>
      <c r="J86" t="s" s="557">
        <v>446</v>
      </c>
      <c r="K86" t="s" s="557">
        <v>256</v>
      </c>
      <c r="L86" t="s" s="557">
        <v>194</v>
      </c>
      <c r="M86" t="s" s="557">
        <v>357</v>
      </c>
      <c r="N86" t="s" s="557">
        <v>195</v>
      </c>
      <c r="O86" t="s" s="557">
        <v>201</v>
      </c>
      <c r="P86" t="s" s="557">
        <v>196</v>
      </c>
      <c r="Q86" t="s" s="557">
        <v>391</v>
      </c>
      <c r="R86" t="s" s="557">
        <v>197</v>
      </c>
      <c r="AJ86" t="s" s="557">
        <v>65</v>
      </c>
      <c r="AK86" t="s" s="557">
        <v>101</v>
      </c>
      <c r="AL86" t="s" s="557">
        <v>68</v>
      </c>
      <c r="AM86" t="s" s="557">
        <v>447</v>
      </c>
      <c r="AN86" s="557" t="str">
        <f>附表!$L$62&amp;"。"</f>
        <v>参见《特工手册》的“本职装备：联邦探员”。</v>
      </c>
      <c r="AO86" s="560">
        <f t="shared" si="2"/>
        <v>86</v>
      </c>
    </row>
    <row r="87" spans="1:41">
      <c r="A87" s="561" t="s">
        <v>448</v>
      </c>
      <c r="C87" s="557">
        <v>2</v>
      </c>
      <c r="D87" t="s" s="557">
        <v>181</v>
      </c>
      <c r="E87" t="s" s="557">
        <v>204</v>
      </c>
      <c r="F87" t="s" s="557">
        <v>208</v>
      </c>
      <c r="G87" t="s" s="557">
        <v>205</v>
      </c>
      <c r="H87" t="s" s="557">
        <v>278</v>
      </c>
      <c r="I87" t="s" s="557">
        <v>165</v>
      </c>
      <c r="J87" t="s" s="557">
        <v>201</v>
      </c>
      <c r="K87" t="s" s="557">
        <v>449</v>
      </c>
      <c r="L87" t="s" s="557">
        <v>196</v>
      </c>
      <c r="M87" t="s" s="557">
        <v>211</v>
      </c>
      <c r="N87" t="s" s="557">
        <v>322</v>
      </c>
      <c r="AJ87" t="s" s="557">
        <v>101</v>
      </c>
      <c r="AK87" t="s" s="557">
        <v>103</v>
      </c>
      <c r="AL87" t="s" s="557">
        <v>66</v>
      </c>
      <c r="AM87" t="s" s="557">
        <v>106</v>
      </c>
      <c r="AN87" s="557" t="str">
        <f>附表!$L$62&amp;"，及丰富的医疗用品和创伤设备。"</f>
        <v>参见《特工手册》的“本职装备：联邦探员”，及丰富的医疗用品和创伤设备。</v>
      </c>
      <c r="AO87" s="560">
        <f t="shared" si="2"/>
        <v>87</v>
      </c>
    </row>
    <row r="88" spans="1:41">
      <c r="A88" s="561" t="s">
        <v>450</v>
      </c>
      <c r="AF88" t="s" s="557">
        <v>364</v>
      </c>
      <c r="AJ88" t="s" s="557">
        <v>65</v>
      </c>
      <c r="AK88" t="s" s="557">
        <v>100</v>
      </c>
      <c r="AL88" t="s" s="557">
        <v>451</v>
      </c>
      <c r="AM88" t="s" s="557">
        <v>372</v>
      </c>
      <c r="AN88" t="s" s="557">
        <v>452</v>
      </c>
      <c r="AO88" s="560">
        <f t="shared" si="2"/>
        <v>88</v>
      </c>
    </row>
    <row r="89" spans="1:41">
      <c r="A89" t="s" s="557">
        <v>453</v>
      </c>
      <c r="AF89" t="s" s="557">
        <v>186</v>
      </c>
      <c r="AJ89" t="s" s="557">
        <v>441</v>
      </c>
      <c r="AK89" t="s" s="557">
        <v>68</v>
      </c>
      <c r="AL89" t="s" s="557">
        <v>98</v>
      </c>
      <c r="AM89" t="s" s="557">
        <v>106</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454</v>
      </c>
      <c r="C90" s="557">
        <v>1</v>
      </c>
      <c r="D90" t="s" s="557">
        <v>188</v>
      </c>
      <c r="E90" t="s" s="557">
        <v>160</v>
      </c>
      <c r="F90" t="s" s="557">
        <v>189</v>
      </c>
      <c r="G90" t="s" s="557">
        <v>190</v>
      </c>
      <c r="H90" t="s" s="557">
        <v>191</v>
      </c>
      <c r="I90" t="s" s="557">
        <v>243</v>
      </c>
      <c r="J90" t="s" s="557">
        <v>192</v>
      </c>
      <c r="K90" t="s" s="557">
        <v>193</v>
      </c>
      <c r="L90" t="s" s="557">
        <v>194</v>
      </c>
      <c r="M90" t="s" s="557">
        <v>455</v>
      </c>
      <c r="N90" t="s" s="557">
        <v>320</v>
      </c>
      <c r="O90" t="s" s="557">
        <v>195</v>
      </c>
      <c r="P90" t="s" s="557">
        <v>201</v>
      </c>
      <c r="Q90" t="s" s="557">
        <v>196</v>
      </c>
      <c r="R90" t="s" s="557">
        <v>197</v>
      </c>
      <c r="AJ90" t="s" s="557">
        <v>101</v>
      </c>
      <c r="AK90" t="s" s="557">
        <v>103</v>
      </c>
      <c r="AL90" t="s" s="557">
        <v>456</v>
      </c>
      <c r="AM90" t="s" s="557">
        <v>104</v>
      </c>
      <c r="AN90" s="557" t="str">
        <f>附表!$L$62&amp;"，外加丰富的便携式急救和创伤设备。"</f>
        <v>参见《特工手册》的“本职装备：联邦探员”，外加丰富的便携式急救和创伤设备。</v>
      </c>
      <c r="AO90" s="560">
        <f t="shared" si="2"/>
        <v>90</v>
      </c>
    </row>
    <row r="91" spans="1:41">
      <c r="A91" t="s" s="557">
        <v>457</v>
      </c>
      <c r="C91" s="557">
        <v>1</v>
      </c>
      <c r="D91" t="s" s="557">
        <v>218</v>
      </c>
      <c r="E91" t="s" s="557">
        <v>219</v>
      </c>
      <c r="F91" t="s" s="557">
        <v>242</v>
      </c>
      <c r="G91" t="s" s="557">
        <v>458</v>
      </c>
      <c r="H91" t="s" s="557">
        <v>221</v>
      </c>
      <c r="I91" t="s" s="557">
        <v>289</v>
      </c>
      <c r="J91" t="s" s="557">
        <v>200</v>
      </c>
      <c r="K91" t="s" s="557">
        <v>222</v>
      </c>
      <c r="L91" t="s" s="557">
        <v>320</v>
      </c>
      <c r="M91" t="s" s="557">
        <v>169</v>
      </c>
      <c r="N91" t="s" s="557">
        <v>393</v>
      </c>
      <c r="O91" t="s" s="557">
        <v>172</v>
      </c>
      <c r="P91" t="s" s="557">
        <v>225</v>
      </c>
      <c r="Q91" t="s" s="557">
        <v>197</v>
      </c>
      <c r="AJ91" t="s" s="557">
        <v>77</v>
      </c>
      <c r="AK91" t="s" s="557">
        <v>95</v>
      </c>
      <c r="AL91" t="s" s="557">
        <v>101</v>
      </c>
      <c r="AM91" t="s" s="557">
        <v>115</v>
      </c>
      <c r="AN91" s="557" t="str">
        <f>附表!$L$62&amp;"。"</f>
        <v>参见《特工手册》的“本职装备：联邦探员”。</v>
      </c>
      <c r="AO91" s="560">
        <f t="shared" si="2"/>
        <v>91</v>
      </c>
    </row>
    <row r="92" spans="1:41">
      <c r="A92" s="561" t="s">
        <v>459</v>
      </c>
      <c r="AF92" t="s" s="557">
        <v>186</v>
      </c>
      <c r="AJ92" t="s" s="557">
        <v>93</v>
      </c>
      <c r="AK92" t="s" s="557">
        <v>109</v>
      </c>
      <c r="AL92" t="s" s="557">
        <v>101</v>
      </c>
      <c r="AM92" t="s" s="557">
        <v>61</v>
      </c>
      <c r="AN92" s="557" t="str">
        <f>附表!$L$62&amp;"。"</f>
        <v>参见《特工手册》的“本职装备：联邦探员”。</v>
      </c>
      <c r="AO92" s="560">
        <f t="shared" si="2"/>
        <v>92</v>
      </c>
    </row>
    <row r="93" spans="1:41">
      <c r="A93" t="s" s="557">
        <v>460</v>
      </c>
      <c r="C93" s="557">
        <v>3</v>
      </c>
      <c r="D93" t="s" s="557">
        <v>160</v>
      </c>
      <c r="E93" t="s" s="557">
        <v>212</v>
      </c>
      <c r="F93" t="s" s="557">
        <v>189</v>
      </c>
      <c r="G93" t="s" s="557">
        <v>446</v>
      </c>
      <c r="H93" t="s" s="557">
        <v>193</v>
      </c>
      <c r="I93" t="s" s="557">
        <v>214</v>
      </c>
      <c r="J93" t="s" s="557">
        <v>184</v>
      </c>
      <c r="K93" t="s" s="557">
        <v>461</v>
      </c>
      <c r="L93" t="s" s="557">
        <v>462</v>
      </c>
      <c r="M93" t="s" s="557">
        <v>449</v>
      </c>
      <c r="AJ93" t="s" s="557">
        <v>93</v>
      </c>
      <c r="AK93" t="s" s="557">
        <v>109</v>
      </c>
      <c r="AL93" t="s" s="557">
        <v>61</v>
      </c>
      <c r="AM93" t="s" s="557">
        <v>91</v>
      </c>
      <c r="AN93" t="s" s="557">
        <v>463</v>
      </c>
      <c r="AO93" s="560">
        <f t="shared" si="2"/>
        <v>93</v>
      </c>
    </row>
    <row r="94" spans="1:41">
      <c r="A94" t="s" s="557">
        <v>464</v>
      </c>
      <c r="C94" s="557">
        <v>1</v>
      </c>
      <c r="D94" t="s" s="557">
        <v>218</v>
      </c>
      <c r="E94" t="s" s="557">
        <v>219</v>
      </c>
      <c r="F94" t="s" s="557">
        <v>292</v>
      </c>
      <c r="G94" t="s" s="557">
        <v>383</v>
      </c>
      <c r="H94" t="s" s="557">
        <v>458</v>
      </c>
      <c r="I94" t="s" s="557">
        <v>191</v>
      </c>
      <c r="J94" t="s" s="557">
        <v>289</v>
      </c>
      <c r="K94" t="s" s="557">
        <v>279</v>
      </c>
      <c r="L94" t="s" s="557">
        <v>200</v>
      </c>
      <c r="M94" t="s" s="557">
        <v>356</v>
      </c>
      <c r="N94" t="s" s="557">
        <v>224</v>
      </c>
      <c r="O94" t="s" s="557">
        <v>172</v>
      </c>
      <c r="P94" t="s" s="557">
        <v>225</v>
      </c>
      <c r="Q94" t="s" s="557">
        <v>234</v>
      </c>
      <c r="AJ94" t="s" s="557">
        <v>93</v>
      </c>
      <c r="AK94" t="s" s="557">
        <v>95</v>
      </c>
      <c r="AL94" t="s" s="557">
        <v>109</v>
      </c>
      <c r="AM94" t="s" s="557">
        <v>465</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466</v>
      </c>
      <c r="AF95" t="s" s="557">
        <v>123</v>
      </c>
      <c r="AJ95" t="s" s="557">
        <v>87</v>
      </c>
      <c r="AK95" t="s" s="557">
        <v>93</v>
      </c>
      <c r="AL95" t="s" s="557">
        <v>115</v>
      </c>
      <c r="AM95" t="s" s="557">
        <v>100</v>
      </c>
      <c r="AN95" t="s" s="557">
        <v>467</v>
      </c>
      <c r="AO95" s="560">
        <f t="shared" si="2"/>
        <v>95</v>
      </c>
    </row>
    <row r="96" spans="1:41">
      <c r="A96" s="561" t="s">
        <v>468</v>
      </c>
      <c r="C96" s="557">
        <v>1</v>
      </c>
      <c r="D96" t="s" s="557">
        <v>218</v>
      </c>
      <c r="E96" t="s" s="557">
        <v>228</v>
      </c>
      <c r="F96" t="s" s="557">
        <v>282</v>
      </c>
      <c r="G96" t="s" s="557">
        <v>220</v>
      </c>
      <c r="H96" t="s" s="557">
        <v>190</v>
      </c>
      <c r="I96" t="s" s="557">
        <v>221</v>
      </c>
      <c r="J96" t="s" s="557">
        <v>200</v>
      </c>
      <c r="K96" t="s" s="557">
        <v>193</v>
      </c>
      <c r="L96" t="s" s="557">
        <v>232</v>
      </c>
      <c r="M96" t="s" s="557">
        <v>222</v>
      </c>
      <c r="N96" t="s" s="557">
        <v>169</v>
      </c>
      <c r="O96" t="s" s="557">
        <v>224</v>
      </c>
      <c r="P96" t="s" s="557">
        <v>172</v>
      </c>
      <c r="Q96" t="s" s="557">
        <v>225</v>
      </c>
      <c r="R96" t="s" s="557">
        <v>197</v>
      </c>
      <c r="AJ96" t="s" s="557">
        <v>77</v>
      </c>
      <c r="AK96" t="s" s="557">
        <v>103</v>
      </c>
      <c r="AL96" t="s" s="557">
        <v>447</v>
      </c>
      <c r="AM96" t="s" s="557">
        <v>98</v>
      </c>
      <c r="AN96" s="557" t="str">
        <f>附表!$L$62&amp;"。"</f>
        <v>参见《特工手册》的“本职装备：联邦探员”。</v>
      </c>
      <c r="AO96" s="560">
        <f t="shared" si="2"/>
        <v>96</v>
      </c>
    </row>
    <row r="97" spans="1:41">
      <c r="A97" s="561" t="s">
        <v>469</v>
      </c>
      <c r="C97" s="557">
        <v>1</v>
      </c>
      <c r="D97" t="s" s="557">
        <v>218</v>
      </c>
      <c r="E97" t="s" s="557">
        <v>219</v>
      </c>
      <c r="F97" t="s" s="557">
        <v>220</v>
      </c>
      <c r="G97" t="s" s="557">
        <v>190</v>
      </c>
      <c r="H97" t="s" s="557">
        <v>221</v>
      </c>
      <c r="I97" t="s" s="557">
        <v>289</v>
      </c>
      <c r="J97" t="s" s="557">
        <v>200</v>
      </c>
      <c r="K97" t="s" s="557">
        <v>222</v>
      </c>
      <c r="L97" t="s" s="557">
        <v>223</v>
      </c>
      <c r="M97" t="s" s="557">
        <v>169</v>
      </c>
      <c r="N97" t="s" s="557">
        <v>224</v>
      </c>
      <c r="O97" t="s" s="557">
        <v>172</v>
      </c>
      <c r="P97" t="s" s="557">
        <v>225</v>
      </c>
      <c r="Q97" t="s" s="557">
        <v>197</v>
      </c>
      <c r="AJ97" t="s" s="557">
        <v>65</v>
      </c>
      <c r="AK97" t="s" s="557">
        <v>93</v>
      </c>
      <c r="AL97" t="s" s="557">
        <v>101</v>
      </c>
      <c r="AM97" t="s" s="557">
        <v>61</v>
      </c>
      <c r="AN97" s="557" t="str">
        <f>附表!$L$62&amp;"。"</f>
        <v>参见《特工手册》的“本职装备：联邦探员”。</v>
      </c>
      <c r="AO97" s="560">
        <f t="shared" si="2"/>
        <v>97</v>
      </c>
    </row>
    <row r="98" spans="1:41">
      <c r="A98" s="561" t="s">
        <v>470</v>
      </c>
      <c r="AF98" t="s" s="557">
        <v>471</v>
      </c>
      <c r="AJ98" t="s" s="557">
        <v>60</v>
      </c>
      <c r="AK98" t="s" s="557">
        <v>87</v>
      </c>
      <c r="AL98" t="s" s="557">
        <v>93</v>
      </c>
      <c r="AM98" t="s" s="557">
        <v>100</v>
      </c>
      <c r="AN98" t="s" s="557">
        <v>472</v>
      </c>
      <c r="AO98" s="560">
        <f t="shared" si="2"/>
        <v>98</v>
      </c>
    </row>
    <row r="99" spans="1:41">
      <c r="A99" s="561" t="s">
        <v>473</v>
      </c>
      <c r="C99" s="557">
        <v>2</v>
      </c>
      <c r="D99" t="s" s="557">
        <v>218</v>
      </c>
      <c r="E99" t="s" s="557">
        <v>219</v>
      </c>
      <c r="F99" t="s" s="557">
        <v>240</v>
      </c>
      <c r="G99" t="s" s="557">
        <v>241</v>
      </c>
      <c r="H99" t="s" s="557">
        <v>243</v>
      </c>
      <c r="I99" t="s" s="557">
        <v>474</v>
      </c>
      <c r="J99" t="s" s="557">
        <v>256</v>
      </c>
      <c r="K99" t="s" s="557">
        <v>169</v>
      </c>
      <c r="L99" t="s" s="557">
        <v>475</v>
      </c>
      <c r="M99" t="s" s="557">
        <v>476</v>
      </c>
      <c r="N99" t="s" s="557">
        <v>359</v>
      </c>
      <c r="O99" t="s" s="557">
        <v>294</v>
      </c>
      <c r="AJ99" t="s" s="557">
        <v>65</v>
      </c>
      <c r="AK99" t="s" s="557">
        <v>103</v>
      </c>
      <c r="AL99" t="s" s="557">
        <v>74</v>
      </c>
      <c r="AM99" t="s" s="557">
        <v>107</v>
      </c>
      <c r="AN99" t="s" s="557">
        <v>477</v>
      </c>
      <c r="AO99" s="560">
        <f t="shared" si="2"/>
        <v>99</v>
      </c>
    </row>
    <row r="100" spans="1:41">
      <c r="A100" s="561" t="s">
        <v>478</v>
      </c>
      <c r="AF100" t="s" s="557">
        <v>312</v>
      </c>
      <c r="AJ100" t="s" s="557">
        <v>60</v>
      </c>
      <c r="AK100" t="s" s="557">
        <v>83</v>
      </c>
      <c r="AL100" t="s" s="557">
        <v>78</v>
      </c>
      <c r="AM100" t="s" s="557">
        <v>479</v>
      </c>
      <c r="AN100" t="s" s="557">
        <v>480</v>
      </c>
      <c r="AO100" s="560">
        <f t="shared" si="2"/>
        <v>100</v>
      </c>
    </row>
    <row r="101" spans="1:41">
      <c r="A101" s="561" t="s">
        <v>481</v>
      </c>
      <c r="AF101" t="s" s="557">
        <v>158</v>
      </c>
      <c r="AJ101" t="s" s="557">
        <v>482</v>
      </c>
      <c r="AK101" t="s" s="557">
        <v>109</v>
      </c>
      <c r="AL101" t="s" s="557">
        <v>115</v>
      </c>
      <c r="AM101" t="s" s="557">
        <v>98</v>
      </c>
      <c r="AN101" t="s" s="557">
        <v>483</v>
      </c>
      <c r="AO101" s="560">
        <f t="shared" si="2"/>
        <v>101</v>
      </c>
    </row>
    <row r="102" spans="1:41">
      <c r="A102" s="561" t="s">
        <v>484</v>
      </c>
      <c r="C102" s="557">
        <v>2</v>
      </c>
      <c r="D102" t="s" s="557">
        <v>218</v>
      </c>
      <c r="E102" t="s" s="557">
        <v>331</v>
      </c>
      <c r="F102" t="s" s="557">
        <v>270</v>
      </c>
      <c r="G102" t="s" s="557">
        <v>485</v>
      </c>
      <c r="H102" t="s" s="557">
        <v>486</v>
      </c>
      <c r="I102" t="s" s="557">
        <v>221</v>
      </c>
      <c r="J102" t="s" s="557">
        <v>341</v>
      </c>
      <c r="K102" t="s" s="557">
        <v>384</v>
      </c>
      <c r="L102" t="s" s="557">
        <v>169</v>
      </c>
      <c r="M102" t="s" s="557">
        <v>487</v>
      </c>
      <c r="N102" t="s" s="557">
        <v>272</v>
      </c>
      <c r="O102" t="s" s="557">
        <v>225</v>
      </c>
      <c r="AJ102" t="s" s="557">
        <v>65</v>
      </c>
      <c r="AK102" t="s" s="557">
        <v>488</v>
      </c>
      <c r="AL102" t="s" s="557">
        <v>101</v>
      </c>
      <c r="AM102" t="s" s="557">
        <v>365</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489</v>
      </c>
      <c r="C103" s="557">
        <v>2</v>
      </c>
      <c r="D103" t="s" s="557">
        <v>188</v>
      </c>
      <c r="E103" t="s" s="557">
        <v>331</v>
      </c>
      <c r="F103" t="s" s="557">
        <v>160</v>
      </c>
      <c r="G103" t="s" s="557">
        <v>189</v>
      </c>
      <c r="H103" t="s" s="557">
        <v>190</v>
      </c>
      <c r="I103" t="s" s="557">
        <v>191</v>
      </c>
      <c r="J103" t="s" s="557">
        <v>438</v>
      </c>
      <c r="K103" t="s" s="557">
        <v>192</v>
      </c>
      <c r="L103" t="s" s="557">
        <v>200</v>
      </c>
      <c r="M103" t="s" s="557">
        <v>193</v>
      </c>
      <c r="N103" t="s" s="557">
        <v>194</v>
      </c>
      <c r="O103" t="s" s="557">
        <v>195</v>
      </c>
      <c r="P103" t="s" s="557">
        <v>196</v>
      </c>
      <c r="Q103" t="s" s="557">
        <v>294</v>
      </c>
      <c r="R103" t="s" s="557">
        <v>197</v>
      </c>
      <c r="AJ103" t="s" s="557">
        <v>65</v>
      </c>
      <c r="AK103" t="s" s="557">
        <v>101</v>
      </c>
      <c r="AL103" t="s" s="557">
        <v>479</v>
      </c>
      <c r="AM103" t="s" s="557">
        <v>490</v>
      </c>
      <c r="AN103" s="557" t="str">
        <f>附表!$L$62&amp;"，以及基础水上生存装备。"</f>
        <v>参见《特工手册》的“本职装备：联邦探员”，以及基础水上生存装备。</v>
      </c>
      <c r="AO103" s="560">
        <f t="shared" si="2"/>
        <v>103</v>
      </c>
    </row>
    <row r="104" spans="1:41">
      <c r="A104" s="561" t="s">
        <v>491</v>
      </c>
      <c r="C104" s="557">
        <v>1</v>
      </c>
      <c r="D104" t="s" s="557">
        <v>218</v>
      </c>
      <c r="E104" t="s" s="557">
        <v>228</v>
      </c>
      <c r="F104" t="s" s="557">
        <v>270</v>
      </c>
      <c r="G104" t="s" s="557">
        <v>241</v>
      </c>
      <c r="H104" t="s" s="557">
        <v>250</v>
      </c>
      <c r="I104" t="s" s="557">
        <v>231</v>
      </c>
      <c r="J104" t="s" s="557">
        <v>200</v>
      </c>
      <c r="K104" t="s" s="557">
        <v>184</v>
      </c>
      <c r="L104" t="s" s="557">
        <v>384</v>
      </c>
      <c r="M104" t="s" s="557">
        <v>169</v>
      </c>
      <c r="N104" t="s" s="557">
        <v>492</v>
      </c>
      <c r="O104" t="s" s="557">
        <v>272</v>
      </c>
      <c r="P104" t="s" s="557">
        <v>493</v>
      </c>
      <c r="Q104" t="s" s="557">
        <v>294</v>
      </c>
      <c r="AJ104" t="s" s="557">
        <v>65</v>
      </c>
      <c r="AK104" t="s" s="557">
        <v>109</v>
      </c>
      <c r="AL104" t="s" s="557">
        <v>115</v>
      </c>
      <c r="AM104" t="s" s="557">
        <v>102</v>
      </c>
      <c r="AN104" s="557" t="str">
        <f>附表!$L$62&amp;"，以及基础水上生存装备。"</f>
        <v>参见《特工手册》的“本职装备：联邦探员”，以及基础水上生存装备。</v>
      </c>
      <c r="AO104" s="560">
        <f t="shared" si="2"/>
        <v>104</v>
      </c>
    </row>
    <row r="105" spans="1:41">
      <c r="A105" s="561" t="s">
        <v>494</v>
      </c>
      <c r="C105" s="557">
        <v>1</v>
      </c>
      <c r="D105" t="s" s="557">
        <v>218</v>
      </c>
      <c r="E105" t="s" s="557">
        <v>219</v>
      </c>
      <c r="F105" t="s" s="557">
        <v>220</v>
      </c>
      <c r="G105" t="s" s="557">
        <v>458</v>
      </c>
      <c r="H105" t="s" s="557">
        <v>221</v>
      </c>
      <c r="I105" t="s" s="557">
        <v>200</v>
      </c>
      <c r="J105" t="s" s="557">
        <v>222</v>
      </c>
      <c r="K105" t="s" s="557">
        <v>495</v>
      </c>
      <c r="L105" t="s" s="557">
        <v>169</v>
      </c>
      <c r="M105" t="s" s="557">
        <v>207</v>
      </c>
      <c r="N105" t="s" s="557">
        <v>224</v>
      </c>
      <c r="O105" t="s" s="557">
        <v>172</v>
      </c>
      <c r="P105" t="s" s="557">
        <v>225</v>
      </c>
      <c r="Q105" t="s" s="557">
        <v>197</v>
      </c>
      <c r="AJ105" t="s" s="557">
        <v>65</v>
      </c>
      <c r="AK105" t="s" s="557">
        <v>77</v>
      </c>
      <c r="AL105" t="s" s="557">
        <v>101</v>
      </c>
      <c r="AM105" t="s" s="557">
        <v>61</v>
      </c>
      <c r="AN105" s="557" t="str">
        <f>附表!$L$65&amp;"，以及用于逮捕和拘留嫌疑人的限制性工具。"</f>
        <v>参见《特工手册》的“本职装备：特种作战员”，以及用于逮捕和拘留嫌疑人的限制性工具。</v>
      </c>
      <c r="AO105" s="560">
        <f t="shared" si="2"/>
        <v>105</v>
      </c>
    </row>
    <row r="106" spans="1:41">
      <c r="A106" s="561" t="s">
        <v>496</v>
      </c>
      <c r="AF106" t="s" s="557">
        <v>117</v>
      </c>
      <c r="AJ106" t="s" s="557">
        <v>83</v>
      </c>
      <c r="AK106" t="s" s="557">
        <v>296</v>
      </c>
      <c r="AL106" t="s" s="557">
        <v>497</v>
      </c>
      <c r="AM106" t="s" s="557">
        <v>498</v>
      </c>
      <c r="AN106" t="s" s="557">
        <v>499</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500</v>
      </c>
      <c r="B1" s="556" t="s">
        <v>501</v>
      </c>
      <c r="C1" s="564"/>
      <c r="D1" s="564"/>
      <c r="E1" s="564"/>
      <c r="F1" s="564"/>
      <c r="G1" s="564"/>
      <c r="H1" s="564"/>
      <c r="I1" s="564"/>
      <c r="J1" s="556" t="s">
        <v>502</v>
      </c>
      <c r="K1" s="556" t="s">
        <v>503</v>
      </c>
      <c r="L1" s="564"/>
      <c r="M1" s="564"/>
      <c r="N1" s="564"/>
      <c r="O1" s="564"/>
      <c r="P1" s="564"/>
      <c r="Q1" s="564"/>
    </row>
    <row r="2" spans="1:17">
      <c r="A2" t="s" s="557">
        <v>504</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505</v>
      </c>
      <c r="B3" t="s" s="557">
        <v>65</v>
      </c>
      <c r="C3" t="s" s="557">
        <v>506</v>
      </c>
      <c r="D3" t="s" s="557">
        <v>96</v>
      </c>
      <c r="E3" t="s" s="557">
        <v>78</v>
      </c>
      <c r="F3" t="s" s="557">
        <v>507</v>
      </c>
      <c r="G3" t="s" s="557">
        <v>507</v>
      </c>
      <c r="H3" t="s" s="557">
        <v>507</v>
      </c>
      <c r="I3" t="s" s="557">
        <v>115</v>
      </c>
    </row>
    <row r="4" spans="1:17">
      <c r="A4" t="s" s="557">
        <v>119</v>
      </c>
      <c r="B4" t="s" s="557">
        <v>65</v>
      </c>
      <c r="C4" t="s" s="557">
        <v>77</v>
      </c>
      <c r="D4" t="s" s="557">
        <v>97</v>
      </c>
      <c r="E4" t="s" s="557">
        <v>103</v>
      </c>
      <c r="F4" t="s" s="557">
        <v>115</v>
      </c>
      <c r="G4" t="s" s="557">
        <v>78</v>
      </c>
      <c r="H4" t="s" s="557">
        <v>107</v>
      </c>
      <c r="I4" t="s" s="557">
        <v>108</v>
      </c>
    </row>
    <row r="5" spans="1:17">
      <c r="A5" t="s" s="557">
        <v>508</v>
      </c>
      <c r="B5" t="s" s="557">
        <v>507</v>
      </c>
      <c r="C5" t="s" s="557">
        <v>67</v>
      </c>
      <c r="D5" s="561" t="s">
        <v>83</v>
      </c>
      <c r="E5" t="s" s="557">
        <v>114</v>
      </c>
      <c r="F5" t="s" s="557">
        <v>61</v>
      </c>
      <c r="G5" t="s" s="557">
        <v>76</v>
      </c>
      <c r="H5" t="s" s="557">
        <v>78</v>
      </c>
      <c r="I5" t="s" s="557">
        <v>115</v>
      </c>
    </row>
    <row r="6" spans="1:17">
      <c r="A6" t="s" s="557">
        <v>509</v>
      </c>
      <c r="B6" t="s" s="557">
        <v>65</v>
      </c>
      <c r="C6" t="s" s="557">
        <v>77</v>
      </c>
      <c r="D6" t="s" s="557">
        <v>510</v>
      </c>
      <c r="E6" t="s" s="557">
        <v>511</v>
      </c>
      <c r="F6" t="s" s="557">
        <v>93</v>
      </c>
      <c r="G6" t="s" s="557">
        <v>96</v>
      </c>
      <c r="H6" t="s" s="557">
        <v>98</v>
      </c>
      <c r="I6" t="s" s="557">
        <v>102</v>
      </c>
    </row>
    <row r="7" spans="1:17">
      <c r="A7" t="s" s="557">
        <v>512</v>
      </c>
      <c r="B7" t="s" s="557">
        <v>65</v>
      </c>
      <c r="C7" t="s" s="557">
        <v>506</v>
      </c>
      <c r="D7" t="s" s="557">
        <v>506</v>
      </c>
      <c r="E7" t="s" s="557">
        <v>99</v>
      </c>
      <c r="F7" t="s" s="557">
        <v>103</v>
      </c>
      <c r="G7" t="s" s="557">
        <v>112</v>
      </c>
      <c r="H7" t="s" s="557">
        <v>74</v>
      </c>
      <c r="I7" t="s" s="557">
        <v>98</v>
      </c>
    </row>
    <row r="8" spans="1:17">
      <c r="A8" t="s" s="557">
        <v>513</v>
      </c>
      <c r="B8" t="s" s="557">
        <v>60</v>
      </c>
      <c r="C8" t="s" s="557">
        <v>83</v>
      </c>
      <c r="D8" t="s" s="557">
        <v>87</v>
      </c>
      <c r="E8" t="s" s="557">
        <v>93</v>
      </c>
      <c r="F8" t="s" s="557">
        <v>115</v>
      </c>
      <c r="G8" t="s" s="557">
        <v>61</v>
      </c>
      <c r="H8" t="s" s="557">
        <v>78</v>
      </c>
      <c r="I8" t="s" s="557">
        <v>514</v>
      </c>
    </row>
    <row r="9" spans="1:17">
      <c r="A9" t="s" s="557">
        <v>515</v>
      </c>
      <c r="B9" t="s" s="557">
        <v>516</v>
      </c>
      <c r="C9" t="s" s="557">
        <v>114</v>
      </c>
      <c r="D9" t="s" s="557">
        <v>115</v>
      </c>
      <c r="E9" t="s" s="557">
        <v>76</v>
      </c>
      <c r="F9" t="s" s="557">
        <v>78</v>
      </c>
      <c r="G9" t="s" s="557">
        <v>91</v>
      </c>
    </row>
    <row r="10" spans="1:17">
      <c r="A10" t="s" s="557">
        <v>517</v>
      </c>
      <c r="B10" t="s" s="557">
        <v>65</v>
      </c>
      <c r="C10" t="s" s="557">
        <v>97</v>
      </c>
      <c r="D10" t="s" s="557">
        <v>101</v>
      </c>
      <c r="E10" t="s" s="557">
        <v>103</v>
      </c>
      <c r="F10" t="s" s="557">
        <v>113</v>
      </c>
      <c r="G10" t="s" s="557">
        <v>68</v>
      </c>
      <c r="H10" t="s" s="557">
        <v>102</v>
      </c>
      <c r="I10" t="s" s="557">
        <v>108</v>
      </c>
    </row>
    <row r="11" spans="1:17">
      <c r="A11" t="s" s="557">
        <v>518</v>
      </c>
      <c r="B11" t="s" s="557">
        <v>87</v>
      </c>
      <c r="C11" t="s" s="557">
        <v>368</v>
      </c>
      <c r="D11" t="s" s="557">
        <v>375</v>
      </c>
      <c r="E11" t="s" s="557">
        <v>100</v>
      </c>
      <c r="F11" t="s" s="557">
        <v>519</v>
      </c>
    </row>
    <row r="12" spans="1:17">
      <c r="A12" t="s" s="557">
        <v>520</v>
      </c>
      <c r="B12" t="s" s="557">
        <v>83</v>
      </c>
      <c r="C12" t="s" s="557">
        <v>103</v>
      </c>
      <c r="D12" t="s" s="557">
        <v>338</v>
      </c>
      <c r="E12" t="s" s="557">
        <v>115</v>
      </c>
      <c r="F12" t="s" s="557">
        <v>61</v>
      </c>
      <c r="G12" t="s" s="557">
        <v>78</v>
      </c>
      <c r="H12" t="s" s="557">
        <v>91</v>
      </c>
      <c r="I12" t="s" s="557">
        <v>98</v>
      </c>
    </row>
    <row r="13" spans="1:17">
      <c r="A13" t="s" s="557">
        <v>521</v>
      </c>
      <c r="B13" t="s" s="557">
        <v>60</v>
      </c>
      <c r="C13" t="s" s="557">
        <v>83</v>
      </c>
      <c r="D13" t="s" s="557">
        <v>87</v>
      </c>
      <c r="E13" t="s" s="557">
        <v>93</v>
      </c>
      <c r="F13" t="s" s="557">
        <v>109</v>
      </c>
      <c r="G13" t="s" s="557">
        <v>61</v>
      </c>
      <c r="H13" t="s" s="557">
        <v>84</v>
      </c>
      <c r="I13" t="s" s="557">
        <v>98</v>
      </c>
    </row>
    <row r="14" spans="1:17">
      <c r="A14" t="s" s="557">
        <v>522</v>
      </c>
      <c r="B14" t="s" s="557">
        <v>65</v>
      </c>
      <c r="C14" t="s" s="557">
        <v>95</v>
      </c>
      <c r="D14" t="s" s="557">
        <v>99</v>
      </c>
      <c r="E14" t="s" s="557">
        <v>103</v>
      </c>
      <c r="F14" t="s" s="557">
        <v>109</v>
      </c>
      <c r="G14" t="s" s="557">
        <v>112</v>
      </c>
      <c r="H14" t="s" s="557">
        <v>74</v>
      </c>
      <c r="I14" t="s" s="557">
        <v>98</v>
      </c>
    </row>
    <row r="15" spans="1:17">
      <c r="A15" t="s" s="557">
        <v>523</v>
      </c>
      <c r="B15" t="s" s="557">
        <v>65</v>
      </c>
      <c r="C15" t="s" s="557">
        <v>93</v>
      </c>
      <c r="D15" t="s" s="557">
        <v>97</v>
      </c>
      <c r="E15" t="s" s="557">
        <v>99</v>
      </c>
      <c r="F15" t="s" s="557">
        <v>78</v>
      </c>
      <c r="G15" t="s" s="557">
        <v>102</v>
      </c>
      <c r="J15" s="565">
        <v>2</v>
      </c>
      <c r="K15" t="s" s="557">
        <v>77</v>
      </c>
      <c r="L15" t="s" s="557">
        <v>338</v>
      </c>
      <c r="M15" t="s" s="557">
        <v>101</v>
      </c>
      <c r="N15" t="s" s="557">
        <v>115</v>
      </c>
      <c r="O15" t="s" s="557">
        <v>68</v>
      </c>
      <c r="P15" t="s" s="557">
        <v>84</v>
      </c>
      <c r="Q15" t="s" s="557">
        <v>108</v>
      </c>
    </row>
    <row r="16" spans="1:17">
      <c r="A16" t="s" s="557">
        <v>524</v>
      </c>
      <c r="B16" t="s" s="557">
        <v>93</v>
      </c>
      <c r="C16" t="s" s="557">
        <v>338</v>
      </c>
      <c r="D16" t="s" s="557">
        <v>338</v>
      </c>
      <c r="E16" t="s" s="557">
        <v>115</v>
      </c>
      <c r="F16" t="s" s="557">
        <v>61</v>
      </c>
      <c r="G16" t="s" s="557">
        <v>78</v>
      </c>
      <c r="H16" t="s" s="557">
        <v>84</v>
      </c>
      <c r="I16" t="s" s="557">
        <v>98</v>
      </c>
    </row>
    <row r="17" spans="1:16">
      <c r="A17" t="s" s="557">
        <v>525</v>
      </c>
      <c r="B17" t="s" s="557">
        <v>526</v>
      </c>
      <c r="C17" t="s" s="557">
        <v>507</v>
      </c>
      <c r="D17" t="s" s="557">
        <v>338</v>
      </c>
      <c r="E17" t="s" s="557">
        <v>114</v>
      </c>
      <c r="F17" t="s" s="557">
        <v>78</v>
      </c>
      <c r="G17" t="s" s="557">
        <v>527</v>
      </c>
    </row>
    <row r="18" spans="1:16">
      <c r="A18" t="s" s="557">
        <v>528</v>
      </c>
      <c r="B18" t="s" s="557">
        <v>83</v>
      </c>
      <c r="C18" t="s" s="557">
        <v>101</v>
      </c>
      <c r="D18" t="s" s="557">
        <v>114</v>
      </c>
      <c r="E18" t="s" s="557">
        <v>529</v>
      </c>
      <c r="F18" t="s" s="557">
        <v>74</v>
      </c>
      <c r="G18" t="s" s="557">
        <v>78</v>
      </c>
      <c r="H18" t="s" s="557">
        <v>108</v>
      </c>
      <c r="J18" s="565">
        <v>1</v>
      </c>
      <c r="K18" t="s" s="557">
        <v>75</v>
      </c>
      <c r="L18" t="s" s="557">
        <v>112</v>
      </c>
      <c r="M18" t="s" s="557">
        <v>113</v>
      </c>
      <c r="N18" t="s" s="557">
        <v>115</v>
      </c>
      <c r="O18" t="s" s="557">
        <v>530</v>
      </c>
      <c r="P18" t="s" s="557">
        <v>100</v>
      </c>
    </row>
    <row r="19" spans="1:16">
      <c r="A19" t="s" s="557">
        <v>531</v>
      </c>
      <c r="B19" t="s" s="557">
        <v>60</v>
      </c>
      <c r="C19" t="s" s="557">
        <v>83</v>
      </c>
      <c r="D19" t="s" s="557">
        <v>115</v>
      </c>
      <c r="E19" t="s" s="557">
        <v>61</v>
      </c>
      <c r="F19" t="s" s="557">
        <v>78</v>
      </c>
      <c r="G19" t="s" s="557">
        <v>527</v>
      </c>
    </row>
    <row r="20" spans="1:16">
      <c r="A20" t="s" s="557">
        <v>532</v>
      </c>
      <c r="B20" t="s" s="557">
        <v>65</v>
      </c>
      <c r="C20" t="s" s="557">
        <v>103</v>
      </c>
      <c r="D20" t="s" s="557">
        <v>66</v>
      </c>
      <c r="E20" t="s" s="557">
        <v>78</v>
      </c>
      <c r="F20" t="s" s="557">
        <v>84</v>
      </c>
      <c r="G20" t="s" s="557">
        <v>91</v>
      </c>
      <c r="H20" t="s" s="557">
        <v>334</v>
      </c>
      <c r="I20" t="s" s="557">
        <v>98</v>
      </c>
    </row>
    <row r="21" spans="1:16">
      <c r="A21" t="s" s="557">
        <v>533</v>
      </c>
      <c r="B21" t="s" s="557">
        <v>67</v>
      </c>
      <c r="C21" t="s" s="557">
        <v>70</v>
      </c>
      <c r="D21" t="s" s="557">
        <v>87</v>
      </c>
      <c r="E21" t="s" s="557">
        <v>93</v>
      </c>
      <c r="F21" t="s" s="557">
        <v>114</v>
      </c>
      <c r="G21" t="s" s="557">
        <v>76</v>
      </c>
      <c r="H21" t="s" s="557">
        <v>78</v>
      </c>
      <c r="I21" t="s" s="557">
        <v>98</v>
      </c>
    </row>
    <row r="22" spans="1:16">
      <c r="A22" t="s" s="557">
        <v>534</v>
      </c>
      <c r="B22" t="s" s="557">
        <v>65</v>
      </c>
      <c r="C22" t="s" s="557">
        <v>77</v>
      </c>
      <c r="D22" t="s" s="557">
        <v>101</v>
      </c>
      <c r="E22" t="s" s="557">
        <v>74</v>
      </c>
      <c r="F22" t="s" s="557">
        <v>92</v>
      </c>
      <c r="G22" t="s" s="557">
        <v>98</v>
      </c>
      <c r="H22" t="s" s="557">
        <v>102</v>
      </c>
      <c r="I22" t="s" s="557">
        <v>106</v>
      </c>
    </row>
    <row r="23" spans="1:16">
      <c r="A23" t="s" s="557">
        <v>535</v>
      </c>
      <c r="B23" t="s" s="557">
        <v>65</v>
      </c>
      <c r="C23" t="s" s="557">
        <v>536</v>
      </c>
      <c r="D23" t="s" s="557">
        <v>87</v>
      </c>
      <c r="E23" t="s" s="557">
        <v>78</v>
      </c>
      <c r="F23" t="s" s="557">
        <v>98</v>
      </c>
      <c r="G23" t="s" s="557">
        <v>102</v>
      </c>
      <c r="H23" t="s" s="557">
        <v>537</v>
      </c>
    </row>
    <row r="24" spans="1:16">
      <c r="A24" t="s" s="557">
        <v>538</v>
      </c>
      <c r="B24" t="s" s="557">
        <v>65</v>
      </c>
      <c r="C24" t="s" s="557">
        <v>488</v>
      </c>
      <c r="D24" t="s" s="557">
        <v>103</v>
      </c>
      <c r="E24" t="s" s="557">
        <v>338</v>
      </c>
      <c r="F24" t="s" s="557">
        <v>74</v>
      </c>
      <c r="G24" t="s" s="557">
        <v>530</v>
      </c>
      <c r="H24" t="s" s="557">
        <v>106</v>
      </c>
      <c r="I24" t="s" s="557">
        <v>107</v>
      </c>
    </row>
    <row r="25" spans="1:16">
      <c r="A25" t="s" s="557">
        <v>539</v>
      </c>
      <c r="B25" t="s" s="557">
        <v>65</v>
      </c>
      <c r="C25" t="s" s="557">
        <v>93</v>
      </c>
      <c r="D25" t="s" s="557">
        <v>99</v>
      </c>
      <c r="E25" t="s" s="557">
        <v>101</v>
      </c>
      <c r="F25" t="s" s="557">
        <v>115</v>
      </c>
      <c r="G25" t="s" s="557">
        <v>61</v>
      </c>
      <c r="H25" t="s" s="557">
        <v>68</v>
      </c>
      <c r="I25" t="s" s="557">
        <v>108</v>
      </c>
    </row>
    <row r="26" spans="1:16">
      <c r="A26" t="s" s="557">
        <v>540</v>
      </c>
      <c r="B26" t="s" s="557">
        <v>83</v>
      </c>
      <c r="C26" t="s" s="557">
        <v>87</v>
      </c>
      <c r="D26" t="s" s="557">
        <v>506</v>
      </c>
      <c r="E26" t="s" s="557">
        <v>338</v>
      </c>
      <c r="F26" t="s" s="557">
        <v>302</v>
      </c>
      <c r="G26" t="s" s="557">
        <v>302</v>
      </c>
      <c r="H26" t="s" s="557">
        <v>302</v>
      </c>
      <c r="J26" s="565">
        <v>1</v>
      </c>
      <c r="K26" t="s" s="557">
        <v>60</v>
      </c>
      <c r="L26" t="s" s="557">
        <v>109</v>
      </c>
      <c r="M26" t="s" s="557">
        <v>61</v>
      </c>
      <c r="N26" t="s" s="557">
        <v>84</v>
      </c>
    </row>
    <row r="27" spans="1:16">
      <c r="A27" t="s" s="557">
        <v>541</v>
      </c>
      <c r="B27" t="s" s="557">
        <v>83</v>
      </c>
      <c r="C27" t="s" s="557">
        <v>93</v>
      </c>
      <c r="D27" t="s" s="557">
        <v>109</v>
      </c>
      <c r="E27" t="s" s="557">
        <v>338</v>
      </c>
      <c r="F27" t="s" s="557">
        <v>115</v>
      </c>
      <c r="G27" t="s" s="557">
        <v>61</v>
      </c>
      <c r="H27" t="s" s="557">
        <v>78</v>
      </c>
      <c r="I27" t="s" s="557">
        <v>98</v>
      </c>
    </row>
    <row r="28" spans="1:16">
      <c r="A28" t="s" s="557">
        <v>542</v>
      </c>
      <c r="B28" t="s" s="557">
        <v>65</v>
      </c>
      <c r="C28" t="s" s="557">
        <v>75</v>
      </c>
      <c r="D28" t="s" s="557">
        <v>77</v>
      </c>
      <c r="E28" t="s" s="557">
        <v>99</v>
      </c>
      <c r="F28" t="s" s="557">
        <v>101</v>
      </c>
      <c r="G28" t="s" s="557">
        <v>113</v>
      </c>
      <c r="H28" t="s" s="557">
        <v>447</v>
      </c>
      <c r="I28" t="s" s="557">
        <v>108</v>
      </c>
    </row>
    <row r="29" spans="1:16">
      <c r="A29" t="s" s="557">
        <v>543</v>
      </c>
      <c r="B29" t="s" s="557">
        <v>67</v>
      </c>
      <c r="C29" t="s" s="557">
        <v>338</v>
      </c>
      <c r="D29" t="s" s="557">
        <v>338</v>
      </c>
      <c r="E29" t="s" s="557">
        <v>338</v>
      </c>
      <c r="F29" t="s" s="557">
        <v>114</v>
      </c>
      <c r="G29" t="s" s="557">
        <v>115</v>
      </c>
      <c r="H29" t="s" s="557">
        <v>78</v>
      </c>
      <c r="I29" t="s" s="557">
        <v>514</v>
      </c>
    </row>
    <row r="30" spans="1:16">
      <c r="A30" t="s" s="557">
        <v>544</v>
      </c>
      <c r="B30" t="s" s="557">
        <v>65</v>
      </c>
      <c r="C30" t="s" s="557">
        <v>77</v>
      </c>
      <c r="D30" t="s" s="557">
        <v>506</v>
      </c>
      <c r="E30" t="s" s="557">
        <v>61</v>
      </c>
      <c r="F30" t="s" s="557">
        <v>74</v>
      </c>
      <c r="G30" t="s" s="557">
        <v>78</v>
      </c>
      <c r="H30" t="s" s="557">
        <v>98</v>
      </c>
      <c r="I30" t="s" s="557">
        <v>102</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545</v>
      </c>
      <c r="C1" t="s" s="566">
        <v>546</v>
      </c>
      <c r="E1" t="s" s="566">
        <v>333</v>
      </c>
      <c r="G1" t="s" s="566">
        <v>360</v>
      </c>
      <c r="I1" t="s" s="566">
        <v>547</v>
      </c>
    </row>
    <row r="2" spans="1:9">
      <c r="A2" t="s" s="557">
        <v>548</v>
      </c>
      <c r="C2" t="s" s="557">
        <v>549</v>
      </c>
      <c r="E2" t="s" s="557">
        <v>550</v>
      </c>
      <c r="G2" t="s" s="557">
        <v>551</v>
      </c>
      <c r="I2" t="s" s="557">
        <v>552</v>
      </c>
    </row>
    <row r="3" spans="1:9">
      <c r="A3" t="s" s="557">
        <v>553</v>
      </c>
      <c r="C3" t="s" s="557">
        <v>554</v>
      </c>
      <c r="E3" t="s" s="557">
        <v>555</v>
      </c>
      <c r="G3" t="s" s="557">
        <v>556</v>
      </c>
      <c r="I3" t="s" s="557">
        <v>557</v>
      </c>
    </row>
    <row r="4" spans="1:9">
      <c r="A4" t="s" s="557">
        <v>558</v>
      </c>
      <c r="C4" t="s" s="557">
        <v>559</v>
      </c>
      <c r="E4" t="s" s="557">
        <v>560</v>
      </c>
      <c r="G4" t="s" s="557">
        <v>561</v>
      </c>
      <c r="I4" t="s" s="557">
        <v>562</v>
      </c>
    </row>
    <row r="5" spans="1:9">
      <c r="A5" t="s" s="557">
        <v>563</v>
      </c>
      <c r="C5" t="s" s="557">
        <v>564</v>
      </c>
      <c r="G5" t="s" s="557">
        <v>565</v>
      </c>
      <c r="I5" t="s" s="557">
        <v>566</v>
      </c>
    </row>
    <row r="6" spans="1:9">
      <c r="A6" t="s" s="557">
        <v>567</v>
      </c>
      <c r="C6" t="s" s="557">
        <v>568</v>
      </c>
      <c r="G6" t="s" s="557">
        <v>569</v>
      </c>
      <c r="I6" t="s" s="557">
        <v>570</v>
      </c>
    </row>
    <row r="7" spans="1:9">
      <c r="A7" t="s" s="557">
        <v>571</v>
      </c>
      <c r="C7" t="s" s="557">
        <v>572</v>
      </c>
      <c r="G7" t="s" s="557">
        <v>573</v>
      </c>
      <c r="I7" t="s" s="557">
        <v>574</v>
      </c>
    </row>
    <row r="8" spans="1:9">
      <c r="A8" t="s" s="557">
        <v>575</v>
      </c>
      <c r="C8" t="s" s="557">
        <v>576</v>
      </c>
      <c r="G8" t="s" s="557">
        <v>577</v>
      </c>
      <c r="I8" t="s" s="557">
        <v>578</v>
      </c>
    </row>
    <row r="9" spans="1:9">
      <c r="A9" t="s" s="557">
        <v>579</v>
      </c>
      <c r="C9" t="s" s="557">
        <v>580</v>
      </c>
      <c r="G9" t="s" s="557">
        <v>581</v>
      </c>
      <c r="I9" t="s" s="557">
        <v>582</v>
      </c>
    </row>
    <row r="10" spans="1:9">
      <c r="A10" t="s" s="557">
        <v>583</v>
      </c>
      <c r="C10" t="s" s="557">
        <v>584</v>
      </c>
      <c r="I10" t="s" s="557">
        <v>585</v>
      </c>
    </row>
    <row r="11" spans="1:9">
      <c r="A11" t="s" s="557">
        <v>586</v>
      </c>
      <c r="C11" t="s" s="557">
        <v>587</v>
      </c>
      <c r="I11" t="s" s="557">
        <v>588</v>
      </c>
    </row>
    <row r="12" spans="1:9">
      <c r="C12" t="s" s="557">
        <v>589</v>
      </c>
      <c r="I12" t="s" s="557">
        <v>590</v>
      </c>
    </row>
    <row r="13" spans="1:9">
      <c r="C13" t="s" s="557">
        <v>591</v>
      </c>
      <c r="I13" t="s" s="557">
        <v>592</v>
      </c>
    </row>
    <row r="14" spans="1:9">
      <c r="I14" t="s" s="557">
        <v>593</v>
      </c>
    </row>
    <row r="15" spans="1:9">
      <c r="I15" t="s" s="557">
        <v>594</v>
      </c>
    </row>
    <row r="16" spans="1:9">
      <c r="I16" t="s" s="557">
        <v>595</v>
      </c>
    </row>
    <row r="17" spans="9:9">
      <c r="I17" t="s" s="557">
        <v>596</v>
      </c>
    </row>
    <row r="18" spans="9:9">
      <c r="I18" t="s" s="557">
        <v>597</v>
      </c>
    </row>
    <row r="19" spans="9:9">
      <c r="I19" t="s" s="557">
        <v>598</v>
      </c>
    </row>
    <row r="20" spans="9:9">
      <c r="I20" t="s" s="557">
        <v>599</v>
      </c>
    </row>
    <row r="21" spans="9:9">
      <c r="I21" t="s" s="557">
        <v>600</v>
      </c>
    </row>
    <row r="22" spans="9:9">
      <c r="I22" t="s" s="557">
        <v>601</v>
      </c>
    </row>
    <row r="23" spans="9:9">
      <c r="I23" t="s" s="557">
        <v>602</v>
      </c>
    </row>
    <row r="24" spans="9:9">
      <c r="I24" t="s" s="557">
        <v>603</v>
      </c>
    </row>
    <row r="25" spans="9:9">
      <c r="I25" t="s" s="557">
        <v>604</v>
      </c>
    </row>
    <row r="26" spans="9:9">
      <c r="I26" t="s" s="557">
        <v>605</v>
      </c>
    </row>
    <row r="27" spans="9:9">
      <c r="I27" t="s" s="557">
        <v>606</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607</v>
      </c>
      <c r="D1" s="567" t="s">
        <v>608</v>
      </c>
    </row>
    <row r="2" spans="1:50">
      <c r="A2" t="s" s="557">
        <v>12</v>
      </c>
      <c r="B2" s="557">
        <f>IF(ISBLANK(人物卡!AN3),人物卡!AH3,人物卡!AN3)</f>
        <v>0</v>
      </c>
      <c r="D2" s="557" t="str">
        <f>人物卡!ED24</f>
        <v/>
      </c>
    </row>
    <row r="3" spans="1:50">
      <c r="A3" t="s" s="557">
        <v>15</v>
      </c>
      <c r="B3" s="557">
        <f>IF(ISBLANK(人物卡!AN4),人物卡!AH4,人物卡!AN4)</f>
        <v>0</v>
      </c>
      <c r="D3" s="557" t="str">
        <f>人物卡!ED27</f>
        <v/>
      </c>
    </row>
    <row r="4" spans="1:50">
      <c r="A4" t="s" s="557">
        <v>19</v>
      </c>
      <c r="B4" s="557">
        <f>IF(ISBLANK(人物卡!AN5),人物卡!AH5,人物卡!AN5)</f>
        <v>0</v>
      </c>
      <c r="D4" s="557" t="str">
        <f>人物卡!ED30</f>
        <v/>
      </c>
    </row>
    <row r="5" spans="1:50">
      <c r="A5" t="s" s="557">
        <v>23</v>
      </c>
      <c r="B5" s="557">
        <f>IF(ISBLANK(人物卡!AN6),人物卡!AH6,人物卡!AN6)</f>
        <v>0</v>
      </c>
      <c r="D5" s="557" t="str">
        <f>人物卡!ED33</f>
        <v/>
      </c>
    </row>
    <row r="6" spans="1:50">
      <c r="A6" t="s" s="557">
        <v>26</v>
      </c>
      <c r="B6" s="557">
        <f>IF(ISBLANK(人物卡!AN7),人物卡!AH7,人物卡!AN7)</f>
        <v>0</v>
      </c>
      <c r="D6" s="557" t="str">
        <f>人物卡!ED36</f>
        <v/>
      </c>
    </row>
    <row r="7" spans="1:50">
      <c r="A7" t="s" s="557">
        <v>29</v>
      </c>
      <c r="B7" s="557">
        <f>IF(ISBLANK(人物卡!AN8),人物卡!AH8,人物卡!AN8)</f>
        <v>0</v>
      </c>
      <c r="D7" s="557" t="str">
        <f>人物卡!ED39</f>
        <v/>
      </c>
    </row>
    <row r="11" spans="1:50">
      <c r="A11" s="568" t="s">
        <v>609</v>
      </c>
      <c r="C11" t="s" s="557">
        <v>610</v>
      </c>
      <c r="D11" s="557" t="str">
        <f>IF(G11,INDEX(H63:H82,MATCH(IF(A63=1,B62,人物卡!H47),G63:G82,0)),A15)</f>
        <v>（创建新职业）</v>
      </c>
      <c r="F11" t="s" s="557">
        <v>611</v>
      </c>
      <c r="G11" s="557" t="b">
        <f>B62&lt;&gt;0</f>
        <v>0</v>
      </c>
      <c r="H11" t="s" s="557">
        <v>612</v>
      </c>
      <c r="I11" s="557" t="b">
        <f>AND(G11,A63&gt;1)</f>
        <v>0</v>
      </c>
    </row>
    <row r="12" spans="1:50">
      <c r="A12" t="s" s="557">
        <v>613</v>
      </c>
      <c r="B12" s="557">
        <f>MATCH(人物卡!$H$46,职业列表!A2:A505,0)</f>
        <v>1</v>
      </c>
      <c r="C12" t="s" s="557">
        <v>614</v>
      </c>
      <c r="D12" s="557">
        <f>MATCH(D11,职业列表!A2:A505,0)</f>
        <v>1</v>
      </c>
      <c r="H12" t="s" s="557">
        <v>615</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616</v>
      </c>
      <c r="C19" t="s" s="557">
        <v>617</v>
      </c>
      <c r="D19" s="557">
        <f>T16</f>
        <v>0</v>
      </c>
      <c r="F19" t="s" s="557">
        <v>618</v>
      </c>
      <c r="I19" s="570" t="s">
        <v>619</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620</v>
      </c>
      <c r="K20" t="s" s="557">
        <v>621</v>
      </c>
    </row>
    <row r="21" spans="1:49">
      <c r="A21" s="557" t="str">
        <v>技能点，额外加在基础值上，</v>
      </c>
      <c r="D21" s="557">
        <v>0</v>
      </c>
      <c r="F21" s="557">
        <v>0</v>
      </c>
      <c r="I21" s="557">
        <f t="shared" ref="I21" si="0">COUNTIF($A$16,J21&amp;"*")</f>
        <v>1</v>
      </c>
      <c r="J21" t="s" s="557">
        <v>151</v>
      </c>
      <c r="K21" t="s" s="557">
        <v>622</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623</v>
      </c>
      <c r="G36" s="571" t="s">
        <v>624</v>
      </c>
    </row>
    <row r="37" spans="1:25">
      <c r="A37" t="s" s="557">
        <v>625</v>
      </c>
      <c r="G37" t="s" s="557">
        <v>626</v>
      </c>
    </row>
    <row r="38" spans="1:25">
      <c r="A38" t="s" s="557">
        <v>627</v>
      </c>
      <c r="G38" t="s" s="557">
        <v>628</v>
      </c>
    </row>
    <row r="39" spans="1:25">
      <c r="A39" t="s" s="557">
        <v>629</v>
      </c>
      <c r="G39" t="s" s="557">
        <v>630</v>
      </c>
    </row>
    <row r="40" spans="1:25">
      <c r="A40" t="s" s="557">
        <v>631</v>
      </c>
      <c r="G40" t="s" s="557">
        <v>632</v>
      </c>
    </row>
    <row r="41" spans="1:25">
      <c r="A41" t="s" s="557">
        <v>633</v>
      </c>
    </row>
    <row r="45" spans="1:25">
      <c r="A45" s="571" t="s">
        <v>634</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635</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122</v>
      </c>
      <c r="B62" s="557">
        <f t="array" ref="B62:B65">TRANSPOSE(AF15:AI15)</f>
        <v>0</v>
      </c>
      <c r="G62" t="s" s="557">
        <v>636</v>
      </c>
      <c r="L62" t="s" s="557">
        <v>637</v>
      </c>
    </row>
    <row r="63" spans="1:12">
      <c r="A63" s="557">
        <f>COUNTIF(B62:B65,"&lt;&gt;0")</f>
        <v>0</v>
      </c>
      <c r="B63" s="557">
        <v>0</v>
      </c>
      <c r="G63" t="s" s="557">
        <v>186</v>
      </c>
      <c r="H63" s="557" t="str">
        <f>职业列表!A10</f>
        <v>联邦探员</v>
      </c>
      <c r="L63" t="s" s="557">
        <v>638</v>
      </c>
    </row>
    <row r="64" spans="1:12">
      <c r="B64" s="557">
        <v>0</v>
      </c>
      <c r="G64" t="s" s="557">
        <v>123</v>
      </c>
      <c r="H64" s="557" t="str">
        <f>职业列表!A17</f>
        <v>【额外】情报分析员</v>
      </c>
      <c r="L64" t="s" s="557">
        <v>639</v>
      </c>
    </row>
    <row r="65" spans="2:12">
      <c r="B65" s="557">
        <v>0</v>
      </c>
      <c r="G65" t="s" s="557">
        <v>298</v>
      </c>
      <c r="H65" s="557" t="str">
        <f>职业列表!A18</f>
        <v>【额外】情报官员</v>
      </c>
      <c r="L65" t="s" s="557">
        <v>640</v>
      </c>
    </row>
    <row r="66" spans="2:12">
      <c r="G66" t="s" s="557">
        <v>202</v>
      </c>
      <c r="H66" s="557" t="str">
        <f>职业列表!A11</f>
        <v>医生</v>
      </c>
      <c r="L66" t="s" s="557">
        <v>641</v>
      </c>
    </row>
    <row r="67" spans="2:12">
      <c r="G67" t="s" s="557">
        <v>117</v>
      </c>
      <c r="H67" s="557" t="str">
        <f>职业列表!A12</f>
        <v>科学家</v>
      </c>
    </row>
    <row r="68" spans="2:12">
      <c r="G68" t="s" s="557">
        <v>301</v>
      </c>
      <c r="H68" s="557" t="str">
        <f>职业列表!A9</f>
        <v>计算机科学家或工程师</v>
      </c>
    </row>
    <row r="69" spans="2:12">
      <c r="G69" t="s" s="557">
        <v>309</v>
      </c>
      <c r="H69" s="557" t="str">
        <f>职业列表!A23</f>
        <v>【额外】警察</v>
      </c>
    </row>
    <row r="70" spans="2:12">
      <c r="G70" t="s" s="557">
        <v>158</v>
      </c>
      <c r="H70" s="557" t="str">
        <f>职业列表!A8</f>
        <v>人类学家或历史学家</v>
      </c>
    </row>
    <row r="71" spans="2:12">
      <c r="G71" t="s" s="557">
        <v>311</v>
      </c>
      <c r="H71" s="557" t="str">
        <f>职业列表!A19</f>
        <v>【额外】律师或商务主管</v>
      </c>
    </row>
    <row r="72" spans="2:12">
      <c r="G72" t="s" s="557">
        <v>312</v>
      </c>
      <c r="H72" s="557" t="str">
        <f>职业列表!A24</f>
        <v>【额外】项目群经理</v>
      </c>
    </row>
    <row r="73" spans="2:12">
      <c r="G73" t="s" s="557">
        <v>325</v>
      </c>
      <c r="H73" s="557" t="str">
        <f>职业列表!A20</f>
        <v>【额外】媒体专家</v>
      </c>
    </row>
    <row r="74" spans="2:12">
      <c r="G74" t="s" s="557">
        <v>337</v>
      </c>
      <c r="H74" s="557" t="str">
        <f>职业列表!A25</f>
        <v>【额外】士兵或海军陆战队员</v>
      </c>
    </row>
    <row r="75" spans="2:12">
      <c r="G75" t="s" s="557">
        <v>216</v>
      </c>
      <c r="H75" s="557" t="str">
        <f>职业列表!A25</f>
        <v>【额外】士兵或海军陆战队员</v>
      </c>
    </row>
    <row r="76" spans="2:12">
      <c r="G76" t="s" s="557">
        <v>364</v>
      </c>
      <c r="H76" s="557" t="str">
        <f>职业列表!A22</f>
        <v>【额外】飞行员或水手</v>
      </c>
    </row>
    <row r="77" spans="2:12">
      <c r="G77" t="s" s="557">
        <v>173</v>
      </c>
      <c r="H77" s="557" t="str">
        <f>职业列表!A9</f>
        <v>计算机科学家或工程师</v>
      </c>
    </row>
    <row r="78" spans="2:12">
      <c r="G78" t="s" s="557">
        <v>413</v>
      </c>
      <c r="H78" s="557" t="str">
        <f>职业列表!A16</f>
        <v>【额外】外事官员</v>
      </c>
    </row>
    <row r="79" spans="2:12">
      <c r="G79" t="s" s="557">
        <v>428</v>
      </c>
      <c r="H79" t="s" s="557">
        <v>262</v>
      </c>
    </row>
    <row r="80" spans="2:12">
      <c r="G80" t="s" s="557">
        <v>471</v>
      </c>
      <c r="H80" t="s" s="557">
        <v>255</v>
      </c>
    </row>
    <row r="83" spans="1:8">
      <c r="A83" s="568" t="s">
        <v>642</v>
      </c>
      <c r="B83" s="557">
        <f>MATCH(人物卡!DF46,A84:A88,0)</f>
        <v>1</v>
      </c>
    </row>
    <row r="84" spans="1:8">
      <c r="A84" t="s" s="557">
        <v>643</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644</v>
      </c>
      <c r="B85" t="s" s="557">
        <v>645</v>
      </c>
      <c r="C85" t="s" s="557">
        <v>646</v>
      </c>
      <c r="D85" t="s" s="557">
        <v>647</v>
      </c>
      <c r="E85" t="s" s="557">
        <v>648</v>
      </c>
      <c r="F85" t="s" s="557">
        <v>649</v>
      </c>
      <c r="G85" t="s" s="557">
        <v>650</v>
      </c>
    </row>
    <row r="86" spans="1:8">
      <c r="A86" t="s" s="557">
        <v>651</v>
      </c>
      <c r="B86" t="s" s="557">
        <v>645</v>
      </c>
      <c r="C86" t="s" s="557">
        <v>646</v>
      </c>
      <c r="D86" t="s" s="557">
        <v>652</v>
      </c>
      <c r="E86" t="s" s="557">
        <v>653</v>
      </c>
      <c r="F86" s="557" t="str">
        <f>G85</f>
        <v>与掌局者商讨背景细节</v>
      </c>
      <c r="G86" s="557" t="str">
        <f>" "</f>
        <v> </v>
      </c>
    </row>
    <row r="87" spans="1:8">
      <c r="A87" t="s" s="557">
        <v>654</v>
      </c>
      <c r="B87" t="s" s="557">
        <v>645</v>
      </c>
      <c r="C87" t="s" s="557">
        <v>646</v>
      </c>
      <c r="D87" s="557" t="s">
        <v>655</v>
      </c>
      <c r="E87" s="557" t="s">
        <v>656</v>
      </c>
      <c r="F87" t="s" s="557">
        <v>657</v>
      </c>
      <c r="G87" s="557" t="str">
        <f>G85</f>
        <v>与掌局者商讨背景细节</v>
      </c>
    </row>
    <row r="88" spans="1:8">
      <c r="A88" t="s" s="557">
        <v>121</v>
      </c>
      <c r="B88" t="s" s="557">
        <v>658</v>
      </c>
      <c r="C88" t="s" s="557">
        <v>659</v>
      </c>
      <c r="D88" t="s" s="557">
        <v>660</v>
      </c>
      <c r="E88" t="s" s="557">
        <v>661</v>
      </c>
      <c r="F88" t="s" s="557">
        <v>662</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663</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35</v>
      </c>
      <c r="C99" s="557">
        <f>人物卡!H10</f>
        <v>0</v>
      </c>
      <c r="D99" s="557" t="str">
        <f t="shared" si="3"/>
        <v>体力</v>
      </c>
      <c r="E99" s="557" t="str">
        <f t="shared" si="4"/>
        <v/>
      </c>
    </row>
    <row r="100" spans="1:5">
      <c r="A100" t="s" s="557">
        <v>36</v>
      </c>
      <c r="C100" s="557">
        <f>人物卡!V10</f>
        <v>0</v>
      </c>
      <c r="D100" s="557" t="str">
        <f t="shared" si="3"/>
        <v>毅力</v>
      </c>
      <c r="E100" s="557" t="str">
        <f t="shared" si="4"/>
        <v/>
      </c>
    </row>
    <row r="101" spans="1:5">
      <c r="A101" t="s" s="557">
        <v>37</v>
      </c>
      <c r="C101" s="557">
        <f>人物卡!AH10</f>
        <v>0</v>
      </c>
      <c r="D101" s="557" t="str">
        <f t="shared" si="3"/>
        <v>理智</v>
      </c>
      <c r="E101" s="557" t="str">
        <f t="shared" si="4"/>
        <v/>
      </c>
    </row>
    <row r="102" spans="1:5">
      <c r="A102" t="s" s="557">
        <v>38</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664</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sheetPr>
  <dimension ref="A1"/>
  <sheetViews>
    <sheetView workbookViewId="0">
      <selection activeCell="A1" sqref="A1"/>
    </sheetView>
  </sheetViews>
  <sheetFormatPr defaultColWidth="8.66666666666667" defaultRowHeight="14"/>
  <sheetData/>
  <pageMargins left="0.75" right="0.75" top="1" bottom="1" header="0.5" footer="0.5"/>
  <headerFooter/>
</worksheet>
</file>

<file path=xl/worksheets/sheet8.xml><?xml version="1.0" encoding="utf-8"?>
<x:worksheet xmlns:x="http://schemas.openxmlformats.org/spreadsheetml/2006/main">
  <x:sheetPr>
    <x:tabColor rgb="FFB4C6E7"/>
    <x:pageSetUpPr fitToPage="1"/>
  </x:sheetPr>
  <x:sheetViews>
    <x:sheetView showGridLines="0" workbookViewId="0" tabSelected="0">
      <x:pane ySplit="10" topLeftCell="A11" activePane="bottomLeft" state="frozen"/>
    </x:sheetView>
  </x:sheetViews>
  <x:sheetFormatPr defaultRowHeight="15"/>
  <x:cols>
    <x:col min="1" max="1" width="14" hidden="0" customWidth="1"/>
    <x:col min="2" max="2" width="110" hidden="0" customWidth="1"/>
  </x:cols>
  <x:sheetData>
    <x:row r="1" ht="32" customHeight="1">
      <x:c r="A1" s="573" t="str">
        <x:v>绿色三角洲人物卡｜更新记录</x:v>
      </x:c>
      <x:c r="B1" s="573" t="str">
        <x:v>绿色三角洲人物卡｜更新记录</x:v>
      </x:c>
    </x:row>
    <x:row r="2" ht="7" customHeight="1">
      <x:c r="A2" s="574"/>
      <x:c r="B2" s="574"/>
    </x:row>
    <x:row r="3" ht="24" customHeight="1">
      <x:c r="A3" s="575" t="str">
        <x:v>原版作者</x:v>
      </x:c>
      <x:c r="B3" s="574" t="str">
        <x:v>DKWings</x:v>
      </x:c>
    </x:row>
    <x:row r="4" ht="24" customHeight="1">
      <x:c r="A4" s="575" t="str">
        <x:v>联系方式</x:v>
      </x:c>
      <x:c r="B4" s="576" t="str">
        <x:v>QQ：280848250　Email：dkwings@gmail.com</x:v>
      </x:c>
    </x:row>
    <x:row r="5" ht="24" customHeight="1">
      <x:c r="A5" s="575" t="str">
        <x:v>后续改版</x:v>
      </x:c>
      <x:c r="B5" s="574" t="str">
        <x:v>v0.4之后：Lindrich King　QQ：2113155803</x:v>
      </x:c>
    </x:row>
    <x:row r="6" ht="24" customHeight="1">
      <x:c r="A6" s="575" t="str">
        <x:v>项目仓库</x:v>
      </x:c>
      <x:c r="B6" s="576" t="str">
        <x:v>https://github.com/Shylosia/DeltaGreen</x:v>
      </x:c>
    </x:row>
    <x:row r="7" ht="24" customHeight="1">
      <x:c r="A7" s="575" t="str">
        <x:v>当前版本</x:v>
      </x:c>
      <x:c r="B7" s="574" t="str">
        <x:v>v1.6</x:v>
      </x:c>
    </x:row>
    <x:row r="8" ht="24" customHeight="1">
      <x:c r="A8" s="576" t="str">
        <x:v>返回人物卡</x:v>
      </x:c>
      <x:c r="B8" s="576" t="str">
        <x:v>绿箱生成器</x:v>
      </x:c>
    </x:row>
    <x:row r="9" ht="7" customHeight="1">
      <x:c r="A9" s="574"/>
      <x:c r="B9" s="574"/>
    </x:row>
    <x:row r="10" ht="25" customHeight="1">
      <x:c r="A10" s="577" t="str">
        <x:v>版本</x:v>
      </x:c>
      <x:c r="B10" s="577" t="str">
        <x:v>更新内容</x:v>
      </x:c>
    </x:row>
    <x:row r="11" ht="28" customHeight="1">
      <x:c r="A11" s="578" t="str">
        <x:v>v1.6</x:v>
      </x:c>
      <x:c r="B11" s="579" t="str">
        <x:v>导航、模组备忘录与打印占位（2026-09-22）</x:v>
      </x:c>
    </x:row>
    <x:row r="12" ht="46" customHeight="1">
      <x:c r="A12" s="578"/>
      <x:c r="B12" s="580" t="str">
        <x:v>规则速查由68个分类链接精简为12个主题导航；冻结前8行替代原25行，保留538条正文，并提示筛选后先清除筛选再跳转。</x:v>
      </x:c>
    </x:row>
    <x:row r="13" ht="28" customHeight="1">
      <x:c r="A13" s="578"/>
      <x:c r="B13" s="580" t="str">
        <x:v>清理规则速查、精神疾病与参考选项中的出处栏目及备注末尾出处行，参考内容仍完整留在工作表中。</x:v>
      </x:c>
    </x:row>
    <x:row r="14" ht="28" customHeight="1">
      <x:c r="A14" s="578"/>
      <x:c r="B14" s="580" t="str">
        <x:v>新增20条空白场次的模组经历备忘录，可记录日期、行动、掌局者、同行特工、结果、角色变化与下次备忘。</x:v>
      </x:c>
    </x:row>
    <x:row r="15" ht="46" customHeight="1">
      <x:c r="A15" s="578"/>
      <x:c r="B15" s="580" t="str">
        <x:v>主卡底部和备忘录加入绿箱生成器、规则速查和版本记录入口；绿箱地址为 https://greenbox.thebackstop.app/。</x:v>
      </x:c>
    </x:row>
    <x:row r="16" ht="28" customHeight="1">
      <x:c r="A16" s="578"/>
      <x:c r="B16" s="580" t="str">
        <x:v>v0.4之后版本改编维护：Lindrich King，QQ：2113155803；保留原版作者DKWings及既有历史记录。</x:v>
      </x:c>
    </x:row>
    <x:row r="17" ht="28" customHeight="1">
      <x:c r="A17" s="578"/>
      <x:c r="B17" s="580" t="str">
        <x:v>项目入口：https://github.com/Shylosia/DeltaGreen。仓库发布空白母版；已填写角色版保留在本地。</x:v>
      </x:c>
    </x:row>
    <x:row r="18" ht="46" customHeight="1">
      <x:c r="A18" s="578"/>
      <x:c r="B18" s="580" t="str">
        <x:v>打印页135处数值或基础等级标签在空白时以0占位；姓名、专攻名称、背景叙述继续留白。未填力量时伤害加成显示0。</x:v>
      </x:c>
    </x:row>
    <x:row r="19" ht="28" customHeight="1">
      <x:c r="A19" s="578"/>
      <x:c r="B19" s="580" t="str">
        <x:v>同步版本v1.6。保留原人物卡与A4表的行高列宽、原有联动及已填写角色内容；新增底部导航不移动原外框。</x:v>
      </x:c>
    </x:row>
    <x:row r="20" ht="28" customHeight="1">
      <x:c r="A20" s="578"/>
      <x:c r="B20" s="580" t="str">
        <x:v>精简属性、规则和操作备注，删除坐标引导、页码引用及重复提示；关闭重复输入浮窗，保留输入错误提示。</x:v>
      </x:c>
    </x:row>
    <x:row r="21" ht="28" customHeight="1">
      <x:c r="A21" s="578"/>
      <x:c r="B21" s="580" t="str">
        <x:v>规则速查去掉条目后的“｜说明”等冗词；参考选项的共用规则集中保留，更新记录按版本倒序排列。</x:v>
      </x:c>
    </x:row>
    <x:row r="22" ht="46" customHeight="1">
      <x:c r="A22" s="578"/>
      <x:c r="B22" s="580" t="str">
        <x:v>统一新增工作表的黑灰、浅蓝配色、字体及细边框，与人物卡保持一致；原人物卡和A4打印表的行列尺寸保持不变。</x:v>
      </x:c>
    </x:row>
    <x:row r="23" ht="28" customHeight="1">
      <x:c r="A23" s="578"/>
      <x:c r="B23" s="580" t="str">
        <x:v>保留职业候选的下拉勾选与空候选隐藏；计数处显示“下拉选”及已选数量，检查选择状态和技能数值联动。</x:v>
      </x:c>
    </x:row>
    <x:row r="24" ht="6" customHeight="1">
      <x:c r="A24" s="574"/>
      <x:c r="B24" s="574"/>
    </x:row>
    <x:row r="25" ht="28" customHeight="1">
      <x:c r="A25" s="578" t="str">
        <x:v>v1.5</x:v>
      </x:c>
      <x:c r="B25" s="579" t="str">
        <x:v>属性备注与可见参考表（2026-09-22）</x:v>
      </x:c>
    </x:row>
    <x:row r="26" ht="28" customHeight="1">
      <x:c r="A26" s="578"/>
      <x:c r="B26" s="580" t="str">
        <x:v>新增45条基础属性和关键输入说明，正文8pt、标题9pt，保留原技能备注。</x:v>
      </x:c>
    </x:row>
    <x:row r="27" ht="28" customHeight="1">
      <x:c r="A27" s="578"/>
      <x:c r="B27" s="580" t="str">
        <x:v>职业任选改为原位☑／☐状态选择，只显示当前职业有效候选，修复固定多余勾选框；切换职业后核对已有选择。</x:v>
      </x:c>
    </x:row>
    <x:row r="28" ht="46" customHeight="1">
      <x:c r="A28" s="578"/>
      <x:c r="B28" s="580" t="str">
        <x:v>规则速查完整保留在工作簿；新增精神疾病与参考选项两张可编辑表，共87条手册参考，精神疾病含18项及细项、永久疯狂。</x:v>
      </x:c>
    </x:row>
    <x:row r="29" ht="28" customHeight="1">
      <x:c r="A29" s="578"/>
      <x:c r="B29" s="580" t="str">
        <x:v>非自然背景心理疾病下拉引用新表适用的8项；特训名称新增14项手册范例下拉，仍可自填。</x:v>
      </x:c>
    </x:row>
    <x:row r="30" ht="46" customHeight="1">
      <x:c r="A30" s="578"/>
      <x:c r="B30" s="580" t="str">
        <x:v>同步主卡、打印页和文档版本为v1.5；保留当前角色填写、原行高列宽与外框排版。状态区仅拆分原文字预留空间。</x:v>
      </x:c>
    </x:row>
    <x:row r="31" ht="28" customHeight="1">
      <x:c r="A31" s="578"/>
      <x:c r="B31" s="580" t="str">
        <x:v>本次交付为xlsx，所有规则和参考内容都在工作表中，无需另开PDF。</x:v>
      </x:c>
    </x:row>
    <x:row r="32" ht="6" customHeight="1">
      <x:c r="A32" s="574"/>
      <x:c r="B32" s="574"/>
    </x:row>
    <x:row r="33" ht="28" customHeight="1">
      <x:c r="A33" s="578" t="str">
        <x:v>v1.4</x:v>
      </x:c>
      <x:c r="B33" s="579" t="str">
        <x:v>装备、额外技能与创伤联动（2026-09-21）</x:v>
      </x:c>
    </x:row>
    <x:row r="34" ht="28" customHeight="1">
      <x:c r="A34" s="578"/>
      <x:c r="B34" s="580" t="str">
        <x:v>54项武器下拉按特工手册v2.0.1，自动带入技能、伤害、穿甲、射程与半径；增加护甲和特训对应项下拉。</x:v>
      </x:c>
    </x:row>
    <x:row r="35" ht="28" customHeight="1">
      <x:c r="A35" s="578"/>
      <x:c r="B35" s="580" t="str">
        <x:v>技能包自动分配八次+20；原框内选择可选项，科学等细项直接读取主卡，支持个人特长重复分配和80上限提示。</x:v>
      </x:c>
    </x:row>
    <x:row r="36" ht="28" customHeight="1">
      <x:c r="A36" s="578"/>
      <x:c r="B36" s="580" t="str">
        <x:v>创伤背景联动神秘学、非自然知识、理智、毅力、意志、魅力、适应与关系；艰苦经历五项在原框填写。</x:v>
      </x:c>
    </x:row>
    <x:row r="37" ht="28" customHeight="1">
      <x:c r="A37" s="578"/>
      <x:c r="B37" s="580" t="str">
        <x:v>创伤区填写原始意志与魅力，属性区显示修正后的数值；普通三种创伤不自动重置崩溃点。</x:v>
      </x:c>
    </x:row>
    <x:row r="38" ht="28" customHeight="1">
      <x:c r="A38" s="578"/>
      <x:c r="B38" s="580" t="str">
        <x:v>新增规则速查工作表：纯Excel文字表格，补齐检定、对抗、战斗、治疗及理智等；冲突以指定特工手册为准。</x:v>
      </x:c>
    </x:row>
    <x:row r="39" ht="28" customHeight="1">
      <x:c r="A39" s="578"/>
      <x:c r="B39" s="580" t="str">
        <x:v>保持原行高、列宽与既有合并；新增输入仅用原空白区域；人物卡A4可编辑打印表仍置于最后。</x:v>
      </x:c>
    </x:row>
    <x:row r="40" ht="6" customHeight="1">
      <x:c r="A40" s="574"/>
      <x:c r="B40" s="574"/>
    </x:row>
    <x:row r="41" ht="28" customHeight="1">
      <x:c r="A41" s="578" t="str">
        <x:v>v1.3</x:v>
      </x:c>
      <x:c r="B41" s="579" t="str">
        <x:v>原位职业选择与可编辑A4打印（2026-09-21）</x:v>
      </x:c>
    </x:row>
    <x:row r="42" ht="28" customHeight="1">
      <x:c r="A42" s="578"/>
      <x:c r="B42" s="580" t="str">
        <x:v>原职业候选框直接勾选，职业值由隐藏表自动计算；使用普通查表公式。</x:v>
      </x:c>
    </x:row>
    <x:row r="43" ht="28" customHeight="1">
      <x:c r="A43" s="578"/>
      <x:c r="B43" s="580" t="str">
        <x:v>科学、外语、工艺等细项直接填入人物卡对应格，不再跳到职业选项页。</x:v>
      </x:c>
    </x:row>
    <x:row r="44" ht="28" customHeight="1">
      <x:c r="A44" s="578"/>
      <x:c r="B44" s="580" t="str">
        <x:v>人类学／考古学的固定二选一在职业框内补充选择格；重复、超选和未填细项仍提示。</x:v>
      </x:c>
    </x:row>
    <x:row r="45" ht="28" customHeight="1">
      <x:c r="A45" s="578"/>
      <x:c r="B45" s="580" t="str">
        <x:v>保留当前角色输入；切换职业后核对旧选择和细项。</x:v>
      </x:c>
    </x:row>
    <x:row r="46" ht="28" customHeight="1">
      <x:c r="A46" s="578"/>
      <x:c r="B46" s="580" t="str">
        <x:v>备注正文8pt、标题9pt，删除尾部空白并按实际文字收紧备注框。</x:v>
      </x:c>
    </x:row>
    <x:row r="47" ht="28" customHeight="1">
      <x:c r="A47" s="578"/>
      <x:c r="B47" s="580" t="str">
        <x:v>末页重建为纯单元格文字与边框表格，无底图或文字框；完整引用人物数据，仍为两页A4。</x:v>
      </x:c>
    </x:row>
    <x:row r="48" ht="28" customHeight="1">
      <x:c r="A48" s="578"/>
      <x:c r="B48" s="580" t="str">
        <x:v>原人物卡行高、列宽和既有合并位置保留；二选一输入使用职业框原空白位置。</x:v>
      </x:c>
    </x:row>
    <x:row r="49" ht="6" customHeight="1">
      <x:c r="A49" s="574"/>
      <x:c r="B49" s="574"/>
    </x:row>
    <x:row r="50" ht="28" customHeight="1">
      <x:c r="A50" s="578" t="str">
        <x:v>v1.2</x:v>
      </x:c>
      <x:c r="B50" s="579" t="str">
        <x:v>技能悬停说明（2026-09-21）</x:v>
      </x:c>
    </x:row>
    <x:row r="51" ht="28" customHeight="1">
      <x:c r="A51" s="578"/>
      <x:c r="B51" s="580" t="str">
        <x:v>人物卡43种技能、56个技能名称格新增备注；鼠标悬停即可查看基础等级与完整说明。</x:v>
      </x:c>
    </x:row>
    <x:row r="52" ht="28" customHeight="1">
      <x:c r="A52" s="578"/>
      <x:c r="B52" s="580" t="str">
        <x:v>专攻技能各重复栏位均可查看；清理原文页眉、页码及断行，脚注按所属技能归位。</x:v>
      </x:c>
    </x:row>
    <x:row r="53" ht="28" customHeight="1">
      <x:c r="A53" s="578"/>
      <x:c r="B53" s="580" t="str">
        <x:v>保留原技能规则与措辞，现有职业勾选联动、原表排版和两页A4打印设置不变。</x:v>
      </x:c>
    </x:row>
    <x:row r="54" ht="6" customHeight="1">
      <x:c r="A54" s="574"/>
      <x:c r="B54" s="574"/>
    </x:row>
    <x:row r="55" ht="28" customHeight="1">
      <x:c r="A55" s="578" t="str">
        <x:v>v1.1</x:v>
      </x:c>
      <x:c r="B55" s="579" t="str">
        <x:v>职业任选勾选联动（2026-09-21）</x:v>
      </x:c>
    </x:row>
    <x:row r="56" ht="28" customHeight="1">
      <x:c r="A56" s="578"/>
      <x:c r="B56" s="580" t="str">
        <x:v>点击人物卡候选文字直达职业选项，勾选 N 项；各职业及子模板独立保存。</x:v>
      </x:c>
    </x:row>
    <x:row r="57" ht="28" customHeight="1">
      <x:c r="A57" s="578"/>
      <x:c r="B57" s="580" t="str">
        <x:v>新增职业选项页：固定任选、二选一及候选细项均可设置；点击人物卡提示区定位。</x:v>
      </x:c>
    </x:row>
    <x:row r="58" ht="28" customHeight="1">
      <x:c r="A58" s="578"/>
      <x:c r="B58" s="580" t="str">
        <x:v>职业值取模板最终水平；重复技能提示，超选时任选值暂不计入，取消勾选立即撤回。</x:v>
      </x:c>
    </x:row>
    <x:row r="59" ht="28" customHeight="1">
      <x:c r="A59" s="578"/>
      <x:c r="B59" s="580" t="str">
        <x:v>职业列表缺百分号的候选也可解析；明确的重型武器升级项以50替换40。</x:v>
      </x:c>
    </x:row>
    <x:row r="60" ht="28" customHeight="1">
      <x:c r="A60" s="578"/>
      <x:c r="B60" s="580" t="str">
        <x:v>原表行高、列宽、合并和A4两页打印设置保留；打印数据同步更新。</x:v>
      </x:c>
    </x:row>
    <x:row r="61" ht="28" customHeight="1">
      <x:c r="A61" s="578"/>
      <x:c r="B61" s="580" t="str">
        <x:v>各细项按来源固定占位；先确定职业与细项再填额外、成长，改选后核对。</x:v>
      </x:c>
    </x:row>
    <x:row r="62" ht="6" customHeight="1">
      <x:c r="A62" s="574"/>
      <x:c r="B62" s="574"/>
    </x:row>
    <x:row r="63" ht="28" customHeight="1">
      <x:c r="A63" s="578" t="str">
        <x:v>v1.0</x:v>
      </x:c>
      <x:c r="B63" s="579" t="str">
        <x:v>2026-09-21 · 职业联动与A4打印版</x:v>
      </x:c>
    </x:row>
    <x:row r="64" ht="28" customHeight="1">
      <x:c r="A64" s="578"/>
      <x:c r="B64" s="580" t="str">
        <x:v>新增：最后一张工作表“可打印版（A4）”，保留提供PDF的表框、标题与底纹。</x:v>
      </x:c>
    </x:row>
    <x:row r="65" ht="28" customHeight="1">
      <x:c r="A65" s="578"/>
      <x:c r="B65" s="580" t="str">
        <x:v>打印：原PDF为Letter；新表固定A4纵向、两页、指定打印区域及分页，支持双面长边翻页。</x:v>
      </x:c>
    </x:row>
    <x:row r="66" ht="28" customHeight="1">
      <x:c r="A66" s="578"/>
      <x:c r="B66" s="580" t="str">
        <x:v>联动：打印版自动引用人物卡的身份、属性、衍生属性、技能、关系、背景、装备、武器及特训。</x:v>
      </x:c>
    </x:row>
    <x:row r="67" ht="28" customHeight="1">
      <x:c r="A67" s="578"/>
      <x:c r="B67" s="580" t="str">
        <x:v>续栏：超出原PDF容量的重要关系、细分技能、其他技能和特训转入背面个人详情及备注。</x:v>
      </x:c>
    </x:row>
    <x:row r="68" ht="28" customHeight="1">
      <x:c r="A68" s="578"/>
      <x:c r="B68" s="580" t="str">
        <x:v>职业：选择职业及适用子模板后自动填写固定技能；任选项由玩家确认后填写。</x:v>
      </x:c>
    </x:row>
    <x:row r="69" ht="28" customHeight="1">
      <x:c r="A69" s="578"/>
      <x:c r="B69" s="580" t="str">
        <x:v>修复：职业公式空白时正确回落到基础值；保留额外与成长加点；补全职业下拉前两项。</x:v>
      </x:c>
    </x:row>
    <x:row r="70" ht="28" customHeight="1">
      <x:c r="A70" s="578"/>
      <x:c r="B70" s="580" t="str">
        <x:v>修复：武器致死率保留百分号并填入致死等级列；多项细分技能通过独立行与背面续栏完整呈现。</x:v>
      </x:c>
    </x:row>
    <x:row r="71" ht="28" customHeight="1">
      <x:c r="A71" s="578"/>
      <x:c r="B71" s="580" t="str">
        <x:v>保留：原有工作表的行高、列宽、合并、样式和历史更新记录不变。</x:v>
      </x:c>
    </x:row>
    <x:row r="72" ht="28" customHeight="1">
      <x:c r="A72" s="578"/>
      <x:c r="B72" s="580" t="str">
        <x:v>使用：先在“人物卡”编辑，后选择“可打印版（A4）”打印活动工作表；使用A4纸、100%缩放。</x:v>
      </x:c>
    </x:row>
    <x:row r="73" ht="28" customHeight="1">
      <x:c r="A73" s="578"/>
      <x:c r="B73" s="580" t="str">
        <x:v>注意：手动输入职业格会覆盖该格公式；建议保留母版，每名角色另存一份。</x:v>
      </x:c>
    </x:row>
    <x:row r="74" ht="28" customHeight="1">
      <x:c r="A74" s="578"/>
      <x:c r="B74" s="580" t="str">
        <x:v>说明：新打印页采用高分辨率原版式图与联动文字层；表框不是可单独编辑的Excel单元格。</x:v>
      </x:c>
    </x:row>
    <x:row r="75" ht="28" customHeight="1">
      <x:c r="A75" s="578"/>
      <x:c r="B75" s="580" t="str">
        <x:v>说明：原表没有的伤后急救确认、日常变故、弹药及签字保留空白，供纸上补填。</x:v>
      </x:c>
    </x:row>
    <x:row r="76" ht="28" customHeight="1">
      <x:c r="A76" s="578"/>
      <x:c r="B76" s="580" t="str">
        <x:v>已知：原模板“陆军（陆军）40%”名称异常及特种作战员子模板映射沿用原表。</x:v>
      </x:c>
    </x:row>
    <x:row r="77" ht="28" customHeight="1">
      <x:c r="A77" s="578"/>
      <x:c r="B77" s="580" t="str">
        <x:v>打印页保留原表框及文字结构；原作者信息保留。</x:v>
      </x:c>
    </x:row>
    <x:row r="78" ht="6" customHeight="1">
      <x:c r="A78" s="574"/>
      <x:c r="B78" s="574"/>
    </x:row>
    <x:row r="79" ht="28" customHeight="1">
      <x:c r="A79" s="578" t="str">
        <x:v>v0.4.7</x:v>
      </x:c>
      <x:c r="B79" s="579" t="str">
        <x:v>根据官方中文版规则书（2022-8-28）更新了部分译名。</x:v>
      </x:c>
    </x:row>
    <x:row r="80" ht="28" customHeight="1">
      <x:c r="A80" s="578"/>
      <x:c r="B80" s="580" t="str">
        <x:v>同上，根据新版官方人物卡，去除了“代号”一格。</x:v>
      </x:c>
    </x:row>
    <x:row r="81" ht="28" customHeight="1">
      <x:c r="A81" s="578"/>
      <x:c r="B81" s="580" t="str">
        <x:v>修正了创伤经历-艰苦经历的内容。</x:v>
      </x:c>
    </x:row>
    <x:row r="82" ht="28" customHeight="1">
      <x:c r="A82" s="578"/>
      <x:c r="B82" s="580" t="str">
        <x:v>细节格式修正。</x:v>
      </x:c>
    </x:row>
    <x:row r="83" ht="6" customHeight="1">
      <x:c r="A83" s="574"/>
      <x:c r="B83" s="574"/>
    </x:row>
    <x:row r="84" ht="28" customHeight="1">
      <x:c r="A84" s="578" t="str">
        <x:v>v0.4.6</x:v>
      </x:c>
      <x:c r="B84" s="579" t="str">
        <x:v>修正了Excel 2019或更低版本无法使用职业列表的问题。</x:v>
      </x:c>
    </x:row>
    <x:row r="85" ht="28" customHeight="1">
      <x:c r="A85" s="578"/>
      <x:c r="B85" s="580" t="str">
        <x:v>修正了深色行的成长勾的背景颜色错误的问题。</x:v>
      </x:c>
    </x:row>
    <x:row r="86" ht="6" customHeight="1">
      <x:c r="A86" s="574"/>
      <x:c r="B86" s="574"/>
    </x:row>
    <x:row r="87" ht="28" customHeight="1">
      <x:c r="A87" s="578" t="str">
        <x:v>v0.4.5</x:v>
      </x:c>
      <x:c r="B87" s="579" t="str">
        <x:v>修改：专攻技能的骰子指令现在只使用专攻名（括号内的技能）。</x:v>
      </x:c>
    </x:row>
    <x:row r="88" ht="6" customHeight="1">
      <x:c r="A88" s="574"/>
      <x:c r="B88" s="574"/>
    </x:row>
    <x:row r="89" ht="28" customHeight="1">
      <x:c r="A89" s="578" t="str">
        <x:v>v0.4.4</x:v>
      </x:c>
      <x:c r="B89" s="579" t="str">
        <x:v>修复创伤经历在WPS下显示错误的问题。</x:v>
      </x:c>
    </x:row>
    <x:row r="90" ht="28" customHeight="1">
      <x:c r="A90" s="578"/>
      <x:c r="B90" s="580" t="str">
        <x:v>修正了USSS贴身警卫处的职业技能。</x:v>
      </x:c>
    </x:row>
    <x:row r="91" ht="6" customHeight="1">
      <x:c r="A91" s="574"/>
      <x:c r="B91" s="574"/>
    </x:row>
    <x:row r="92" ht="28" customHeight="1">
      <x:c r="A92" s="578" t="str">
        <x:v>v0.4.3</x:v>
      </x:c>
      <x:c r="B92" s="579" t="str">
        <x:v>新功能：显示职业技能点对应的初始重要关系数。</x:v>
      </x:c>
    </x:row>
    <x:row r="93" ht="28" customHeight="1">
      <x:c r="A93" s="578"/>
      <x:c r="B93" s="580" t="str">
        <x:v>新功能：创伤背景查找表。</x:v>
      </x:c>
    </x:row>
    <x:row r="94" ht="28" customHeight="1">
      <x:c r="A94" s="578"/>
      <x:c r="B94" s="580" t="str">
        <x:v>修复职业技能点计算错误的问题。</x:v>
      </x:c>
    </x:row>
    <x:row r="95" ht="6" customHeight="1">
      <x:c r="A95" s="574"/>
      <x:c r="B95" s="574"/>
    </x:row>
    <x:row r="96" ht="28" customHeight="1">
      <x:c r="A96" s="578" t="str">
        <x:v>v0.4.2</x:v>
      </x:c>
      <x:c r="B96" s="579" t="str">
        <x:v>修复DB在WPS下显示错误的问题。</x:v>
      </x:c>
    </x:row>
    <x:row r="97" ht="6" customHeight="1">
      <x:c r="A97" s="574"/>
      <x:c r="B97" s="574"/>
    </x:row>
    <x:row r="98" ht="28" customHeight="1">
      <x:c r="A98" s="578" t="str">
        <x:v>v0.4.1</x:v>
      </x:c>
      <x:c r="B98" s="579" t="str">
        <x:v>职业模板：为职业模板页添加了5个可以自由编辑的栏。</x:v>
      </x:c>
    </x:row>
    <x:row r="99" ht="28" customHeight="1">
      <x:c r="A99" s="578"/>
      <x:c r="B99" s="580" t="str">
        <x:v>外观：带有职业技能值的技能，基础技能值现在会显示为灰色。</x:v>
      </x:c>
    </x:row>
    <x:row r="100" ht="28" customHeight="1">
      <x:c r="A100" s="578"/>
      <x:c r="B100" s="580" t="str">
        <x:v>修正了部分子模板错误。</x:v>
      </x:c>
    </x:row>
    <x:row r="101" ht="28" customHeight="1">
      <x:c r="A101" s="578"/>
      <x:c r="B101" s="580" t="str">
        <x:v>修正了工艺技能下拉菜单不全的问题。</x:v>
      </x:c>
    </x:row>
    <x:row r="102" ht="6" customHeight="1">
      <x:c r="A102" s="574"/>
      <x:c r="B102" s="574"/>
    </x:row>
    <x:row r="103" ht="28" customHeight="1">
      <x:c r="A103" s="578" t="str">
        <x:v>v0.4.0</x:v>
      </x:c>
      <x:c r="B103" s="579" t="str">
        <x:v>添加了来自CBP、ATF、USSS、USCG的职业模板。</x:v>
      </x:c>
    </x:row>
    <x:row r="104" ht="6" customHeight="1">
      <x:c r="A104" s="574"/>
      <x:c r="B104" s="574"/>
    </x:row>
    <x:row r="105" ht="28" customHeight="1">
      <x:c r="A105" s="578" t="str">
        <x:v>v0.3.1</x:v>
      </x:c>
      <x:c r="B105" s="579" t="str">
        <x:v>修正了创建新职业的本职技能点的叙述。</x:v>
      </x:c>
    </x:row>
    <x:row r="106" ht="6" customHeight="1">
      <x:c r="A106" s="574"/>
      <x:c r="B106" s="574"/>
    </x:row>
    <x:row r="107" ht="28" customHeight="1">
      <x:c r="A107" s="578" t="str">
        <x:v>v0.3.0</x:v>
      </x:c>
      <x:c r="B107" s="579" t="str">
        <x:v>新功能：职业技能模板查询。现在包含《特工手册》上的所有职业。</x:v>
      </x:c>
    </x:row>
    <x:row r="108" ht="28" customHeight="1">
      <x:c r="A108" s="578"/>
      <x:c r="B108" s="580" t="str">
        <x:v>新功能：可选额外技能包查询。</x:v>
      </x:c>
    </x:row>
    <x:row r="109" ht="28" customHeight="1">
      <x:c r="A109" s="578"/>
      <x:c r="B109" s="580" t="str">
        <x:v>新功能：骰子属性设置指令。</x:v>
      </x:c>
    </x:row>
    <x:row r="110" ht="28" customHeight="1">
      <x:c r="A110" s="578"/>
      <x:c r="B110" s="580" t="str">
        <x:v>改动了“总本职技能点”的计算方式：现在是技能值减去基础值。</x:v>
      </x:c>
    </x:row>
    <x:row r="111" ht="6" customHeight="1">
      <x:c r="A111" s="574"/>
      <x:c r="B111" s="574"/>
    </x:row>
    <x:row r="112" ht="28" customHeight="1">
      <x:c r="A112" s="578" t="str">
        <x:v>v0.2.1</x:v>
      </x:c>
      <x:c r="B112" s="579" t="str">
        <x:v>移除非自然知识技能前的方框</x:v>
      </x:c>
    </x:row>
    <x:row r="113" ht="28" customHeight="1">
      <x:c r="A113" s="578"/>
      <x:c r="B113" s="580" t="str">
        <x:v>修复了右栏技能方框无法编辑的问题</x:v>
      </x:c>
    </x:row>
    <x:row r="114" ht="28" customHeight="1">
      <x:c r="A114" s="578"/>
      <x:c r="B114" s="580" t="str">
        <x:v>修复了部分行突出属性颜色错误的问题。</x:v>
      </x:c>
    </x:row>
    <x:row r="115" ht="28" customHeight="1">
      <x:c r="A115" s="578"/>
      <x:c r="B115" s="580" t="str">
        <x:v>增加了几个科学技能。</x:v>
      </x:c>
    </x:row>
    <x:row r="116" ht="6" customHeight="1">
      <x:c r="A116" s="574"/>
      <x:c r="B116" s="574"/>
    </x:row>
    <x:row r="117" ht="28" customHeight="1">
      <x:c r="A117" s="578" t="str">
        <x:v>v0.2.0</x:v>
      </x:c>
      <x:c r="B117" s="579" t="str">
        <x:v>大幅度调整布局</x:v>
      </x:c>
    </x:row>
    <x:row r="118" ht="28" customHeight="1">
      <x:c r="A118" s="578"/>
      <x:c r="B118" s="580" t="str">
        <x:v>增加工艺（电子）</x:v>
      </x:c>
    </x:row>
    <x:row r="119" ht="6" customHeight="1">
      <x:c r="A119" s="574"/>
      <x:c r="B119" s="574"/>
    </x:row>
    <x:row r="120" ht="28" customHeight="1">
      <x:c r="A120" s="578" t="str">
        <x:v>v0.1.2</x:v>
      </x:c>
      <x:c r="B120" s="579" t="str">
        <x:v>自动填写初始衍生属性值</x:v>
      </x:c>
    </x:row>
    <x:row r="121" ht="28" customHeight="1">
      <x:c r="A121" s="578"/>
      <x:c r="B121" s="580" t="str">
        <x:v>修复了WPS体力上限显示错误的问题</x:v>
      </x:c>
    </x:row>
    <x:row r="122" ht="28" customHeight="1">
      <x:c r="A122" s="578"/>
      <x:c r="B122" s="580" t="str">
        <x:v>修复了理智上限应该是99-非自然知识的问题</x:v>
      </x:c>
    </x:row>
    <x:row r="123" ht="28" customHeight="1">
      <x:c r="A123" s="578"/>
      <x:c r="B123" s="580" t="str">
        <x:v>删除了重要关系上限（因为并没有上限）</x:v>
      </x:c>
    </x:row>
    <x:row r="124" ht="28" customHeight="1">
      <x:c r="A124" s="578"/>
      <x:c r="B124" s="580" t="str">
        <x:v>修复了重要关系计数错误的问题</x:v>
      </x:c>
    </x:row>
    <x:row r="125" ht="28" customHeight="1">
      <x:c r="A125" s="578"/>
      <x:c r="B125" s="580" t="str">
        <x:v>调整外观</x:v>
      </x:c>
    </x:row>
    <x:row r="126" ht="6" customHeight="1">
      <x:c r="A126" s="574"/>
      <x:c r="B126" s="574"/>
    </x:row>
    <x:row r="127" ht="28" customHeight="1">
      <x:c r="A127" s="578" t="str">
        <x:v>v0.1.1</x:v>
      </x:c>
      <x:c r="B127" s="579" t="str">
        <x:v>增加了武器栏、护甲栏、物品栏和背景栏</x:v>
      </x:c>
    </x:row>
    <x:row r="128" ht="28" customHeight="1">
      <x:c r="A128" s="578"/>
      <x:c r="B128" s="580" t="str">
        <x:v>重要关系栏：增添计数以及CHA显示</x:v>
      </x:c>
    </x:row>
    <x:row r="129" ht="28" customHeight="1">
      <x:c r="A129" s="578"/>
      <x:c r="B129" s="580" t="str">
        <x:v>职业技能点现在替换基础技能点，而不是增添</x:v>
      </x:c>
    </x:row>
    <x:row r="130" ht="6" customHeight="1">
      <x:c r="A130" s="574"/>
      <x:c r="B130" s="574"/>
    </x:row>
    <x:row r="131" ht="28" customHeight="1">
      <x:c r="A131" s="578" t="str">
        <x:v>v0.1.0</x:v>
      </x:c>
      <x:c r="B131" s="579" t="str">
        <x:v>第一版</x:v>
      </x:c>
    </x:row>
  </x:sheetData>
  <x:mergeCells>
    <x:mergeCell ref="A1:B1"/>
  </x:mergeCells>
  <x:hyperlinks>
    <x:hyperlink xmlns:ns0="http://schemas.openxmlformats.org/officeDocument/2006/relationships" ref="B4" ns0:id="rIdHistory1"/>
    <x:hyperlink xmlns:ns1="http://schemas.openxmlformats.org/officeDocument/2006/relationships" ref="B6" ns1:id="rIdHistory2"/>
    <x:hyperlink ref="A8" location="'人物卡'!B2"/>
    <x:hyperlink xmlns:ns2="http://schemas.openxmlformats.org/officeDocument/2006/relationships" ref="B8" ns2: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665</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IF(INDEX($L$1:$L$1611,$T$2+1)="","",INDEX($L$1:$L$1611,$T$2+1))</f>
        <v/>
      </c>
      <c r="Q3" t="str">
        <f ca="1">IF(INDEX($M$1:$M$1611,$T$2+1)="","",INDEX($M$1:$M$1611,$T$2+1))</f>
        <v>E2</v>
      </c>
      <c r="R3" t="b">
        <f ca="1">INDEX($N$1:$N$1611,$T$2+1)</f>
        <v>0</v>
      </c>
      <c r="S3" t="s">
        <v>666</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IF(INDEX($L$1:$L$1611,$T$2+2)="","",INDEX($L$1:$L$1611,$T$2+2))</f>
        <v/>
      </c>
      <c r="Q4" t="str">
        <f ca="1">IF(INDEX($M$1:$M$1611,$T$2+2)="","",INDEX($M$1:$M$1611,$T$2+2))</f>
        <v>F2</v>
      </c>
      <c r="R4" t="b">
        <f ca="1">INDEX($N$1:$N$1611,$T$2+2)</f>
        <v>0</v>
      </c>
      <c r="S4" t="s">
        <v>667</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IF(INDEX($L$1:$L$1611,$T$2+3)="","",INDEX($L$1:$L$1611,$T$2+3))</f>
        <v/>
      </c>
      <c r="Q5" t="str">
        <f ca="1">IF(INDEX($M$1:$M$1611,$T$2+3)="","",INDEX($M$1:$M$1611,$T$2+3))</f>
        <v>G2</v>
      </c>
      <c r="R5" t="b">
        <f ca="1">INDEX($N$1:$N$1611,$T$2+3)</f>
        <v>0</v>
      </c>
      <c r="S5" t="s">
        <v>668</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IF(INDEX($L$1:$L$1611,$T$2+4)="","",INDEX($L$1:$L$1611,$T$2+4))</f>
        <v/>
      </c>
      <c r="Q6" t="str">
        <f ca="1">IF(INDEX($M$1:$M$1611,$T$2+4)="","",INDEX($M$1:$M$1611,$T$2+4))</f>
        <v>H2</v>
      </c>
      <c r="R6" t="b">
        <f ca="1">INDEX($N$1:$N$1611,$T$2+4)</f>
        <v>0</v>
      </c>
      <c r="S6" t="s">
        <v>669</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IF(INDEX($L$1:$L$1611,$T$2+6)="","",INDEX($L$1:$L$1611,$T$2+6))</f>
        <v/>
      </c>
      <c r="Q8" t="str">
        <f ca="1">IF(INDEX($M$1:$M$1611,$T$2+6)="","",INDEX($M$1:$M$1611,$T$2+6))</f>
        <v>J2</v>
      </c>
      <c r="R8" t="b">
        <f ca="1">INDEX($N$1:$N$1611,$T$2+6)</f>
        <v>0</v>
      </c>
      <c r="S8" t="s">
        <v>670</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671</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672</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673</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674</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675</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676</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677</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678</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679</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680</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681</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682</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683</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684</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685</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686</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687</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688</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689</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690</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691</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692</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693</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694</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695</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696</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697</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698</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699</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700</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701</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702</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703</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704</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705</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706</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707</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708</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709</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710</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711</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712</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713</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714</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715</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716</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717</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718</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719</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720</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721</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722</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723</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724</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725</v>
      </c>
    </row>
    <row r="100" spans="1:14">
      <c r="A100">
        <v>2</v>
      </c>
      <c r="B100">
        <v>0</v>
      </c>
      <c r="C100" t="s">
        <v>128</v>
      </c>
      <c r="D100" t="s">
        <v>726</v>
      </c>
      <c r="E100" t="s">
        <v>128</v>
      </c>
      <c r="F100">
        <v>0</v>
      </c>
      <c r="G100" t="s">
        <v>128</v>
      </c>
      <c r="H100" t="s">
        <v>128</v>
      </c>
      <c r="I100" t="s">
        <v>128</v>
      </c>
      <c r="J100" t="s">
        <v>128</v>
      </c>
      <c r="K100" t="s">
        <v>128</v>
      </c>
      <c r="L100" t="s">
        <v>128</v>
      </c>
      <c r="M100" t="s">
        <v>727</v>
      </c>
      <c r="N100" t="b">
        <v>0</v>
      </c>
    </row>
    <row r="101" spans="1:14">
      <c r="A101">
        <v>2</v>
      </c>
      <c r="B101">
        <v>1</v>
      </c>
      <c r="C101" t="s">
        <v>128</v>
      </c>
      <c r="D101" t="s">
        <v>726</v>
      </c>
      <c r="E101" t="s">
        <v>128</v>
      </c>
      <c r="F101">
        <v>0</v>
      </c>
      <c r="G101" t="s">
        <v>128</v>
      </c>
      <c r="H101" t="s">
        <v>128</v>
      </c>
      <c r="I101" t="s">
        <v>128</v>
      </c>
      <c r="J101" t="s">
        <v>128</v>
      </c>
      <c r="K101" t="s">
        <v>128</v>
      </c>
      <c r="L101" t="s">
        <v>128</v>
      </c>
      <c r="M101" t="s">
        <v>728</v>
      </c>
      <c r="N101" t="b">
        <v>0</v>
      </c>
    </row>
    <row r="102" spans="1:14">
      <c r="A102">
        <v>2</v>
      </c>
      <c r="B102">
        <v>2</v>
      </c>
      <c r="C102" t="s">
        <v>128</v>
      </c>
      <c r="D102" t="s">
        <v>726</v>
      </c>
      <c r="E102" t="s">
        <v>128</v>
      </c>
      <c r="F102">
        <v>0</v>
      </c>
      <c r="G102" t="s">
        <v>128</v>
      </c>
      <c r="H102" t="s">
        <v>128</v>
      </c>
      <c r="I102" t="s">
        <v>128</v>
      </c>
      <c r="J102" t="s">
        <v>128</v>
      </c>
      <c r="K102" t="s">
        <v>128</v>
      </c>
      <c r="L102" t="s">
        <v>128</v>
      </c>
      <c r="M102" t="s">
        <v>729</v>
      </c>
      <c r="N102" t="b">
        <v>0</v>
      </c>
    </row>
    <row r="103" spans="1:14">
      <c r="A103">
        <v>2</v>
      </c>
      <c r="B103">
        <v>3</v>
      </c>
      <c r="C103" t="s">
        <v>128</v>
      </c>
      <c r="D103" t="s">
        <v>726</v>
      </c>
      <c r="E103" t="s">
        <v>128</v>
      </c>
      <c r="F103">
        <v>0</v>
      </c>
      <c r="G103" t="s">
        <v>128</v>
      </c>
      <c r="H103" t="s">
        <v>128</v>
      </c>
      <c r="I103" t="s">
        <v>128</v>
      </c>
      <c r="J103" t="s">
        <v>128</v>
      </c>
      <c r="K103" t="s">
        <v>128</v>
      </c>
      <c r="L103" t="s">
        <v>128</v>
      </c>
      <c r="M103" t="s">
        <v>730</v>
      </c>
      <c r="N103" t="b">
        <v>0</v>
      </c>
    </row>
    <row r="104" spans="1:14">
      <c r="A104">
        <v>2</v>
      </c>
      <c r="B104">
        <v>4</v>
      </c>
      <c r="C104" t="s">
        <v>128</v>
      </c>
      <c r="D104" t="s">
        <v>726</v>
      </c>
      <c r="E104" t="s">
        <v>128</v>
      </c>
      <c r="F104">
        <v>0</v>
      </c>
      <c r="G104" t="s">
        <v>128</v>
      </c>
      <c r="H104" t="s">
        <v>128</v>
      </c>
      <c r="I104" t="s">
        <v>128</v>
      </c>
      <c r="J104" t="s">
        <v>128</v>
      </c>
      <c r="K104" t="s">
        <v>128</v>
      </c>
      <c r="L104" t="s">
        <v>128</v>
      </c>
      <c r="M104" t="s">
        <v>731</v>
      </c>
      <c r="N104" t="b">
        <v>0</v>
      </c>
    </row>
    <row r="105" spans="1:14">
      <c r="A105">
        <v>2</v>
      </c>
      <c r="B105">
        <v>5</v>
      </c>
      <c r="C105" t="s">
        <v>128</v>
      </c>
      <c r="D105" t="s">
        <v>726</v>
      </c>
      <c r="E105" t="s">
        <v>128</v>
      </c>
      <c r="F105">
        <v>0</v>
      </c>
      <c r="G105" t="s">
        <v>128</v>
      </c>
      <c r="H105" t="s">
        <v>128</v>
      </c>
      <c r="I105" t="s">
        <v>128</v>
      </c>
      <c r="J105" t="s">
        <v>128</v>
      </c>
      <c r="K105" t="s">
        <v>128</v>
      </c>
      <c r="L105" t="s">
        <v>128</v>
      </c>
      <c r="M105" t="s">
        <v>732</v>
      </c>
      <c r="N105" t="b">
        <v>0</v>
      </c>
    </row>
    <row r="106" spans="1:14">
      <c r="A106">
        <v>2</v>
      </c>
      <c r="B106">
        <v>6</v>
      </c>
      <c r="C106" t="s">
        <v>128</v>
      </c>
      <c r="D106" t="s">
        <v>726</v>
      </c>
      <c r="E106" t="s">
        <v>128</v>
      </c>
      <c r="F106">
        <v>0</v>
      </c>
      <c r="G106" t="s">
        <v>128</v>
      </c>
      <c r="H106" t="s">
        <v>128</v>
      </c>
      <c r="I106" t="s">
        <v>128</v>
      </c>
      <c r="J106" t="s">
        <v>128</v>
      </c>
      <c r="K106" t="s">
        <v>128</v>
      </c>
      <c r="L106" t="s">
        <v>128</v>
      </c>
      <c r="M106" t="s">
        <v>733</v>
      </c>
      <c r="N106" t="b">
        <v>0</v>
      </c>
    </row>
    <row r="107" spans="1:14">
      <c r="A107">
        <v>2</v>
      </c>
      <c r="B107">
        <v>7</v>
      </c>
      <c r="C107" t="s">
        <v>128</v>
      </c>
      <c r="D107" t="s">
        <v>726</v>
      </c>
      <c r="E107" t="s">
        <v>128</v>
      </c>
      <c r="F107">
        <v>0</v>
      </c>
      <c r="G107" t="s">
        <v>128</v>
      </c>
      <c r="H107" t="s">
        <v>128</v>
      </c>
      <c r="I107" t="s">
        <v>128</v>
      </c>
      <c r="J107" t="s">
        <v>128</v>
      </c>
      <c r="K107" t="s">
        <v>128</v>
      </c>
      <c r="L107" t="s">
        <v>128</v>
      </c>
      <c r="M107" t="s">
        <v>734</v>
      </c>
      <c r="N107" t="b">
        <v>0</v>
      </c>
    </row>
    <row r="108" spans="1:14">
      <c r="A108">
        <v>2</v>
      </c>
      <c r="B108">
        <v>8</v>
      </c>
      <c r="C108" t="s">
        <v>128</v>
      </c>
      <c r="D108" t="s">
        <v>726</v>
      </c>
      <c r="E108" t="s">
        <v>128</v>
      </c>
      <c r="F108">
        <v>0</v>
      </c>
      <c r="G108" t="s">
        <v>128</v>
      </c>
      <c r="H108" t="s">
        <v>128</v>
      </c>
      <c r="I108" t="s">
        <v>128</v>
      </c>
      <c r="J108" t="s">
        <v>128</v>
      </c>
      <c r="K108" t="s">
        <v>128</v>
      </c>
      <c r="L108" t="s">
        <v>128</v>
      </c>
      <c r="M108" t="s">
        <v>735</v>
      </c>
      <c r="N108" t="b">
        <v>0</v>
      </c>
    </row>
    <row r="109" spans="1:14">
      <c r="A109">
        <v>2</v>
      </c>
      <c r="B109">
        <v>9</v>
      </c>
      <c r="C109" t="s">
        <v>128</v>
      </c>
      <c r="D109" t="s">
        <v>726</v>
      </c>
      <c r="E109" t="s">
        <v>128</v>
      </c>
      <c r="F109">
        <v>0</v>
      </c>
      <c r="G109" t="s">
        <v>128</v>
      </c>
      <c r="H109" t="s">
        <v>128</v>
      </c>
      <c r="I109" t="s">
        <v>128</v>
      </c>
      <c r="J109" t="s">
        <v>128</v>
      </c>
      <c r="K109" t="s">
        <v>128</v>
      </c>
      <c r="L109" t="s">
        <v>128</v>
      </c>
      <c r="M109" t="s">
        <v>736</v>
      </c>
      <c r="N109" t="b">
        <v>0</v>
      </c>
    </row>
    <row r="110" spans="1:14">
      <c r="A110">
        <v>2</v>
      </c>
      <c r="B110">
        <v>10</v>
      </c>
      <c r="C110" t="s">
        <v>128</v>
      </c>
      <c r="D110" t="s">
        <v>726</v>
      </c>
      <c r="E110" t="s">
        <v>128</v>
      </c>
      <c r="F110">
        <v>0</v>
      </c>
      <c r="G110" t="s">
        <v>128</v>
      </c>
      <c r="H110" t="s">
        <v>128</v>
      </c>
      <c r="I110" t="s">
        <v>128</v>
      </c>
      <c r="J110" t="s">
        <v>128</v>
      </c>
      <c r="K110" t="s">
        <v>128</v>
      </c>
      <c r="L110" t="s">
        <v>128</v>
      </c>
      <c r="M110" t="s">
        <v>737</v>
      </c>
      <c r="N110" t="b">
        <v>0</v>
      </c>
    </row>
    <row r="111" spans="1:14">
      <c r="A111">
        <v>2</v>
      </c>
      <c r="B111">
        <v>11</v>
      </c>
      <c r="C111" t="s">
        <v>128</v>
      </c>
      <c r="D111" t="s">
        <v>726</v>
      </c>
      <c r="E111" t="s">
        <v>128</v>
      </c>
      <c r="F111">
        <v>0</v>
      </c>
      <c r="G111" t="s">
        <v>128</v>
      </c>
      <c r="H111" t="s">
        <v>128</v>
      </c>
      <c r="I111" t="s">
        <v>128</v>
      </c>
      <c r="J111" t="s">
        <v>128</v>
      </c>
      <c r="K111" t="s">
        <v>128</v>
      </c>
      <c r="L111" t="s">
        <v>128</v>
      </c>
      <c r="M111" t="s">
        <v>738</v>
      </c>
      <c r="N111" t="b">
        <v>0</v>
      </c>
    </row>
    <row r="112" spans="1:14">
      <c r="A112">
        <v>2</v>
      </c>
      <c r="B112">
        <v>12</v>
      </c>
      <c r="C112" t="s">
        <v>128</v>
      </c>
      <c r="D112" t="s">
        <v>726</v>
      </c>
      <c r="E112" t="s">
        <v>128</v>
      </c>
      <c r="F112">
        <v>0</v>
      </c>
      <c r="G112" t="s">
        <v>128</v>
      </c>
      <c r="H112" t="s">
        <v>128</v>
      </c>
      <c r="I112" t="s">
        <v>128</v>
      </c>
      <c r="J112" t="s">
        <v>128</v>
      </c>
      <c r="K112" t="s">
        <v>128</v>
      </c>
      <c r="L112" t="s">
        <v>128</v>
      </c>
      <c r="M112" t="s">
        <v>739</v>
      </c>
      <c r="N112" t="b">
        <v>0</v>
      </c>
    </row>
    <row r="113" spans="1:14">
      <c r="A113">
        <v>2</v>
      </c>
      <c r="B113">
        <v>13</v>
      </c>
      <c r="C113" t="s">
        <v>128</v>
      </c>
      <c r="D113" t="s">
        <v>726</v>
      </c>
      <c r="E113" t="s">
        <v>128</v>
      </c>
      <c r="F113">
        <v>0</v>
      </c>
      <c r="G113" t="s">
        <v>128</v>
      </c>
      <c r="H113" t="s">
        <v>128</v>
      </c>
      <c r="I113" t="s">
        <v>128</v>
      </c>
      <c r="J113" t="s">
        <v>128</v>
      </c>
      <c r="K113" t="s">
        <v>128</v>
      </c>
      <c r="L113" t="s">
        <v>128</v>
      </c>
      <c r="M113" t="s">
        <v>740</v>
      </c>
      <c r="N113" t="b">
        <v>0</v>
      </c>
    </row>
    <row r="114" spans="1:14">
      <c r="A114">
        <v>2</v>
      </c>
      <c r="B114">
        <v>14</v>
      </c>
      <c r="C114" t="s">
        <v>128</v>
      </c>
      <c r="D114" t="s">
        <v>726</v>
      </c>
      <c r="E114" t="s">
        <v>128</v>
      </c>
      <c r="F114">
        <v>0</v>
      </c>
      <c r="G114" t="s">
        <v>128</v>
      </c>
      <c r="H114" t="s">
        <v>128</v>
      </c>
      <c r="I114" t="s">
        <v>128</v>
      </c>
      <c r="J114" t="s">
        <v>128</v>
      </c>
      <c r="K114" t="s">
        <v>128</v>
      </c>
      <c r="L114" t="s">
        <v>128</v>
      </c>
      <c r="M114" t="s">
        <v>741</v>
      </c>
      <c r="N114" t="b">
        <v>0</v>
      </c>
    </row>
    <row r="115" spans="1:14">
      <c r="A115">
        <v>2</v>
      </c>
      <c r="B115">
        <v>15</v>
      </c>
      <c r="C115" t="s">
        <v>128</v>
      </c>
      <c r="D115" t="s">
        <v>726</v>
      </c>
      <c r="E115" t="s">
        <v>128</v>
      </c>
      <c r="F115">
        <v>0</v>
      </c>
      <c r="G115" t="s">
        <v>128</v>
      </c>
      <c r="H115" t="s">
        <v>128</v>
      </c>
      <c r="I115" t="s">
        <v>128</v>
      </c>
      <c r="J115" t="s">
        <v>128</v>
      </c>
      <c r="K115" t="s">
        <v>128</v>
      </c>
      <c r="L115" t="s">
        <v>128</v>
      </c>
      <c r="M115" t="s">
        <v>742</v>
      </c>
      <c r="N115" t="b">
        <v>0</v>
      </c>
    </row>
    <row r="116" spans="1:14">
      <c r="A116">
        <v>2</v>
      </c>
      <c r="B116">
        <v>16</v>
      </c>
      <c r="C116" t="s">
        <v>128</v>
      </c>
      <c r="D116" t="s">
        <v>743</v>
      </c>
      <c r="E116" t="s">
        <v>128</v>
      </c>
      <c r="F116">
        <v>0</v>
      </c>
      <c r="G116" t="s">
        <v>128</v>
      </c>
      <c r="H116" t="s">
        <v>128</v>
      </c>
      <c r="I116" t="s">
        <v>128</v>
      </c>
      <c r="J116" t="s">
        <v>128</v>
      </c>
      <c r="K116" t="s">
        <v>128</v>
      </c>
      <c r="L116" t="s">
        <v>128</v>
      </c>
      <c r="M116" t="s">
        <v>744</v>
      </c>
      <c r="N116" t="b">
        <v>0</v>
      </c>
    </row>
    <row r="117" spans="1:14">
      <c r="A117">
        <v>2</v>
      </c>
      <c r="B117">
        <v>17</v>
      </c>
      <c r="C117" t="s">
        <v>128</v>
      </c>
      <c r="D117" t="s">
        <v>743</v>
      </c>
      <c r="E117" t="s">
        <v>128</v>
      </c>
      <c r="F117">
        <v>0</v>
      </c>
      <c r="G117" t="s">
        <v>128</v>
      </c>
      <c r="H117" t="s">
        <v>128</v>
      </c>
      <c r="I117" t="s">
        <v>128</v>
      </c>
      <c r="J117" t="s">
        <v>128</v>
      </c>
      <c r="K117" t="s">
        <v>128</v>
      </c>
      <c r="L117" t="s">
        <v>128</v>
      </c>
      <c r="M117" t="s">
        <v>745</v>
      </c>
      <c r="N117" t="b">
        <v>0</v>
      </c>
    </row>
    <row r="118" spans="1:14">
      <c r="A118">
        <v>2</v>
      </c>
      <c r="B118">
        <v>18</v>
      </c>
      <c r="C118" t="s">
        <v>128</v>
      </c>
      <c r="D118" t="s">
        <v>743</v>
      </c>
      <c r="E118" t="s">
        <v>128</v>
      </c>
      <c r="F118">
        <v>0</v>
      </c>
      <c r="G118" t="s">
        <v>128</v>
      </c>
      <c r="H118" t="s">
        <v>128</v>
      </c>
      <c r="I118" t="s">
        <v>128</v>
      </c>
      <c r="J118" t="s">
        <v>128</v>
      </c>
      <c r="K118" t="s">
        <v>128</v>
      </c>
      <c r="L118" t="s">
        <v>128</v>
      </c>
      <c r="M118" t="s">
        <v>746</v>
      </c>
      <c r="N118" t="b">
        <v>0</v>
      </c>
    </row>
    <row r="119" spans="1:14">
      <c r="A119">
        <v>2</v>
      </c>
      <c r="B119">
        <v>19</v>
      </c>
      <c r="C119" t="s">
        <v>128</v>
      </c>
      <c r="D119" t="s">
        <v>743</v>
      </c>
      <c r="E119" t="s">
        <v>128</v>
      </c>
      <c r="F119">
        <v>0</v>
      </c>
      <c r="G119" t="s">
        <v>128</v>
      </c>
      <c r="H119" t="s">
        <v>128</v>
      </c>
      <c r="I119" t="s">
        <v>128</v>
      </c>
      <c r="J119" t="s">
        <v>128</v>
      </c>
      <c r="K119" t="s">
        <v>128</v>
      </c>
      <c r="L119" t="s">
        <v>128</v>
      </c>
      <c r="M119" t="s">
        <v>747</v>
      </c>
      <c r="N119" t="b">
        <v>0</v>
      </c>
    </row>
    <row r="120" spans="1:14">
      <c r="A120">
        <v>2</v>
      </c>
      <c r="B120">
        <v>20</v>
      </c>
      <c r="C120" t="s">
        <v>128</v>
      </c>
      <c r="D120" t="s">
        <v>743</v>
      </c>
      <c r="E120" t="s">
        <v>128</v>
      </c>
      <c r="F120">
        <v>0</v>
      </c>
      <c r="G120" t="s">
        <v>128</v>
      </c>
      <c r="H120" t="s">
        <v>128</v>
      </c>
      <c r="I120" t="s">
        <v>128</v>
      </c>
      <c r="J120" t="s">
        <v>128</v>
      </c>
      <c r="K120" t="s">
        <v>128</v>
      </c>
      <c r="L120" t="s">
        <v>128</v>
      </c>
      <c r="M120" t="s">
        <v>748</v>
      </c>
      <c r="N120" t="b">
        <v>0</v>
      </c>
    </row>
    <row r="121" spans="1:14">
      <c r="A121">
        <v>2</v>
      </c>
      <c r="B121">
        <v>21</v>
      </c>
      <c r="C121" t="s">
        <v>128</v>
      </c>
      <c r="D121" t="s">
        <v>743</v>
      </c>
      <c r="E121" t="s">
        <v>128</v>
      </c>
      <c r="F121">
        <v>0</v>
      </c>
      <c r="G121" t="s">
        <v>128</v>
      </c>
      <c r="H121" t="s">
        <v>128</v>
      </c>
      <c r="I121" t="s">
        <v>128</v>
      </c>
      <c r="J121" t="s">
        <v>128</v>
      </c>
      <c r="K121" t="s">
        <v>128</v>
      </c>
      <c r="L121" t="s">
        <v>128</v>
      </c>
      <c r="M121" t="s">
        <v>749</v>
      </c>
      <c r="N121" t="b">
        <v>0</v>
      </c>
    </row>
    <row r="122" spans="1:14">
      <c r="A122">
        <v>2</v>
      </c>
      <c r="B122">
        <v>22</v>
      </c>
      <c r="C122" t="s">
        <v>128</v>
      </c>
      <c r="D122" t="s">
        <v>743</v>
      </c>
      <c r="E122" t="s">
        <v>128</v>
      </c>
      <c r="F122">
        <v>0</v>
      </c>
      <c r="G122" t="s">
        <v>128</v>
      </c>
      <c r="H122" t="s">
        <v>128</v>
      </c>
      <c r="I122" t="s">
        <v>128</v>
      </c>
      <c r="J122" t="s">
        <v>128</v>
      </c>
      <c r="K122" t="s">
        <v>128</v>
      </c>
      <c r="L122" t="s">
        <v>128</v>
      </c>
      <c r="M122" t="s">
        <v>750</v>
      </c>
      <c r="N122" t="b">
        <v>0</v>
      </c>
    </row>
    <row r="123" spans="1:14">
      <c r="A123">
        <v>2</v>
      </c>
      <c r="B123">
        <v>23</v>
      </c>
      <c r="C123" t="s">
        <v>128</v>
      </c>
      <c r="D123" t="s">
        <v>743</v>
      </c>
      <c r="E123" t="s">
        <v>128</v>
      </c>
      <c r="F123">
        <v>0</v>
      </c>
      <c r="G123" t="s">
        <v>128</v>
      </c>
      <c r="H123" t="s">
        <v>128</v>
      </c>
      <c r="I123" t="s">
        <v>128</v>
      </c>
      <c r="J123" t="s">
        <v>128</v>
      </c>
      <c r="K123" t="s">
        <v>128</v>
      </c>
      <c r="L123" t="s">
        <v>128</v>
      </c>
      <c r="M123" t="s">
        <v>751</v>
      </c>
      <c r="N123" t="b">
        <v>0</v>
      </c>
    </row>
    <row r="124" spans="1:14">
      <c r="A124">
        <v>2</v>
      </c>
      <c r="B124">
        <v>24</v>
      </c>
      <c r="C124" t="s">
        <v>128</v>
      </c>
      <c r="D124" t="s">
        <v>743</v>
      </c>
      <c r="E124" t="s">
        <v>128</v>
      </c>
      <c r="F124">
        <v>0</v>
      </c>
      <c r="G124" t="s">
        <v>128</v>
      </c>
      <c r="H124" t="s">
        <v>128</v>
      </c>
      <c r="I124" t="s">
        <v>128</v>
      </c>
      <c r="J124" t="s">
        <v>128</v>
      </c>
      <c r="K124" t="s">
        <v>128</v>
      </c>
      <c r="L124" t="s">
        <v>128</v>
      </c>
      <c r="M124" t="s">
        <v>752</v>
      </c>
      <c r="N124" t="b">
        <v>0</v>
      </c>
    </row>
    <row r="125" spans="1:14">
      <c r="A125">
        <v>2</v>
      </c>
      <c r="B125">
        <v>25</v>
      </c>
      <c r="C125" t="s">
        <v>128</v>
      </c>
      <c r="D125" t="s">
        <v>743</v>
      </c>
      <c r="E125" t="s">
        <v>128</v>
      </c>
      <c r="F125">
        <v>0</v>
      </c>
      <c r="G125" t="s">
        <v>128</v>
      </c>
      <c r="H125" t="s">
        <v>128</v>
      </c>
      <c r="I125" t="s">
        <v>128</v>
      </c>
      <c r="J125" t="s">
        <v>128</v>
      </c>
      <c r="K125" t="s">
        <v>128</v>
      </c>
      <c r="L125" t="s">
        <v>128</v>
      </c>
      <c r="M125" t="s">
        <v>753</v>
      </c>
      <c r="N125" t="b">
        <v>0</v>
      </c>
    </row>
    <row r="126" spans="1:14">
      <c r="A126">
        <v>2</v>
      </c>
      <c r="B126">
        <v>26</v>
      </c>
      <c r="C126" t="s">
        <v>128</v>
      </c>
      <c r="D126" t="s">
        <v>743</v>
      </c>
      <c r="E126" t="s">
        <v>128</v>
      </c>
      <c r="F126">
        <v>0</v>
      </c>
      <c r="G126" t="s">
        <v>128</v>
      </c>
      <c r="H126" t="s">
        <v>128</v>
      </c>
      <c r="I126" t="s">
        <v>128</v>
      </c>
      <c r="J126" t="s">
        <v>128</v>
      </c>
      <c r="K126" t="s">
        <v>128</v>
      </c>
      <c r="L126" t="s">
        <v>128</v>
      </c>
      <c r="M126" t="s">
        <v>754</v>
      </c>
      <c r="N126" t="b">
        <v>0</v>
      </c>
    </row>
    <row r="127" spans="1:14">
      <c r="A127">
        <v>8</v>
      </c>
      <c r="B127">
        <v>0</v>
      </c>
      <c r="C127" t="s">
        <v>159</v>
      </c>
      <c r="D127" t="s">
        <v>755</v>
      </c>
      <c r="E127" t="s">
        <v>128</v>
      </c>
      <c r="F127">
        <v>50</v>
      </c>
      <c r="G127" t="s">
        <v>756</v>
      </c>
      <c r="H127" t="s">
        <v>128</v>
      </c>
      <c r="I127" t="s">
        <v>128</v>
      </c>
      <c r="J127" t="s">
        <v>757</v>
      </c>
      <c r="K127" t="s">
        <v>758</v>
      </c>
      <c r="L127" t="s">
        <v>759</v>
      </c>
      <c r="M127" t="s">
        <v>760</v>
      </c>
      <c r="N127" t="b">
        <v>0</v>
      </c>
    </row>
    <row r="128" spans="1:14">
      <c r="A128">
        <v>8</v>
      </c>
      <c r="B128">
        <v>1</v>
      </c>
      <c r="C128" t="s">
        <v>160</v>
      </c>
      <c r="D128" t="s">
        <v>726</v>
      </c>
      <c r="E128" t="s">
        <v>83</v>
      </c>
      <c r="F128">
        <v>40</v>
      </c>
      <c r="G128" t="s">
        <v>128</v>
      </c>
      <c r="H128" t="s">
        <v>128</v>
      </c>
      <c r="I128" t="s">
        <v>83</v>
      </c>
      <c r="J128" t="s">
        <v>128</v>
      </c>
      <c r="K128" t="s">
        <v>128</v>
      </c>
      <c r="L128" t="s">
        <v>128</v>
      </c>
      <c r="M128" t="s">
        <v>761</v>
      </c>
      <c r="N128" t="b">
        <v>0</v>
      </c>
    </row>
    <row r="129" spans="1:14">
      <c r="A129">
        <v>8</v>
      </c>
      <c r="B129">
        <v>2</v>
      </c>
      <c r="C129" t="s">
        <v>161</v>
      </c>
      <c r="D129" t="s">
        <v>755</v>
      </c>
      <c r="E129" t="s">
        <v>299</v>
      </c>
      <c r="F129">
        <v>50</v>
      </c>
      <c r="G129" t="s">
        <v>762</v>
      </c>
      <c r="H129" t="s">
        <v>128</v>
      </c>
      <c r="I129" t="s">
        <v>128</v>
      </c>
      <c r="J129" t="s">
        <v>763</v>
      </c>
      <c r="K129" t="s">
        <v>764</v>
      </c>
      <c r="L129" t="s">
        <v>765</v>
      </c>
      <c r="M129" t="s">
        <v>766</v>
      </c>
      <c r="N129" t="b">
        <v>0</v>
      </c>
    </row>
    <row r="130" spans="1:14">
      <c r="A130">
        <v>8</v>
      </c>
      <c r="B130">
        <v>3</v>
      </c>
      <c r="C130" t="s">
        <v>162</v>
      </c>
      <c r="D130" t="s">
        <v>755</v>
      </c>
      <c r="E130" t="s">
        <v>299</v>
      </c>
      <c r="F130">
        <v>40</v>
      </c>
      <c r="G130" t="s">
        <v>762</v>
      </c>
      <c r="H130" t="s">
        <v>128</v>
      </c>
      <c r="I130" t="s">
        <v>128</v>
      </c>
      <c r="J130" t="s">
        <v>763</v>
      </c>
      <c r="K130" t="s">
        <v>767</v>
      </c>
      <c r="L130" t="s">
        <v>768</v>
      </c>
      <c r="M130" t="s">
        <v>769</v>
      </c>
      <c r="N130" t="b">
        <v>0</v>
      </c>
    </row>
    <row r="131" spans="1:14">
      <c r="A131">
        <v>8</v>
      </c>
      <c r="B131">
        <v>4</v>
      </c>
      <c r="C131" t="s">
        <v>163</v>
      </c>
      <c r="D131" t="s">
        <v>726</v>
      </c>
      <c r="E131" t="s">
        <v>114</v>
      </c>
      <c r="F131">
        <v>60</v>
      </c>
      <c r="G131" t="s">
        <v>128</v>
      </c>
      <c r="H131" t="s">
        <v>128</v>
      </c>
      <c r="I131" t="s">
        <v>114</v>
      </c>
      <c r="J131" t="s">
        <v>128</v>
      </c>
      <c r="K131" t="s">
        <v>128</v>
      </c>
      <c r="L131" t="s">
        <v>128</v>
      </c>
      <c r="M131" t="s">
        <v>770</v>
      </c>
      <c r="N131" t="b">
        <v>0</v>
      </c>
    </row>
    <row r="132" spans="1:14">
      <c r="A132">
        <v>8</v>
      </c>
      <c r="B132">
        <v>5</v>
      </c>
      <c r="C132" t="s">
        <v>164</v>
      </c>
      <c r="D132" t="s">
        <v>726</v>
      </c>
      <c r="E132" t="s">
        <v>76</v>
      </c>
      <c r="F132">
        <v>40</v>
      </c>
      <c r="G132" t="s">
        <v>128</v>
      </c>
      <c r="H132" t="s">
        <v>128</v>
      </c>
      <c r="I132" t="s">
        <v>76</v>
      </c>
      <c r="J132" t="s">
        <v>128</v>
      </c>
      <c r="K132" t="s">
        <v>128</v>
      </c>
      <c r="L132" t="s">
        <v>128</v>
      </c>
      <c r="M132" t="s">
        <v>771</v>
      </c>
      <c r="N132" t="b">
        <v>0</v>
      </c>
    </row>
    <row r="133" spans="1:14">
      <c r="A133">
        <v>8</v>
      </c>
      <c r="B133">
        <v>6</v>
      </c>
      <c r="C133" t="s">
        <v>165</v>
      </c>
      <c r="D133" t="s">
        <v>726</v>
      </c>
      <c r="E133" t="s">
        <v>78</v>
      </c>
      <c r="F133">
        <v>40</v>
      </c>
      <c r="G133" t="s">
        <v>128</v>
      </c>
      <c r="H133" t="s">
        <v>128</v>
      </c>
      <c r="I133" t="s">
        <v>78</v>
      </c>
      <c r="J133" t="s">
        <v>128</v>
      </c>
      <c r="K133" t="s">
        <v>128</v>
      </c>
      <c r="L133" t="s">
        <v>128</v>
      </c>
      <c r="M133" t="s">
        <v>772</v>
      </c>
      <c r="N133" t="b">
        <v>0</v>
      </c>
    </row>
    <row r="134" spans="1:14">
      <c r="A134">
        <v>8</v>
      </c>
      <c r="B134">
        <v>7</v>
      </c>
      <c r="C134" t="s">
        <v>128</v>
      </c>
      <c r="D134" t="s">
        <v>726</v>
      </c>
      <c r="E134" t="s">
        <v>128</v>
      </c>
      <c r="F134">
        <v>0</v>
      </c>
      <c r="G134" t="s">
        <v>128</v>
      </c>
      <c r="H134" t="s">
        <v>128</v>
      </c>
      <c r="I134" t="s">
        <v>128</v>
      </c>
      <c r="J134" t="s">
        <v>128</v>
      </c>
      <c r="K134" t="s">
        <v>128</v>
      </c>
      <c r="L134" t="s">
        <v>128</v>
      </c>
      <c r="M134" t="s">
        <v>773</v>
      </c>
      <c r="N134" t="b">
        <v>0</v>
      </c>
    </row>
    <row r="135" spans="1:14">
      <c r="A135">
        <v>8</v>
      </c>
      <c r="B135">
        <v>8</v>
      </c>
      <c r="C135" t="s">
        <v>128</v>
      </c>
      <c r="D135" t="s">
        <v>726</v>
      </c>
      <c r="E135" t="s">
        <v>128</v>
      </c>
      <c r="F135">
        <v>0</v>
      </c>
      <c r="G135" t="s">
        <v>128</v>
      </c>
      <c r="H135" t="s">
        <v>128</v>
      </c>
      <c r="I135" t="s">
        <v>128</v>
      </c>
      <c r="J135" t="s">
        <v>128</v>
      </c>
      <c r="K135" t="s">
        <v>128</v>
      </c>
      <c r="L135" t="s">
        <v>128</v>
      </c>
      <c r="M135" t="s">
        <v>774</v>
      </c>
      <c r="N135" t="b">
        <v>0</v>
      </c>
    </row>
    <row r="136" spans="1:14">
      <c r="A136">
        <v>8</v>
      </c>
      <c r="B136">
        <v>9</v>
      </c>
      <c r="C136" t="s">
        <v>128</v>
      </c>
      <c r="D136" t="s">
        <v>726</v>
      </c>
      <c r="E136" t="s">
        <v>128</v>
      </c>
      <c r="F136">
        <v>0</v>
      </c>
      <c r="G136" t="s">
        <v>128</v>
      </c>
      <c r="H136" t="s">
        <v>128</v>
      </c>
      <c r="I136" t="s">
        <v>128</v>
      </c>
      <c r="J136" t="s">
        <v>128</v>
      </c>
      <c r="K136" t="s">
        <v>128</v>
      </c>
      <c r="L136" t="s">
        <v>128</v>
      </c>
      <c r="M136" t="s">
        <v>775</v>
      </c>
      <c r="N136" t="b">
        <v>0</v>
      </c>
    </row>
    <row r="137" spans="1:14">
      <c r="A137">
        <v>8</v>
      </c>
      <c r="B137">
        <v>10</v>
      </c>
      <c r="C137" t="s">
        <v>128</v>
      </c>
      <c r="D137" t="s">
        <v>726</v>
      </c>
      <c r="E137" t="s">
        <v>128</v>
      </c>
      <c r="F137">
        <v>0</v>
      </c>
      <c r="G137" t="s">
        <v>128</v>
      </c>
      <c r="H137" t="s">
        <v>128</v>
      </c>
      <c r="I137" t="s">
        <v>128</v>
      </c>
      <c r="J137" t="s">
        <v>128</v>
      </c>
      <c r="K137" t="s">
        <v>128</v>
      </c>
      <c r="L137" t="s">
        <v>128</v>
      </c>
      <c r="M137" t="s">
        <v>776</v>
      </c>
      <c r="N137" t="b">
        <v>0</v>
      </c>
    </row>
    <row r="138" spans="1:14">
      <c r="A138">
        <v>8</v>
      </c>
      <c r="B138">
        <v>11</v>
      </c>
      <c r="C138" t="s">
        <v>128</v>
      </c>
      <c r="D138" t="s">
        <v>726</v>
      </c>
      <c r="E138" t="s">
        <v>128</v>
      </c>
      <c r="F138">
        <v>0</v>
      </c>
      <c r="G138" t="s">
        <v>128</v>
      </c>
      <c r="H138" t="s">
        <v>128</v>
      </c>
      <c r="I138" t="s">
        <v>128</v>
      </c>
      <c r="J138" t="s">
        <v>128</v>
      </c>
      <c r="K138" t="s">
        <v>128</v>
      </c>
      <c r="L138" t="s">
        <v>128</v>
      </c>
      <c r="M138" t="s">
        <v>777</v>
      </c>
      <c r="N138" t="b">
        <v>0</v>
      </c>
    </row>
    <row r="139" spans="1:14">
      <c r="A139">
        <v>8</v>
      </c>
      <c r="B139">
        <v>12</v>
      </c>
      <c r="C139" t="s">
        <v>128</v>
      </c>
      <c r="D139" t="s">
        <v>726</v>
      </c>
      <c r="E139" t="s">
        <v>128</v>
      </c>
      <c r="F139">
        <v>0</v>
      </c>
      <c r="G139" t="s">
        <v>128</v>
      </c>
      <c r="H139" t="s">
        <v>128</v>
      </c>
      <c r="I139" t="s">
        <v>128</v>
      </c>
      <c r="J139" t="s">
        <v>128</v>
      </c>
      <c r="K139" t="s">
        <v>128</v>
      </c>
      <c r="L139" t="s">
        <v>128</v>
      </c>
      <c r="M139" t="s">
        <v>778</v>
      </c>
      <c r="N139" t="b">
        <v>0</v>
      </c>
    </row>
    <row r="140" spans="1:14">
      <c r="A140">
        <v>8</v>
      </c>
      <c r="B140">
        <v>13</v>
      </c>
      <c r="C140" t="s">
        <v>128</v>
      </c>
      <c r="D140" t="s">
        <v>726</v>
      </c>
      <c r="E140" t="s">
        <v>128</v>
      </c>
      <c r="F140">
        <v>0</v>
      </c>
      <c r="G140" t="s">
        <v>128</v>
      </c>
      <c r="H140" t="s">
        <v>128</v>
      </c>
      <c r="I140" t="s">
        <v>128</v>
      </c>
      <c r="J140" t="s">
        <v>128</v>
      </c>
      <c r="K140" t="s">
        <v>128</v>
      </c>
      <c r="L140" t="s">
        <v>128</v>
      </c>
      <c r="M140" t="s">
        <v>779</v>
      </c>
      <c r="N140" t="b">
        <v>0</v>
      </c>
    </row>
    <row r="141" spans="1:14">
      <c r="A141">
        <v>8</v>
      </c>
      <c r="B141">
        <v>14</v>
      </c>
      <c r="C141" t="s">
        <v>128</v>
      </c>
      <c r="D141" t="s">
        <v>726</v>
      </c>
      <c r="E141" t="s">
        <v>128</v>
      </c>
      <c r="F141">
        <v>0</v>
      </c>
      <c r="G141" t="s">
        <v>128</v>
      </c>
      <c r="H141" t="s">
        <v>128</v>
      </c>
      <c r="I141" t="s">
        <v>128</v>
      </c>
      <c r="J141" t="s">
        <v>128</v>
      </c>
      <c r="K141" t="s">
        <v>128</v>
      </c>
      <c r="L141" t="s">
        <v>128</v>
      </c>
      <c r="M141" t="s">
        <v>780</v>
      </c>
      <c r="N141" t="b">
        <v>0</v>
      </c>
    </row>
    <row r="142" spans="1:14">
      <c r="A142">
        <v>8</v>
      </c>
      <c r="B142">
        <v>15</v>
      </c>
      <c r="C142" t="s">
        <v>128</v>
      </c>
      <c r="D142" t="s">
        <v>726</v>
      </c>
      <c r="E142" t="s">
        <v>128</v>
      </c>
      <c r="F142">
        <v>0</v>
      </c>
      <c r="G142" t="s">
        <v>128</v>
      </c>
      <c r="H142" t="s">
        <v>128</v>
      </c>
      <c r="I142" t="s">
        <v>128</v>
      </c>
      <c r="J142" t="s">
        <v>128</v>
      </c>
      <c r="K142" t="s">
        <v>128</v>
      </c>
      <c r="L142" t="s">
        <v>128</v>
      </c>
      <c r="M142" t="s">
        <v>781</v>
      </c>
      <c r="N142" t="b">
        <v>0</v>
      </c>
    </row>
    <row r="143" spans="1:14">
      <c r="A143">
        <v>8</v>
      </c>
      <c r="B143">
        <v>16</v>
      </c>
      <c r="C143" t="s">
        <v>166</v>
      </c>
      <c r="D143" t="s">
        <v>743</v>
      </c>
      <c r="E143" t="s">
        <v>67</v>
      </c>
      <c r="F143">
        <v>40</v>
      </c>
      <c r="G143" t="s">
        <v>128</v>
      </c>
      <c r="H143" t="s">
        <v>128</v>
      </c>
      <c r="I143" t="s">
        <v>67</v>
      </c>
      <c r="J143" t="s">
        <v>128</v>
      </c>
      <c r="K143" t="s">
        <v>128</v>
      </c>
      <c r="L143" t="s">
        <v>128</v>
      </c>
      <c r="M143" t="s">
        <v>782</v>
      </c>
      <c r="N143" t="b">
        <v>0</v>
      </c>
    </row>
    <row r="144" spans="1:14">
      <c r="A144">
        <v>8</v>
      </c>
      <c r="B144">
        <v>17</v>
      </c>
      <c r="C144" t="s">
        <v>167</v>
      </c>
      <c r="D144" t="s">
        <v>743</v>
      </c>
      <c r="E144" t="s">
        <v>70</v>
      </c>
      <c r="F144">
        <v>40</v>
      </c>
      <c r="G144" t="s">
        <v>128</v>
      </c>
      <c r="H144" t="s">
        <v>128</v>
      </c>
      <c r="I144" t="s">
        <v>70</v>
      </c>
      <c r="J144" t="s">
        <v>128</v>
      </c>
      <c r="K144" t="s">
        <v>128</v>
      </c>
      <c r="L144" t="s">
        <v>128</v>
      </c>
      <c r="M144" t="s">
        <v>783</v>
      </c>
      <c r="N144" t="b">
        <v>0</v>
      </c>
    </row>
    <row r="145" spans="1:14">
      <c r="A145">
        <v>8</v>
      </c>
      <c r="B145">
        <v>18</v>
      </c>
      <c r="C145" t="s">
        <v>168</v>
      </c>
      <c r="D145" t="s">
        <v>743</v>
      </c>
      <c r="E145" t="s">
        <v>115</v>
      </c>
      <c r="F145">
        <v>50</v>
      </c>
      <c r="G145" t="s">
        <v>128</v>
      </c>
      <c r="H145" t="s">
        <v>128</v>
      </c>
      <c r="I145" t="s">
        <v>115</v>
      </c>
      <c r="J145" t="s">
        <v>128</v>
      </c>
      <c r="K145" t="s">
        <v>128</v>
      </c>
      <c r="L145" t="s">
        <v>128</v>
      </c>
      <c r="M145" t="s">
        <v>784</v>
      </c>
      <c r="N145" t="b">
        <v>0</v>
      </c>
    </row>
    <row r="146" spans="1:14">
      <c r="A146">
        <v>8</v>
      </c>
      <c r="B146">
        <v>19</v>
      </c>
      <c r="C146" t="s">
        <v>169</v>
      </c>
      <c r="D146" t="s">
        <v>743</v>
      </c>
      <c r="E146" t="s">
        <v>74</v>
      </c>
      <c r="F146">
        <v>50</v>
      </c>
      <c r="G146" t="s">
        <v>128</v>
      </c>
      <c r="H146" t="s">
        <v>128</v>
      </c>
      <c r="I146" t="s">
        <v>74</v>
      </c>
      <c r="J146" t="s">
        <v>128</v>
      </c>
      <c r="K146" t="s">
        <v>128</v>
      </c>
      <c r="L146" t="s">
        <v>128</v>
      </c>
      <c r="M146" t="s">
        <v>785</v>
      </c>
      <c r="N146" t="b">
        <v>0</v>
      </c>
    </row>
    <row r="147" spans="1:14">
      <c r="A147">
        <v>8</v>
      </c>
      <c r="B147">
        <v>20</v>
      </c>
      <c r="C147" t="s">
        <v>170</v>
      </c>
      <c r="D147" t="s">
        <v>743</v>
      </c>
      <c r="E147" t="s">
        <v>92</v>
      </c>
      <c r="F147">
        <v>50</v>
      </c>
      <c r="G147" t="s">
        <v>128</v>
      </c>
      <c r="H147" t="s">
        <v>128</v>
      </c>
      <c r="I147" t="s">
        <v>92</v>
      </c>
      <c r="J147" t="s">
        <v>128</v>
      </c>
      <c r="K147" t="s">
        <v>128</v>
      </c>
      <c r="L147" t="s">
        <v>128</v>
      </c>
      <c r="M147" t="s">
        <v>786</v>
      </c>
      <c r="N147" t="b">
        <v>0</v>
      </c>
    </row>
    <row r="148" spans="1:14">
      <c r="A148">
        <v>8</v>
      </c>
      <c r="B148">
        <v>21</v>
      </c>
      <c r="C148" t="s">
        <v>171</v>
      </c>
      <c r="D148" t="s">
        <v>743</v>
      </c>
      <c r="E148" t="s">
        <v>98</v>
      </c>
      <c r="F148">
        <v>60</v>
      </c>
      <c r="G148" t="s">
        <v>128</v>
      </c>
      <c r="H148" t="s">
        <v>128</v>
      </c>
      <c r="I148" t="s">
        <v>98</v>
      </c>
      <c r="J148" t="s">
        <v>128</v>
      </c>
      <c r="K148" t="s">
        <v>128</v>
      </c>
      <c r="L148" t="s">
        <v>128</v>
      </c>
      <c r="M148" t="s">
        <v>787</v>
      </c>
      <c r="N148" t="b">
        <v>0</v>
      </c>
    </row>
    <row r="149" spans="1:14">
      <c r="A149">
        <v>8</v>
      </c>
      <c r="B149">
        <v>22</v>
      </c>
      <c r="C149" t="s">
        <v>172</v>
      </c>
      <c r="D149" t="s">
        <v>743</v>
      </c>
      <c r="E149" t="s">
        <v>106</v>
      </c>
      <c r="F149">
        <v>50</v>
      </c>
      <c r="G149" t="s">
        <v>128</v>
      </c>
      <c r="H149" t="s">
        <v>128</v>
      </c>
      <c r="I149" t="s">
        <v>106</v>
      </c>
      <c r="J149" t="s">
        <v>128</v>
      </c>
      <c r="K149" t="s">
        <v>128</v>
      </c>
      <c r="L149" t="s">
        <v>128</v>
      </c>
      <c r="M149" t="s">
        <v>788</v>
      </c>
      <c r="N149" t="b">
        <v>0</v>
      </c>
    </row>
    <row r="150" spans="1:14">
      <c r="A150">
        <v>8</v>
      </c>
      <c r="B150">
        <v>23</v>
      </c>
      <c r="C150" t="s">
        <v>128</v>
      </c>
      <c r="D150" t="s">
        <v>743</v>
      </c>
      <c r="E150" t="s">
        <v>128</v>
      </c>
      <c r="F150">
        <v>0</v>
      </c>
      <c r="G150" t="s">
        <v>128</v>
      </c>
      <c r="H150" t="s">
        <v>128</v>
      </c>
      <c r="I150" t="s">
        <v>128</v>
      </c>
      <c r="J150" t="s">
        <v>128</v>
      </c>
      <c r="K150" t="s">
        <v>128</v>
      </c>
      <c r="L150" t="s">
        <v>128</v>
      </c>
      <c r="M150" t="s">
        <v>789</v>
      </c>
      <c r="N150" t="b">
        <v>0</v>
      </c>
    </row>
    <row r="151" spans="1:14">
      <c r="A151">
        <v>8</v>
      </c>
      <c r="B151">
        <v>24</v>
      </c>
      <c r="C151" t="s">
        <v>128</v>
      </c>
      <c r="D151" t="s">
        <v>743</v>
      </c>
      <c r="E151" t="s">
        <v>128</v>
      </c>
      <c r="F151">
        <v>0</v>
      </c>
      <c r="G151" t="s">
        <v>128</v>
      </c>
      <c r="H151" t="s">
        <v>128</v>
      </c>
      <c r="I151" t="s">
        <v>128</v>
      </c>
      <c r="J151" t="s">
        <v>128</v>
      </c>
      <c r="K151" t="s">
        <v>128</v>
      </c>
      <c r="L151" t="s">
        <v>128</v>
      </c>
      <c r="M151" t="s">
        <v>790</v>
      </c>
      <c r="N151" t="b">
        <v>0</v>
      </c>
    </row>
    <row r="152" spans="1:14">
      <c r="A152">
        <v>8</v>
      </c>
      <c r="B152">
        <v>25</v>
      </c>
      <c r="C152" t="s">
        <v>128</v>
      </c>
      <c r="D152" t="s">
        <v>743</v>
      </c>
      <c r="E152" t="s">
        <v>128</v>
      </c>
      <c r="F152">
        <v>0</v>
      </c>
      <c r="G152" t="s">
        <v>128</v>
      </c>
      <c r="H152" t="s">
        <v>128</v>
      </c>
      <c r="I152" t="s">
        <v>128</v>
      </c>
      <c r="J152" t="s">
        <v>128</v>
      </c>
      <c r="K152" t="s">
        <v>128</v>
      </c>
      <c r="L152" t="s">
        <v>128</v>
      </c>
      <c r="M152" t="s">
        <v>791</v>
      </c>
      <c r="N152" t="b">
        <v>0</v>
      </c>
    </row>
    <row r="153" spans="1:14">
      <c r="A153">
        <v>8</v>
      </c>
      <c r="B153">
        <v>26</v>
      </c>
      <c r="C153" t="s">
        <v>128</v>
      </c>
      <c r="D153" t="s">
        <v>743</v>
      </c>
      <c r="E153" t="s">
        <v>128</v>
      </c>
      <c r="F153">
        <v>0</v>
      </c>
      <c r="G153" t="s">
        <v>128</v>
      </c>
      <c r="H153" t="s">
        <v>128</v>
      </c>
      <c r="I153" t="s">
        <v>128</v>
      </c>
      <c r="J153" t="s">
        <v>128</v>
      </c>
      <c r="K153" t="s">
        <v>128</v>
      </c>
      <c r="L153" t="s">
        <v>128</v>
      </c>
      <c r="M153" t="s">
        <v>792</v>
      </c>
      <c r="N153" t="b">
        <v>0</v>
      </c>
    </row>
    <row r="154" spans="1:14">
      <c r="A154">
        <v>9</v>
      </c>
      <c r="B154">
        <v>0</v>
      </c>
      <c r="C154" t="s">
        <v>174</v>
      </c>
      <c r="D154" t="s">
        <v>726</v>
      </c>
      <c r="E154" t="s">
        <v>87</v>
      </c>
      <c r="F154">
        <v>60</v>
      </c>
      <c r="G154" t="s">
        <v>128</v>
      </c>
      <c r="H154" t="s">
        <v>128</v>
      </c>
      <c r="I154" t="s">
        <v>87</v>
      </c>
      <c r="J154" t="s">
        <v>128</v>
      </c>
      <c r="K154" t="s">
        <v>128</v>
      </c>
      <c r="L154" t="s">
        <v>128</v>
      </c>
      <c r="M154" t="s">
        <v>793</v>
      </c>
      <c r="N154" t="b">
        <v>0</v>
      </c>
    </row>
    <row r="155" spans="1:14">
      <c r="A155">
        <v>9</v>
      </c>
      <c r="B155">
        <v>1</v>
      </c>
      <c r="C155" t="s">
        <v>175</v>
      </c>
      <c r="D155" t="s">
        <v>726</v>
      </c>
      <c r="E155" t="s">
        <v>546</v>
      </c>
      <c r="F155">
        <v>30</v>
      </c>
      <c r="G155" t="s">
        <v>128</v>
      </c>
      <c r="H155" t="s">
        <v>549</v>
      </c>
      <c r="I155" t="s">
        <v>510</v>
      </c>
      <c r="J155" t="s">
        <v>128</v>
      </c>
      <c r="K155" t="s">
        <v>794</v>
      </c>
      <c r="L155" t="s">
        <v>795</v>
      </c>
      <c r="M155" t="s">
        <v>796</v>
      </c>
      <c r="N155" t="b">
        <v>0</v>
      </c>
    </row>
    <row r="156" spans="1:14">
      <c r="A156">
        <v>9</v>
      </c>
      <c r="B156">
        <v>2</v>
      </c>
      <c r="C156" t="s">
        <v>176</v>
      </c>
      <c r="D156" t="s">
        <v>726</v>
      </c>
      <c r="E156" t="s">
        <v>546</v>
      </c>
      <c r="F156">
        <v>30</v>
      </c>
      <c r="G156" t="s">
        <v>128</v>
      </c>
      <c r="H156" t="s">
        <v>559</v>
      </c>
      <c r="I156" t="s">
        <v>488</v>
      </c>
      <c r="J156" t="s">
        <v>128</v>
      </c>
      <c r="K156" t="s">
        <v>797</v>
      </c>
      <c r="L156" t="s">
        <v>798</v>
      </c>
      <c r="M156" t="s">
        <v>799</v>
      </c>
      <c r="N156" t="b">
        <v>0</v>
      </c>
    </row>
    <row r="157" spans="1:14">
      <c r="A157">
        <v>9</v>
      </c>
      <c r="B157">
        <v>3</v>
      </c>
      <c r="C157" t="s">
        <v>177</v>
      </c>
      <c r="D157" t="s">
        <v>726</v>
      </c>
      <c r="E157" t="s">
        <v>546</v>
      </c>
      <c r="F157">
        <v>40</v>
      </c>
      <c r="G157" t="s">
        <v>128</v>
      </c>
      <c r="H157" t="s">
        <v>580</v>
      </c>
      <c r="I157" t="s">
        <v>368</v>
      </c>
      <c r="J157" t="s">
        <v>128</v>
      </c>
      <c r="K157" t="s">
        <v>800</v>
      </c>
      <c r="L157" t="s">
        <v>801</v>
      </c>
      <c r="M157" t="s">
        <v>802</v>
      </c>
      <c r="N157" t="b">
        <v>0</v>
      </c>
    </row>
    <row r="158" spans="1:14">
      <c r="A158">
        <v>9</v>
      </c>
      <c r="B158">
        <v>4</v>
      </c>
      <c r="C158" t="s">
        <v>178</v>
      </c>
      <c r="D158" t="s">
        <v>726</v>
      </c>
      <c r="E158" t="s">
        <v>547</v>
      </c>
      <c r="F158">
        <v>40</v>
      </c>
      <c r="G158" t="s">
        <v>128</v>
      </c>
      <c r="H158" t="s">
        <v>582</v>
      </c>
      <c r="I158" t="s">
        <v>375</v>
      </c>
      <c r="J158" t="s">
        <v>128</v>
      </c>
      <c r="K158" t="s">
        <v>803</v>
      </c>
      <c r="L158" t="s">
        <v>804</v>
      </c>
      <c r="M158" t="s">
        <v>805</v>
      </c>
      <c r="N158" t="b">
        <v>0</v>
      </c>
    </row>
    <row r="159" spans="1:14">
      <c r="A159">
        <v>9</v>
      </c>
      <c r="B159">
        <v>5</v>
      </c>
      <c r="C159" t="s">
        <v>179</v>
      </c>
      <c r="D159" t="s">
        <v>726</v>
      </c>
      <c r="E159" t="s">
        <v>100</v>
      </c>
      <c r="F159">
        <v>40</v>
      </c>
      <c r="G159" t="s">
        <v>128</v>
      </c>
      <c r="H159" t="s">
        <v>128</v>
      </c>
      <c r="I159" t="s">
        <v>100</v>
      </c>
      <c r="J159" t="s">
        <v>128</v>
      </c>
      <c r="K159" t="s">
        <v>128</v>
      </c>
      <c r="L159" t="s">
        <v>128</v>
      </c>
      <c r="M159" t="s">
        <v>806</v>
      </c>
      <c r="N159" t="b">
        <v>0</v>
      </c>
    </row>
    <row r="160" spans="1:14">
      <c r="A160">
        <v>9</v>
      </c>
      <c r="B160">
        <v>6</v>
      </c>
      <c r="C160" t="s">
        <v>128</v>
      </c>
      <c r="D160" t="s">
        <v>726</v>
      </c>
      <c r="E160" t="s">
        <v>128</v>
      </c>
      <c r="F160">
        <v>0</v>
      </c>
      <c r="G160" t="s">
        <v>128</v>
      </c>
      <c r="H160" t="s">
        <v>128</v>
      </c>
      <c r="I160" t="s">
        <v>128</v>
      </c>
      <c r="J160" t="s">
        <v>128</v>
      </c>
      <c r="K160" t="s">
        <v>128</v>
      </c>
      <c r="L160" t="s">
        <v>128</v>
      </c>
      <c r="M160" t="s">
        <v>807</v>
      </c>
      <c r="N160" t="b">
        <v>0</v>
      </c>
    </row>
    <row r="161" spans="1:14">
      <c r="A161">
        <v>9</v>
      </c>
      <c r="B161">
        <v>7</v>
      </c>
      <c r="C161" t="s">
        <v>128</v>
      </c>
      <c r="D161" t="s">
        <v>726</v>
      </c>
      <c r="E161" t="s">
        <v>128</v>
      </c>
      <c r="F161">
        <v>0</v>
      </c>
      <c r="G161" t="s">
        <v>128</v>
      </c>
      <c r="H161" t="s">
        <v>128</v>
      </c>
      <c r="I161" t="s">
        <v>128</v>
      </c>
      <c r="J161" t="s">
        <v>128</v>
      </c>
      <c r="K161" t="s">
        <v>128</v>
      </c>
      <c r="L161" t="s">
        <v>128</v>
      </c>
      <c r="M161" t="s">
        <v>808</v>
      </c>
      <c r="N161" t="b">
        <v>0</v>
      </c>
    </row>
    <row r="162" spans="1:14">
      <c r="A162">
        <v>9</v>
      </c>
      <c r="B162">
        <v>8</v>
      </c>
      <c r="C162" t="s">
        <v>128</v>
      </c>
      <c r="D162" t="s">
        <v>726</v>
      </c>
      <c r="E162" t="s">
        <v>128</v>
      </c>
      <c r="F162">
        <v>0</v>
      </c>
      <c r="G162" t="s">
        <v>128</v>
      </c>
      <c r="H162" t="s">
        <v>128</v>
      </c>
      <c r="I162" t="s">
        <v>128</v>
      </c>
      <c r="J162" t="s">
        <v>128</v>
      </c>
      <c r="K162" t="s">
        <v>128</v>
      </c>
      <c r="L162" t="s">
        <v>128</v>
      </c>
      <c r="M162" t="s">
        <v>809</v>
      </c>
      <c r="N162" t="b">
        <v>0</v>
      </c>
    </row>
    <row r="163" spans="1:14">
      <c r="A163">
        <v>9</v>
      </c>
      <c r="B163">
        <v>9</v>
      </c>
      <c r="C163" t="s">
        <v>128</v>
      </c>
      <c r="D163" t="s">
        <v>726</v>
      </c>
      <c r="E163" t="s">
        <v>128</v>
      </c>
      <c r="F163">
        <v>0</v>
      </c>
      <c r="G163" t="s">
        <v>128</v>
      </c>
      <c r="H163" t="s">
        <v>128</v>
      </c>
      <c r="I163" t="s">
        <v>128</v>
      </c>
      <c r="J163" t="s">
        <v>128</v>
      </c>
      <c r="K163" t="s">
        <v>128</v>
      </c>
      <c r="L163" t="s">
        <v>128</v>
      </c>
      <c r="M163" t="s">
        <v>810</v>
      </c>
      <c r="N163" t="b">
        <v>0</v>
      </c>
    </row>
    <row r="164" spans="1:14">
      <c r="A164">
        <v>9</v>
      </c>
      <c r="B164">
        <v>10</v>
      </c>
      <c r="C164" t="s">
        <v>128</v>
      </c>
      <c r="D164" t="s">
        <v>726</v>
      </c>
      <c r="E164" t="s">
        <v>128</v>
      </c>
      <c r="F164">
        <v>0</v>
      </c>
      <c r="G164" t="s">
        <v>128</v>
      </c>
      <c r="H164" t="s">
        <v>128</v>
      </c>
      <c r="I164" t="s">
        <v>128</v>
      </c>
      <c r="J164" t="s">
        <v>128</v>
      </c>
      <c r="K164" t="s">
        <v>128</v>
      </c>
      <c r="L164" t="s">
        <v>128</v>
      </c>
      <c r="M164" t="s">
        <v>811</v>
      </c>
      <c r="N164" t="b">
        <v>0</v>
      </c>
    </row>
    <row r="165" spans="1:14">
      <c r="A165">
        <v>9</v>
      </c>
      <c r="B165">
        <v>11</v>
      </c>
      <c r="C165" t="s">
        <v>128</v>
      </c>
      <c r="D165" t="s">
        <v>726</v>
      </c>
      <c r="E165" t="s">
        <v>128</v>
      </c>
      <c r="F165">
        <v>0</v>
      </c>
      <c r="G165" t="s">
        <v>128</v>
      </c>
      <c r="H165" t="s">
        <v>128</v>
      </c>
      <c r="I165" t="s">
        <v>128</v>
      </c>
      <c r="J165" t="s">
        <v>128</v>
      </c>
      <c r="K165" t="s">
        <v>128</v>
      </c>
      <c r="L165" t="s">
        <v>128</v>
      </c>
      <c r="M165" t="s">
        <v>812</v>
      </c>
      <c r="N165" t="b">
        <v>0</v>
      </c>
    </row>
    <row r="166" spans="1:14">
      <c r="A166">
        <v>9</v>
      </c>
      <c r="B166">
        <v>12</v>
      </c>
      <c r="C166" t="s">
        <v>128</v>
      </c>
      <c r="D166" t="s">
        <v>726</v>
      </c>
      <c r="E166" t="s">
        <v>128</v>
      </c>
      <c r="F166">
        <v>0</v>
      </c>
      <c r="G166" t="s">
        <v>128</v>
      </c>
      <c r="H166" t="s">
        <v>128</v>
      </c>
      <c r="I166" t="s">
        <v>128</v>
      </c>
      <c r="J166" t="s">
        <v>128</v>
      </c>
      <c r="K166" t="s">
        <v>128</v>
      </c>
      <c r="L166" t="s">
        <v>128</v>
      </c>
      <c r="M166" t="s">
        <v>813</v>
      </c>
      <c r="N166" t="b">
        <v>0</v>
      </c>
    </row>
    <row r="167" spans="1:14">
      <c r="A167">
        <v>9</v>
      </c>
      <c r="B167">
        <v>13</v>
      </c>
      <c r="C167" t="s">
        <v>128</v>
      </c>
      <c r="D167" t="s">
        <v>726</v>
      </c>
      <c r="E167" t="s">
        <v>128</v>
      </c>
      <c r="F167">
        <v>0</v>
      </c>
      <c r="G167" t="s">
        <v>128</v>
      </c>
      <c r="H167" t="s">
        <v>128</v>
      </c>
      <c r="I167" t="s">
        <v>128</v>
      </c>
      <c r="J167" t="s">
        <v>128</v>
      </c>
      <c r="K167" t="s">
        <v>128</v>
      </c>
      <c r="L167" t="s">
        <v>128</v>
      </c>
      <c r="M167" t="s">
        <v>814</v>
      </c>
      <c r="N167" t="b">
        <v>0</v>
      </c>
    </row>
    <row r="168" spans="1:14">
      <c r="A168">
        <v>9</v>
      </c>
      <c r="B168">
        <v>14</v>
      </c>
      <c r="C168" t="s">
        <v>128</v>
      </c>
      <c r="D168" t="s">
        <v>726</v>
      </c>
      <c r="E168" t="s">
        <v>128</v>
      </c>
      <c r="F168">
        <v>0</v>
      </c>
      <c r="G168" t="s">
        <v>128</v>
      </c>
      <c r="H168" t="s">
        <v>128</v>
      </c>
      <c r="I168" t="s">
        <v>128</v>
      </c>
      <c r="J168" t="s">
        <v>128</v>
      </c>
      <c r="K168" t="s">
        <v>128</v>
      </c>
      <c r="L168" t="s">
        <v>128</v>
      </c>
      <c r="M168" t="s">
        <v>815</v>
      </c>
      <c r="N168" t="b">
        <v>0</v>
      </c>
    </row>
    <row r="169" spans="1:14">
      <c r="A169">
        <v>9</v>
      </c>
      <c r="B169">
        <v>15</v>
      </c>
      <c r="C169" t="s">
        <v>128</v>
      </c>
      <c r="D169" t="s">
        <v>726</v>
      </c>
      <c r="E169" t="s">
        <v>128</v>
      </c>
      <c r="F169">
        <v>0</v>
      </c>
      <c r="G169" t="s">
        <v>128</v>
      </c>
      <c r="H169" t="s">
        <v>128</v>
      </c>
      <c r="I169" t="s">
        <v>128</v>
      </c>
      <c r="J169" t="s">
        <v>128</v>
      </c>
      <c r="K169" t="s">
        <v>128</v>
      </c>
      <c r="L169" t="s">
        <v>128</v>
      </c>
      <c r="M169" t="s">
        <v>816</v>
      </c>
      <c r="N169" t="b">
        <v>0</v>
      </c>
    </row>
    <row r="170" spans="1:14">
      <c r="A170">
        <v>9</v>
      </c>
      <c r="B170">
        <v>16</v>
      </c>
      <c r="C170" t="s">
        <v>180</v>
      </c>
      <c r="D170" t="s">
        <v>743</v>
      </c>
      <c r="E170" t="s">
        <v>60</v>
      </c>
      <c r="F170">
        <v>50</v>
      </c>
      <c r="G170" t="s">
        <v>128</v>
      </c>
      <c r="H170" t="s">
        <v>128</v>
      </c>
      <c r="I170" t="s">
        <v>60</v>
      </c>
      <c r="J170" t="s">
        <v>128</v>
      </c>
      <c r="K170" t="s">
        <v>128</v>
      </c>
      <c r="L170" t="s">
        <v>128</v>
      </c>
      <c r="M170" t="s">
        <v>817</v>
      </c>
      <c r="N170" t="b">
        <v>0</v>
      </c>
    </row>
    <row r="171" spans="1:14">
      <c r="A171">
        <v>9</v>
      </c>
      <c r="B171">
        <v>17</v>
      </c>
      <c r="C171" t="s">
        <v>181</v>
      </c>
      <c r="D171" t="s">
        <v>743</v>
      </c>
      <c r="E171" t="s">
        <v>83</v>
      </c>
      <c r="F171">
        <v>50</v>
      </c>
      <c r="G171" t="s">
        <v>128</v>
      </c>
      <c r="H171" t="s">
        <v>128</v>
      </c>
      <c r="I171" t="s">
        <v>83</v>
      </c>
      <c r="J171" t="s">
        <v>128</v>
      </c>
      <c r="K171" t="s">
        <v>128</v>
      </c>
      <c r="L171" t="s">
        <v>128</v>
      </c>
      <c r="M171" t="s">
        <v>818</v>
      </c>
      <c r="N171" t="b">
        <v>0</v>
      </c>
    </row>
    <row r="172" spans="1:14">
      <c r="A172">
        <v>9</v>
      </c>
      <c r="B172">
        <v>18</v>
      </c>
      <c r="C172" t="s">
        <v>182</v>
      </c>
      <c r="D172" t="s">
        <v>743</v>
      </c>
      <c r="E172" t="s">
        <v>546</v>
      </c>
      <c r="F172">
        <v>40</v>
      </c>
      <c r="G172" t="s">
        <v>762</v>
      </c>
      <c r="H172" t="s">
        <v>128</v>
      </c>
      <c r="I172" t="s">
        <v>128</v>
      </c>
      <c r="J172" t="s">
        <v>819</v>
      </c>
      <c r="K172" t="s">
        <v>820</v>
      </c>
      <c r="L172" t="s">
        <v>821</v>
      </c>
      <c r="M172" t="s">
        <v>822</v>
      </c>
      <c r="N172" t="b">
        <v>0</v>
      </c>
    </row>
    <row r="173" spans="1:14">
      <c r="A173">
        <v>9</v>
      </c>
      <c r="B173">
        <v>19</v>
      </c>
      <c r="C173" t="s">
        <v>162</v>
      </c>
      <c r="D173" t="s">
        <v>743</v>
      </c>
      <c r="E173" t="s">
        <v>299</v>
      </c>
      <c r="F173">
        <v>40</v>
      </c>
      <c r="G173" t="s">
        <v>762</v>
      </c>
      <c r="H173" t="s">
        <v>128</v>
      </c>
      <c r="I173" t="s">
        <v>128</v>
      </c>
      <c r="J173" t="s">
        <v>763</v>
      </c>
      <c r="K173" t="s">
        <v>764</v>
      </c>
      <c r="L173" t="s">
        <v>765</v>
      </c>
      <c r="M173" t="s">
        <v>823</v>
      </c>
      <c r="N173" t="b">
        <v>0</v>
      </c>
    </row>
    <row r="174" spans="1:14">
      <c r="A174">
        <v>9</v>
      </c>
      <c r="B174">
        <v>20</v>
      </c>
      <c r="C174" t="s">
        <v>183</v>
      </c>
      <c r="D174" t="s">
        <v>743</v>
      </c>
      <c r="E174" t="s">
        <v>112</v>
      </c>
      <c r="F174">
        <v>50</v>
      </c>
      <c r="G174" t="s">
        <v>128</v>
      </c>
      <c r="H174" t="s">
        <v>128</v>
      </c>
      <c r="I174" t="s">
        <v>112</v>
      </c>
      <c r="J174" t="s">
        <v>128</v>
      </c>
      <c r="K174" t="s">
        <v>128</v>
      </c>
      <c r="L174" t="s">
        <v>128</v>
      </c>
      <c r="M174" t="s">
        <v>824</v>
      </c>
      <c r="N174" t="b">
        <v>0</v>
      </c>
    </row>
    <row r="175" spans="1:14">
      <c r="A175">
        <v>9</v>
      </c>
      <c r="B175">
        <v>21</v>
      </c>
      <c r="C175" t="s">
        <v>184</v>
      </c>
      <c r="D175" t="s">
        <v>743</v>
      </c>
      <c r="E175" t="s">
        <v>61</v>
      </c>
      <c r="F175">
        <v>40</v>
      </c>
      <c r="G175" t="s">
        <v>128</v>
      </c>
      <c r="H175" t="s">
        <v>128</v>
      </c>
      <c r="I175" t="s">
        <v>61</v>
      </c>
      <c r="J175" t="s">
        <v>128</v>
      </c>
      <c r="K175" t="s">
        <v>128</v>
      </c>
      <c r="L175" t="s">
        <v>128</v>
      </c>
      <c r="M175" t="s">
        <v>825</v>
      </c>
      <c r="N175" t="b">
        <v>0</v>
      </c>
    </row>
    <row r="176" spans="1:14">
      <c r="A176">
        <v>9</v>
      </c>
      <c r="B176">
        <v>22</v>
      </c>
      <c r="C176" t="s">
        <v>185</v>
      </c>
      <c r="D176" t="s">
        <v>743</v>
      </c>
      <c r="E176" t="s">
        <v>547</v>
      </c>
      <c r="F176">
        <v>40</v>
      </c>
      <c r="G176" t="s">
        <v>762</v>
      </c>
      <c r="H176" t="s">
        <v>128</v>
      </c>
      <c r="I176" t="s">
        <v>128</v>
      </c>
      <c r="J176" t="s">
        <v>826</v>
      </c>
      <c r="K176" t="s">
        <v>827</v>
      </c>
      <c r="L176" t="s">
        <v>828</v>
      </c>
      <c r="M176" t="s">
        <v>829</v>
      </c>
      <c r="N176" t="b">
        <v>0</v>
      </c>
    </row>
    <row r="177" spans="1:14">
      <c r="A177">
        <v>9</v>
      </c>
      <c r="B177">
        <v>23</v>
      </c>
      <c r="C177" t="s">
        <v>128</v>
      </c>
      <c r="D177" t="s">
        <v>743</v>
      </c>
      <c r="E177" t="s">
        <v>128</v>
      </c>
      <c r="F177">
        <v>0</v>
      </c>
      <c r="G177" t="s">
        <v>128</v>
      </c>
      <c r="H177" t="s">
        <v>128</v>
      </c>
      <c r="I177" t="s">
        <v>128</v>
      </c>
      <c r="J177" t="s">
        <v>128</v>
      </c>
      <c r="K177" t="s">
        <v>128</v>
      </c>
      <c r="L177" t="s">
        <v>128</v>
      </c>
      <c r="M177" t="s">
        <v>830</v>
      </c>
      <c r="N177" t="b">
        <v>0</v>
      </c>
    </row>
    <row r="178" spans="1:14">
      <c r="A178">
        <v>9</v>
      </c>
      <c r="B178">
        <v>24</v>
      </c>
      <c r="C178" t="s">
        <v>128</v>
      </c>
      <c r="D178" t="s">
        <v>743</v>
      </c>
      <c r="E178" t="s">
        <v>128</v>
      </c>
      <c r="F178">
        <v>0</v>
      </c>
      <c r="G178" t="s">
        <v>128</v>
      </c>
      <c r="H178" t="s">
        <v>128</v>
      </c>
      <c r="I178" t="s">
        <v>128</v>
      </c>
      <c r="J178" t="s">
        <v>128</v>
      </c>
      <c r="K178" t="s">
        <v>128</v>
      </c>
      <c r="L178" t="s">
        <v>128</v>
      </c>
      <c r="M178" t="s">
        <v>831</v>
      </c>
      <c r="N178" t="b">
        <v>0</v>
      </c>
    </row>
    <row r="179" spans="1:14">
      <c r="A179">
        <v>9</v>
      </c>
      <c r="B179">
        <v>25</v>
      </c>
      <c r="C179" t="s">
        <v>128</v>
      </c>
      <c r="D179" t="s">
        <v>743</v>
      </c>
      <c r="E179" t="s">
        <v>128</v>
      </c>
      <c r="F179">
        <v>0</v>
      </c>
      <c r="G179" t="s">
        <v>128</v>
      </c>
      <c r="H179" t="s">
        <v>128</v>
      </c>
      <c r="I179" t="s">
        <v>128</v>
      </c>
      <c r="J179" t="s">
        <v>128</v>
      </c>
      <c r="K179" t="s">
        <v>128</v>
      </c>
      <c r="L179" t="s">
        <v>128</v>
      </c>
      <c r="M179" t="s">
        <v>832</v>
      </c>
      <c r="N179" t="b">
        <v>0</v>
      </c>
    </row>
    <row r="180" spans="1:14">
      <c r="A180">
        <v>9</v>
      </c>
      <c r="B180">
        <v>26</v>
      </c>
      <c r="C180" t="s">
        <v>128</v>
      </c>
      <c r="D180" t="s">
        <v>743</v>
      </c>
      <c r="E180" t="s">
        <v>128</v>
      </c>
      <c r="F180">
        <v>0</v>
      </c>
      <c r="G180" t="s">
        <v>128</v>
      </c>
      <c r="H180" t="s">
        <v>128</v>
      </c>
      <c r="I180" t="s">
        <v>128</v>
      </c>
      <c r="J180" t="s">
        <v>128</v>
      </c>
      <c r="K180" t="s">
        <v>128</v>
      </c>
      <c r="L180" t="s">
        <v>128</v>
      </c>
      <c r="M180" t="s">
        <v>833</v>
      </c>
      <c r="N180" t="b">
        <v>0</v>
      </c>
    </row>
    <row r="181" spans="1:14">
      <c r="A181">
        <v>10</v>
      </c>
      <c r="B181">
        <v>0</v>
      </c>
      <c r="C181" t="s">
        <v>188</v>
      </c>
      <c r="D181" t="s">
        <v>726</v>
      </c>
      <c r="E181" t="s">
        <v>65</v>
      </c>
      <c r="F181">
        <v>50</v>
      </c>
      <c r="G181" t="s">
        <v>128</v>
      </c>
      <c r="H181" t="s">
        <v>128</v>
      </c>
      <c r="I181" t="s">
        <v>65</v>
      </c>
      <c r="J181" t="s">
        <v>128</v>
      </c>
      <c r="K181" t="s">
        <v>128</v>
      </c>
      <c r="L181" t="s">
        <v>128</v>
      </c>
      <c r="M181" t="s">
        <v>834</v>
      </c>
      <c r="N181" t="b">
        <v>0</v>
      </c>
    </row>
    <row r="182" spans="1:14">
      <c r="A182">
        <v>10</v>
      </c>
      <c r="B182">
        <v>1</v>
      </c>
      <c r="C182" t="s">
        <v>160</v>
      </c>
      <c r="D182" t="s">
        <v>726</v>
      </c>
      <c r="E182" t="s">
        <v>83</v>
      </c>
      <c r="F182">
        <v>40</v>
      </c>
      <c r="G182" t="s">
        <v>128</v>
      </c>
      <c r="H182" t="s">
        <v>128</v>
      </c>
      <c r="I182" t="s">
        <v>83</v>
      </c>
      <c r="J182" t="s">
        <v>128</v>
      </c>
      <c r="K182" t="s">
        <v>128</v>
      </c>
      <c r="L182" t="s">
        <v>128</v>
      </c>
      <c r="M182" t="s">
        <v>835</v>
      </c>
      <c r="N182" t="b">
        <v>0</v>
      </c>
    </row>
    <row r="183" spans="1:14">
      <c r="A183">
        <v>10</v>
      </c>
      <c r="B183">
        <v>2</v>
      </c>
      <c r="C183" t="s">
        <v>189</v>
      </c>
      <c r="D183" t="s">
        <v>726</v>
      </c>
      <c r="E183" t="s">
        <v>93</v>
      </c>
      <c r="F183">
        <v>50</v>
      </c>
      <c r="G183" t="s">
        <v>128</v>
      </c>
      <c r="H183" t="s">
        <v>128</v>
      </c>
      <c r="I183" t="s">
        <v>93</v>
      </c>
      <c r="J183" t="s">
        <v>128</v>
      </c>
      <c r="K183" t="s">
        <v>128</v>
      </c>
      <c r="L183" t="s">
        <v>128</v>
      </c>
      <c r="M183" t="s">
        <v>836</v>
      </c>
      <c r="N183" t="b">
        <v>0</v>
      </c>
    </row>
    <row r="184" spans="1:14">
      <c r="A184">
        <v>10</v>
      </c>
      <c r="B184">
        <v>3</v>
      </c>
      <c r="C184" t="s">
        <v>190</v>
      </c>
      <c r="D184" t="s">
        <v>726</v>
      </c>
      <c r="E184" t="s">
        <v>99</v>
      </c>
      <c r="F184">
        <v>50</v>
      </c>
      <c r="G184" t="s">
        <v>128</v>
      </c>
      <c r="H184" t="s">
        <v>128</v>
      </c>
      <c r="I184" t="s">
        <v>99</v>
      </c>
      <c r="J184" t="s">
        <v>128</v>
      </c>
      <c r="K184" t="s">
        <v>128</v>
      </c>
      <c r="L184" t="s">
        <v>128</v>
      </c>
      <c r="M184" t="s">
        <v>837</v>
      </c>
      <c r="N184" t="b">
        <v>0</v>
      </c>
    </row>
    <row r="185" spans="1:14">
      <c r="A185">
        <v>10</v>
      </c>
      <c r="B185">
        <v>4</v>
      </c>
      <c r="C185" t="s">
        <v>191</v>
      </c>
      <c r="D185" t="s">
        <v>726</v>
      </c>
      <c r="E185" t="s">
        <v>101</v>
      </c>
      <c r="F185">
        <v>50</v>
      </c>
      <c r="G185" t="s">
        <v>128</v>
      </c>
      <c r="H185" t="s">
        <v>128</v>
      </c>
      <c r="I185" t="s">
        <v>101</v>
      </c>
      <c r="J185" t="s">
        <v>128</v>
      </c>
      <c r="K185" t="s">
        <v>128</v>
      </c>
      <c r="L185" t="s">
        <v>128</v>
      </c>
      <c r="M185" t="s">
        <v>838</v>
      </c>
      <c r="N185" t="b">
        <v>0</v>
      </c>
    </row>
    <row r="186" spans="1:14">
      <c r="A186">
        <v>10</v>
      </c>
      <c r="B186">
        <v>5</v>
      </c>
      <c r="C186" t="s">
        <v>192</v>
      </c>
      <c r="D186" t="s">
        <v>726</v>
      </c>
      <c r="E186" t="s">
        <v>109</v>
      </c>
      <c r="F186">
        <v>30</v>
      </c>
      <c r="G186" t="s">
        <v>128</v>
      </c>
      <c r="H186" t="s">
        <v>128</v>
      </c>
      <c r="I186" t="s">
        <v>109</v>
      </c>
      <c r="J186" t="s">
        <v>128</v>
      </c>
      <c r="K186" t="s">
        <v>128</v>
      </c>
      <c r="L186" t="s">
        <v>128</v>
      </c>
      <c r="M186" t="s">
        <v>839</v>
      </c>
      <c r="N186" t="b">
        <v>0</v>
      </c>
    </row>
    <row r="187" spans="1:14">
      <c r="A187">
        <v>10</v>
      </c>
      <c r="B187">
        <v>6</v>
      </c>
      <c r="C187" t="s">
        <v>193</v>
      </c>
      <c r="D187" t="s">
        <v>726</v>
      </c>
      <c r="E187" t="s">
        <v>115</v>
      </c>
      <c r="F187">
        <v>60</v>
      </c>
      <c r="G187" t="s">
        <v>128</v>
      </c>
      <c r="H187" t="s">
        <v>128</v>
      </c>
      <c r="I187" t="s">
        <v>115</v>
      </c>
      <c r="J187" t="s">
        <v>128</v>
      </c>
      <c r="K187" t="s">
        <v>128</v>
      </c>
      <c r="L187" t="s">
        <v>128</v>
      </c>
      <c r="M187" t="s">
        <v>840</v>
      </c>
      <c r="N187" t="b">
        <v>0</v>
      </c>
    </row>
    <row r="188" spans="1:14">
      <c r="A188">
        <v>10</v>
      </c>
      <c r="B188">
        <v>7</v>
      </c>
      <c r="C188" t="s">
        <v>194</v>
      </c>
      <c r="D188" t="s">
        <v>726</v>
      </c>
      <c r="E188" t="s">
        <v>61</v>
      </c>
      <c r="F188">
        <v>30</v>
      </c>
      <c r="G188" t="s">
        <v>128</v>
      </c>
      <c r="H188" t="s">
        <v>128</v>
      </c>
      <c r="I188" t="s">
        <v>61</v>
      </c>
      <c r="J188" t="s">
        <v>128</v>
      </c>
      <c r="K188" t="s">
        <v>128</v>
      </c>
      <c r="L188" t="s">
        <v>128</v>
      </c>
      <c r="M188" t="s">
        <v>841</v>
      </c>
      <c r="N188" t="b">
        <v>0</v>
      </c>
    </row>
    <row r="189" spans="1:14">
      <c r="A189">
        <v>10</v>
      </c>
      <c r="B189">
        <v>8</v>
      </c>
      <c r="C189" t="s">
        <v>195</v>
      </c>
      <c r="D189" t="s">
        <v>726</v>
      </c>
      <c r="E189" t="s">
        <v>78</v>
      </c>
      <c r="F189">
        <v>50</v>
      </c>
      <c r="G189" t="s">
        <v>128</v>
      </c>
      <c r="H189" t="s">
        <v>128</v>
      </c>
      <c r="I189" t="s">
        <v>78</v>
      </c>
      <c r="J189" t="s">
        <v>128</v>
      </c>
      <c r="K189" t="s">
        <v>128</v>
      </c>
      <c r="L189" t="s">
        <v>128</v>
      </c>
      <c r="M189" t="s">
        <v>842</v>
      </c>
      <c r="N189" t="b">
        <v>0</v>
      </c>
    </row>
    <row r="190" spans="1:14">
      <c r="A190">
        <v>10</v>
      </c>
      <c r="B190">
        <v>9</v>
      </c>
      <c r="C190" t="s">
        <v>196</v>
      </c>
      <c r="D190" t="s">
        <v>726</v>
      </c>
      <c r="E190" t="s">
        <v>98</v>
      </c>
      <c r="F190">
        <v>50</v>
      </c>
      <c r="G190" t="s">
        <v>128</v>
      </c>
      <c r="H190" t="s">
        <v>128</v>
      </c>
      <c r="I190" t="s">
        <v>98</v>
      </c>
      <c r="J190" t="s">
        <v>128</v>
      </c>
      <c r="K190" t="s">
        <v>128</v>
      </c>
      <c r="L190" t="s">
        <v>128</v>
      </c>
      <c r="M190" t="s">
        <v>843</v>
      </c>
      <c r="N190" t="b">
        <v>0</v>
      </c>
    </row>
    <row r="191" spans="1:14">
      <c r="A191">
        <v>10</v>
      </c>
      <c r="B191">
        <v>10</v>
      </c>
      <c r="C191" t="s">
        <v>197</v>
      </c>
      <c r="D191" t="s">
        <v>726</v>
      </c>
      <c r="E191" t="s">
        <v>108</v>
      </c>
      <c r="F191">
        <v>60</v>
      </c>
      <c r="G191" t="s">
        <v>128</v>
      </c>
      <c r="H191" t="s">
        <v>128</v>
      </c>
      <c r="I191" t="s">
        <v>108</v>
      </c>
      <c r="J191" t="s">
        <v>128</v>
      </c>
      <c r="K191" t="s">
        <v>128</v>
      </c>
      <c r="L191" t="s">
        <v>128</v>
      </c>
      <c r="M191" t="s">
        <v>844</v>
      </c>
      <c r="N191" t="b">
        <v>0</v>
      </c>
    </row>
    <row r="192" spans="1:14">
      <c r="A192">
        <v>10</v>
      </c>
      <c r="B192">
        <v>11</v>
      </c>
      <c r="C192" t="s">
        <v>128</v>
      </c>
      <c r="D192" t="s">
        <v>726</v>
      </c>
      <c r="E192" t="s">
        <v>128</v>
      </c>
      <c r="F192">
        <v>0</v>
      </c>
      <c r="G192" t="s">
        <v>128</v>
      </c>
      <c r="H192" t="s">
        <v>128</v>
      </c>
      <c r="I192" t="s">
        <v>128</v>
      </c>
      <c r="J192" t="s">
        <v>128</v>
      </c>
      <c r="K192" t="s">
        <v>128</v>
      </c>
      <c r="L192" t="s">
        <v>128</v>
      </c>
      <c r="M192" t="s">
        <v>845</v>
      </c>
      <c r="N192" t="b">
        <v>0</v>
      </c>
    </row>
    <row r="193" spans="1:14">
      <c r="A193">
        <v>10</v>
      </c>
      <c r="B193">
        <v>12</v>
      </c>
      <c r="C193" t="s">
        <v>128</v>
      </c>
      <c r="D193" t="s">
        <v>726</v>
      </c>
      <c r="E193" t="s">
        <v>128</v>
      </c>
      <c r="F193">
        <v>0</v>
      </c>
      <c r="G193" t="s">
        <v>128</v>
      </c>
      <c r="H193" t="s">
        <v>128</v>
      </c>
      <c r="I193" t="s">
        <v>128</v>
      </c>
      <c r="J193" t="s">
        <v>128</v>
      </c>
      <c r="K193" t="s">
        <v>128</v>
      </c>
      <c r="L193" t="s">
        <v>128</v>
      </c>
      <c r="M193" t="s">
        <v>846</v>
      </c>
      <c r="N193" t="b">
        <v>0</v>
      </c>
    </row>
    <row r="194" spans="1:14">
      <c r="A194">
        <v>10</v>
      </c>
      <c r="B194">
        <v>13</v>
      </c>
      <c r="C194" t="s">
        <v>128</v>
      </c>
      <c r="D194" t="s">
        <v>726</v>
      </c>
      <c r="E194" t="s">
        <v>128</v>
      </c>
      <c r="F194">
        <v>0</v>
      </c>
      <c r="G194" t="s">
        <v>128</v>
      </c>
      <c r="H194" t="s">
        <v>128</v>
      </c>
      <c r="I194" t="s">
        <v>128</v>
      </c>
      <c r="J194" t="s">
        <v>128</v>
      </c>
      <c r="K194" t="s">
        <v>128</v>
      </c>
      <c r="L194" t="s">
        <v>128</v>
      </c>
      <c r="M194" t="s">
        <v>847</v>
      </c>
      <c r="N194" t="b">
        <v>0</v>
      </c>
    </row>
    <row r="195" spans="1:14">
      <c r="A195">
        <v>10</v>
      </c>
      <c r="B195">
        <v>14</v>
      </c>
      <c r="C195" t="s">
        <v>128</v>
      </c>
      <c r="D195" t="s">
        <v>726</v>
      </c>
      <c r="E195" t="s">
        <v>128</v>
      </c>
      <c r="F195">
        <v>0</v>
      </c>
      <c r="G195" t="s">
        <v>128</v>
      </c>
      <c r="H195" t="s">
        <v>128</v>
      </c>
      <c r="I195" t="s">
        <v>128</v>
      </c>
      <c r="J195" t="s">
        <v>128</v>
      </c>
      <c r="K195" t="s">
        <v>128</v>
      </c>
      <c r="L195" t="s">
        <v>128</v>
      </c>
      <c r="M195" t="s">
        <v>848</v>
      </c>
      <c r="N195" t="b">
        <v>0</v>
      </c>
    </row>
    <row r="196" spans="1:14">
      <c r="A196">
        <v>10</v>
      </c>
      <c r="B196">
        <v>15</v>
      </c>
      <c r="C196" t="s">
        <v>128</v>
      </c>
      <c r="D196" t="s">
        <v>726</v>
      </c>
      <c r="E196" t="s">
        <v>128</v>
      </c>
      <c r="F196">
        <v>0</v>
      </c>
      <c r="G196" t="s">
        <v>128</v>
      </c>
      <c r="H196" t="s">
        <v>128</v>
      </c>
      <c r="I196" t="s">
        <v>128</v>
      </c>
      <c r="J196" t="s">
        <v>128</v>
      </c>
      <c r="K196" t="s">
        <v>128</v>
      </c>
      <c r="L196" t="s">
        <v>128</v>
      </c>
      <c r="M196" t="s">
        <v>849</v>
      </c>
      <c r="N196" t="b">
        <v>0</v>
      </c>
    </row>
    <row r="197" spans="1:14">
      <c r="A197">
        <v>10</v>
      </c>
      <c r="B197">
        <v>16</v>
      </c>
      <c r="C197" t="s">
        <v>198</v>
      </c>
      <c r="D197" t="s">
        <v>743</v>
      </c>
      <c r="E197" t="s">
        <v>60</v>
      </c>
      <c r="F197">
        <v>60</v>
      </c>
      <c r="G197" t="s">
        <v>128</v>
      </c>
      <c r="H197" t="s">
        <v>128</v>
      </c>
      <c r="I197" t="s">
        <v>60</v>
      </c>
      <c r="J197" t="s">
        <v>128</v>
      </c>
      <c r="K197" t="s">
        <v>128</v>
      </c>
      <c r="L197" t="s">
        <v>128</v>
      </c>
      <c r="M197" t="s">
        <v>850</v>
      </c>
      <c r="N197" t="b">
        <v>0</v>
      </c>
    </row>
    <row r="198" spans="1:14">
      <c r="A198">
        <v>10</v>
      </c>
      <c r="B198">
        <v>17</v>
      </c>
      <c r="C198" t="s">
        <v>199</v>
      </c>
      <c r="D198" t="s">
        <v>743</v>
      </c>
      <c r="E198" t="s">
        <v>87</v>
      </c>
      <c r="F198">
        <v>50</v>
      </c>
      <c r="G198" t="s">
        <v>128</v>
      </c>
      <c r="H198" t="s">
        <v>128</v>
      </c>
      <c r="I198" t="s">
        <v>87</v>
      </c>
      <c r="J198" t="s">
        <v>128</v>
      </c>
      <c r="K198" t="s">
        <v>128</v>
      </c>
      <c r="L198" t="s">
        <v>128</v>
      </c>
      <c r="M198" t="s">
        <v>851</v>
      </c>
      <c r="N198" t="b">
        <v>0</v>
      </c>
    </row>
    <row r="199" spans="1:14">
      <c r="A199">
        <v>10</v>
      </c>
      <c r="B199">
        <v>18</v>
      </c>
      <c r="C199" t="s">
        <v>161</v>
      </c>
      <c r="D199" t="s">
        <v>743</v>
      </c>
      <c r="E199" t="s">
        <v>299</v>
      </c>
      <c r="F199">
        <v>50</v>
      </c>
      <c r="G199" t="s">
        <v>762</v>
      </c>
      <c r="H199" t="s">
        <v>128</v>
      </c>
      <c r="I199" t="s">
        <v>128</v>
      </c>
      <c r="J199" t="s">
        <v>763</v>
      </c>
      <c r="K199" t="s">
        <v>764</v>
      </c>
      <c r="L199" t="s">
        <v>765</v>
      </c>
      <c r="M199" t="s">
        <v>852</v>
      </c>
      <c r="N199" t="b">
        <v>0</v>
      </c>
    </row>
    <row r="200" spans="1:14">
      <c r="A200">
        <v>10</v>
      </c>
      <c r="B200">
        <v>19</v>
      </c>
      <c r="C200" t="s">
        <v>200</v>
      </c>
      <c r="D200" t="s">
        <v>743</v>
      </c>
      <c r="E200" t="s">
        <v>113</v>
      </c>
      <c r="F200">
        <v>50</v>
      </c>
      <c r="G200" t="s">
        <v>128</v>
      </c>
      <c r="H200" t="s">
        <v>128</v>
      </c>
      <c r="I200" t="s">
        <v>113</v>
      </c>
      <c r="J200" t="s">
        <v>128</v>
      </c>
      <c r="K200" t="s">
        <v>128</v>
      </c>
      <c r="L200" t="s">
        <v>128</v>
      </c>
      <c r="M200" t="s">
        <v>853</v>
      </c>
      <c r="N200" t="b">
        <v>0</v>
      </c>
    </row>
    <row r="201" spans="1:14">
      <c r="A201">
        <v>10</v>
      </c>
      <c r="B201">
        <v>20</v>
      </c>
      <c r="C201" t="s">
        <v>201</v>
      </c>
      <c r="D201" t="s">
        <v>743</v>
      </c>
      <c r="E201" t="s">
        <v>84</v>
      </c>
      <c r="F201">
        <v>50</v>
      </c>
      <c r="G201" t="s">
        <v>128</v>
      </c>
      <c r="H201" t="s">
        <v>128</v>
      </c>
      <c r="I201" t="s">
        <v>84</v>
      </c>
      <c r="J201" t="s">
        <v>128</v>
      </c>
      <c r="K201" t="s">
        <v>128</v>
      </c>
      <c r="L201" t="s">
        <v>128</v>
      </c>
      <c r="M201" t="s">
        <v>854</v>
      </c>
      <c r="N201" t="b">
        <v>0</v>
      </c>
    </row>
    <row r="202" spans="1:14">
      <c r="A202">
        <v>10</v>
      </c>
      <c r="B202">
        <v>21</v>
      </c>
      <c r="C202" t="s">
        <v>128</v>
      </c>
      <c r="D202" t="s">
        <v>743</v>
      </c>
      <c r="E202" t="s">
        <v>128</v>
      </c>
      <c r="F202">
        <v>0</v>
      </c>
      <c r="G202" t="s">
        <v>128</v>
      </c>
      <c r="H202" t="s">
        <v>128</v>
      </c>
      <c r="I202" t="s">
        <v>128</v>
      </c>
      <c r="J202" t="s">
        <v>128</v>
      </c>
      <c r="K202" t="s">
        <v>128</v>
      </c>
      <c r="L202" t="s">
        <v>128</v>
      </c>
      <c r="M202" t="s">
        <v>855</v>
      </c>
      <c r="N202" t="b">
        <v>0</v>
      </c>
    </row>
    <row r="203" spans="1:14">
      <c r="A203">
        <v>10</v>
      </c>
      <c r="B203">
        <v>22</v>
      </c>
      <c r="C203" t="s">
        <v>128</v>
      </c>
      <c r="D203" t="s">
        <v>743</v>
      </c>
      <c r="E203" t="s">
        <v>128</v>
      </c>
      <c r="F203">
        <v>0</v>
      </c>
      <c r="G203" t="s">
        <v>128</v>
      </c>
      <c r="H203" t="s">
        <v>128</v>
      </c>
      <c r="I203" t="s">
        <v>128</v>
      </c>
      <c r="J203" t="s">
        <v>128</v>
      </c>
      <c r="K203" t="s">
        <v>128</v>
      </c>
      <c r="L203" t="s">
        <v>128</v>
      </c>
      <c r="M203" t="s">
        <v>856</v>
      </c>
      <c r="N203" t="b">
        <v>0</v>
      </c>
    </row>
    <row r="204" spans="1:14">
      <c r="A204">
        <v>10</v>
      </c>
      <c r="B204">
        <v>23</v>
      </c>
      <c r="C204" t="s">
        <v>128</v>
      </c>
      <c r="D204" t="s">
        <v>743</v>
      </c>
      <c r="E204" t="s">
        <v>128</v>
      </c>
      <c r="F204">
        <v>0</v>
      </c>
      <c r="G204" t="s">
        <v>128</v>
      </c>
      <c r="H204" t="s">
        <v>128</v>
      </c>
      <c r="I204" t="s">
        <v>128</v>
      </c>
      <c r="J204" t="s">
        <v>128</v>
      </c>
      <c r="K204" t="s">
        <v>128</v>
      </c>
      <c r="L204" t="s">
        <v>128</v>
      </c>
      <c r="M204" t="s">
        <v>857</v>
      </c>
      <c r="N204" t="b">
        <v>0</v>
      </c>
    </row>
    <row r="205" spans="1:14">
      <c r="A205">
        <v>10</v>
      </c>
      <c r="B205">
        <v>24</v>
      </c>
      <c r="C205" t="s">
        <v>128</v>
      </c>
      <c r="D205" t="s">
        <v>743</v>
      </c>
      <c r="E205" t="s">
        <v>128</v>
      </c>
      <c r="F205">
        <v>0</v>
      </c>
      <c r="G205" t="s">
        <v>128</v>
      </c>
      <c r="H205" t="s">
        <v>128</v>
      </c>
      <c r="I205" t="s">
        <v>128</v>
      </c>
      <c r="J205" t="s">
        <v>128</v>
      </c>
      <c r="K205" t="s">
        <v>128</v>
      </c>
      <c r="L205" t="s">
        <v>128</v>
      </c>
      <c r="M205" t="s">
        <v>858</v>
      </c>
      <c r="N205" t="b">
        <v>0</v>
      </c>
    </row>
    <row r="206" spans="1:14">
      <c r="A206">
        <v>10</v>
      </c>
      <c r="B206">
        <v>25</v>
      </c>
      <c r="C206" t="s">
        <v>128</v>
      </c>
      <c r="D206" t="s">
        <v>743</v>
      </c>
      <c r="E206" t="s">
        <v>128</v>
      </c>
      <c r="F206">
        <v>0</v>
      </c>
      <c r="G206" t="s">
        <v>128</v>
      </c>
      <c r="H206" t="s">
        <v>128</v>
      </c>
      <c r="I206" t="s">
        <v>128</v>
      </c>
      <c r="J206" t="s">
        <v>128</v>
      </c>
      <c r="K206" t="s">
        <v>128</v>
      </c>
      <c r="L206" t="s">
        <v>128</v>
      </c>
      <c r="M206" t="s">
        <v>859</v>
      </c>
      <c r="N206" t="b">
        <v>0</v>
      </c>
    </row>
    <row r="207" spans="1:14">
      <c r="A207">
        <v>10</v>
      </c>
      <c r="B207">
        <v>26</v>
      </c>
      <c r="C207" t="s">
        <v>128</v>
      </c>
      <c r="D207" t="s">
        <v>743</v>
      </c>
      <c r="E207" t="s">
        <v>128</v>
      </c>
      <c r="F207">
        <v>0</v>
      </c>
      <c r="G207" t="s">
        <v>128</v>
      </c>
      <c r="H207" t="s">
        <v>128</v>
      </c>
      <c r="I207" t="s">
        <v>128</v>
      </c>
      <c r="J207" t="s">
        <v>128</v>
      </c>
      <c r="K207" t="s">
        <v>128</v>
      </c>
      <c r="L207" t="s">
        <v>128</v>
      </c>
      <c r="M207" t="s">
        <v>860</v>
      </c>
      <c r="N207" t="b">
        <v>0</v>
      </c>
    </row>
    <row r="208" spans="1:14">
      <c r="A208">
        <v>11</v>
      </c>
      <c r="B208">
        <v>0</v>
      </c>
      <c r="C208" t="s">
        <v>181</v>
      </c>
      <c r="D208" t="s">
        <v>726</v>
      </c>
      <c r="E208" t="s">
        <v>83</v>
      </c>
      <c r="F208">
        <v>50</v>
      </c>
      <c r="G208" t="s">
        <v>128</v>
      </c>
      <c r="H208" t="s">
        <v>128</v>
      </c>
      <c r="I208" t="s">
        <v>83</v>
      </c>
      <c r="J208" t="s">
        <v>128</v>
      </c>
      <c r="K208" t="s">
        <v>128</v>
      </c>
      <c r="L208" t="s">
        <v>128</v>
      </c>
      <c r="M208" t="s">
        <v>861</v>
      </c>
      <c r="N208" t="b">
        <v>0</v>
      </c>
    </row>
    <row r="209" spans="1:14">
      <c r="A209">
        <v>11</v>
      </c>
      <c r="B209">
        <v>1</v>
      </c>
      <c r="C209" t="s">
        <v>204</v>
      </c>
      <c r="D209" t="s">
        <v>726</v>
      </c>
      <c r="E209" t="s">
        <v>103</v>
      </c>
      <c r="F209">
        <v>60</v>
      </c>
      <c r="G209" t="s">
        <v>128</v>
      </c>
      <c r="H209" t="s">
        <v>128</v>
      </c>
      <c r="I209" t="s">
        <v>103</v>
      </c>
      <c r="J209" t="s">
        <v>128</v>
      </c>
      <c r="K209" t="s">
        <v>128</v>
      </c>
      <c r="L209" t="s">
        <v>128</v>
      </c>
      <c r="M209" t="s">
        <v>862</v>
      </c>
      <c r="N209" t="b">
        <v>0</v>
      </c>
    </row>
    <row r="210" spans="1:14">
      <c r="A210">
        <v>11</v>
      </c>
      <c r="B210">
        <v>2</v>
      </c>
      <c r="C210" t="s">
        <v>205</v>
      </c>
      <c r="D210" t="s">
        <v>726</v>
      </c>
      <c r="E210" t="s">
        <v>66</v>
      </c>
      <c r="F210">
        <v>60</v>
      </c>
      <c r="G210" t="s">
        <v>128</v>
      </c>
      <c r="H210" t="s">
        <v>128</v>
      </c>
      <c r="I210" t="s">
        <v>66</v>
      </c>
      <c r="J210" t="s">
        <v>128</v>
      </c>
      <c r="K210" t="s">
        <v>128</v>
      </c>
      <c r="L210" t="s">
        <v>128</v>
      </c>
      <c r="M210" t="s">
        <v>863</v>
      </c>
      <c r="N210" t="b">
        <v>0</v>
      </c>
    </row>
    <row r="211" spans="1:14">
      <c r="A211">
        <v>11</v>
      </c>
      <c r="B211">
        <v>3</v>
      </c>
      <c r="C211" t="s">
        <v>165</v>
      </c>
      <c r="D211" t="s">
        <v>726</v>
      </c>
      <c r="E211" t="s">
        <v>78</v>
      </c>
      <c r="F211">
        <v>40</v>
      </c>
      <c r="G211" t="s">
        <v>128</v>
      </c>
      <c r="H211" t="s">
        <v>128</v>
      </c>
      <c r="I211" t="s">
        <v>78</v>
      </c>
      <c r="J211" t="s">
        <v>128</v>
      </c>
      <c r="K211" t="s">
        <v>128</v>
      </c>
      <c r="L211" t="s">
        <v>128</v>
      </c>
      <c r="M211" t="s">
        <v>864</v>
      </c>
      <c r="N211" t="b">
        <v>0</v>
      </c>
    </row>
    <row r="212" spans="1:14">
      <c r="A212">
        <v>11</v>
      </c>
      <c r="B212">
        <v>4</v>
      </c>
      <c r="C212" t="s">
        <v>201</v>
      </c>
      <c r="D212" t="s">
        <v>726</v>
      </c>
      <c r="E212" t="s">
        <v>84</v>
      </c>
      <c r="F212">
        <v>50</v>
      </c>
      <c r="G212" t="s">
        <v>128</v>
      </c>
      <c r="H212" t="s">
        <v>128</v>
      </c>
      <c r="I212" t="s">
        <v>84</v>
      </c>
      <c r="J212" t="s">
        <v>128</v>
      </c>
      <c r="K212" t="s">
        <v>128</v>
      </c>
      <c r="L212" t="s">
        <v>128</v>
      </c>
      <c r="M212" t="s">
        <v>865</v>
      </c>
      <c r="N212" t="b">
        <v>0</v>
      </c>
    </row>
    <row r="213" spans="1:14">
      <c r="A213">
        <v>11</v>
      </c>
      <c r="B213">
        <v>5</v>
      </c>
      <c r="C213" t="s">
        <v>206</v>
      </c>
      <c r="D213" t="s">
        <v>726</v>
      </c>
      <c r="E213" t="s">
        <v>547</v>
      </c>
      <c r="F213">
        <v>60</v>
      </c>
      <c r="G213" t="s">
        <v>128</v>
      </c>
      <c r="H213" t="s">
        <v>557</v>
      </c>
      <c r="I213" t="s">
        <v>334</v>
      </c>
      <c r="J213" t="s">
        <v>128</v>
      </c>
      <c r="K213" t="s">
        <v>803</v>
      </c>
      <c r="L213" t="s">
        <v>804</v>
      </c>
      <c r="M213" t="s">
        <v>866</v>
      </c>
      <c r="N213" t="b">
        <v>0</v>
      </c>
    </row>
    <row r="214" spans="1:14">
      <c r="A214">
        <v>11</v>
      </c>
      <c r="B214">
        <v>6</v>
      </c>
      <c r="C214" t="s">
        <v>207</v>
      </c>
      <c r="D214" t="s">
        <v>726</v>
      </c>
      <c r="E214" t="s">
        <v>98</v>
      </c>
      <c r="F214">
        <v>40</v>
      </c>
      <c r="G214" t="s">
        <v>128</v>
      </c>
      <c r="H214" t="s">
        <v>128</v>
      </c>
      <c r="I214" t="s">
        <v>98</v>
      </c>
      <c r="J214" t="s">
        <v>128</v>
      </c>
      <c r="K214" t="s">
        <v>128</v>
      </c>
      <c r="L214" t="s">
        <v>128</v>
      </c>
      <c r="M214" t="s">
        <v>867</v>
      </c>
      <c r="N214" t="b">
        <v>0</v>
      </c>
    </row>
    <row r="215" spans="1:14">
      <c r="A215">
        <v>11</v>
      </c>
      <c r="B215">
        <v>7</v>
      </c>
      <c r="C215" t="s">
        <v>128</v>
      </c>
      <c r="D215" t="s">
        <v>726</v>
      </c>
      <c r="E215" t="s">
        <v>128</v>
      </c>
      <c r="F215">
        <v>0</v>
      </c>
      <c r="G215" t="s">
        <v>128</v>
      </c>
      <c r="H215" t="s">
        <v>128</v>
      </c>
      <c r="I215" t="s">
        <v>128</v>
      </c>
      <c r="J215" t="s">
        <v>128</v>
      </c>
      <c r="K215" t="s">
        <v>128</v>
      </c>
      <c r="L215" t="s">
        <v>128</v>
      </c>
      <c r="M215" t="s">
        <v>868</v>
      </c>
      <c r="N215" t="b">
        <v>0</v>
      </c>
    </row>
    <row r="216" spans="1:14">
      <c r="A216">
        <v>11</v>
      </c>
      <c r="B216">
        <v>8</v>
      </c>
      <c r="C216" t="s">
        <v>128</v>
      </c>
      <c r="D216" t="s">
        <v>726</v>
      </c>
      <c r="E216" t="s">
        <v>128</v>
      </c>
      <c r="F216">
        <v>0</v>
      </c>
      <c r="G216" t="s">
        <v>128</v>
      </c>
      <c r="H216" t="s">
        <v>128</v>
      </c>
      <c r="I216" t="s">
        <v>128</v>
      </c>
      <c r="J216" t="s">
        <v>128</v>
      </c>
      <c r="K216" t="s">
        <v>128</v>
      </c>
      <c r="L216" t="s">
        <v>128</v>
      </c>
      <c r="M216" t="s">
        <v>869</v>
      </c>
      <c r="N216" t="b">
        <v>0</v>
      </c>
    </row>
    <row r="217" spans="1:14">
      <c r="A217">
        <v>11</v>
      </c>
      <c r="B217">
        <v>9</v>
      </c>
      <c r="C217" t="s">
        <v>128</v>
      </c>
      <c r="D217" t="s">
        <v>726</v>
      </c>
      <c r="E217" t="s">
        <v>128</v>
      </c>
      <c r="F217">
        <v>0</v>
      </c>
      <c r="G217" t="s">
        <v>128</v>
      </c>
      <c r="H217" t="s">
        <v>128</v>
      </c>
      <c r="I217" t="s">
        <v>128</v>
      </c>
      <c r="J217" t="s">
        <v>128</v>
      </c>
      <c r="K217" t="s">
        <v>128</v>
      </c>
      <c r="L217" t="s">
        <v>128</v>
      </c>
      <c r="M217" t="s">
        <v>870</v>
      </c>
      <c r="N217" t="b">
        <v>0</v>
      </c>
    </row>
    <row r="218" spans="1:14">
      <c r="A218">
        <v>11</v>
      </c>
      <c r="B218">
        <v>10</v>
      </c>
      <c r="C218" t="s">
        <v>128</v>
      </c>
      <c r="D218" t="s">
        <v>726</v>
      </c>
      <c r="E218" t="s">
        <v>128</v>
      </c>
      <c r="F218">
        <v>0</v>
      </c>
      <c r="G218" t="s">
        <v>128</v>
      </c>
      <c r="H218" t="s">
        <v>128</v>
      </c>
      <c r="I218" t="s">
        <v>128</v>
      </c>
      <c r="J218" t="s">
        <v>128</v>
      </c>
      <c r="K218" t="s">
        <v>128</v>
      </c>
      <c r="L218" t="s">
        <v>128</v>
      </c>
      <c r="M218" t="s">
        <v>871</v>
      </c>
      <c r="N218" t="b">
        <v>0</v>
      </c>
    </row>
    <row r="219" spans="1:14">
      <c r="A219">
        <v>11</v>
      </c>
      <c r="B219">
        <v>11</v>
      </c>
      <c r="C219" t="s">
        <v>128</v>
      </c>
      <c r="D219" t="s">
        <v>726</v>
      </c>
      <c r="E219" t="s">
        <v>128</v>
      </c>
      <c r="F219">
        <v>0</v>
      </c>
      <c r="G219" t="s">
        <v>128</v>
      </c>
      <c r="H219" t="s">
        <v>128</v>
      </c>
      <c r="I219" t="s">
        <v>128</v>
      </c>
      <c r="J219" t="s">
        <v>128</v>
      </c>
      <c r="K219" t="s">
        <v>128</v>
      </c>
      <c r="L219" t="s">
        <v>128</v>
      </c>
      <c r="M219" t="s">
        <v>872</v>
      </c>
      <c r="N219" t="b">
        <v>0</v>
      </c>
    </row>
    <row r="220" spans="1:14">
      <c r="A220">
        <v>11</v>
      </c>
      <c r="B220">
        <v>12</v>
      </c>
      <c r="C220" t="s">
        <v>128</v>
      </c>
      <c r="D220" t="s">
        <v>726</v>
      </c>
      <c r="E220" t="s">
        <v>128</v>
      </c>
      <c r="F220">
        <v>0</v>
      </c>
      <c r="G220" t="s">
        <v>128</v>
      </c>
      <c r="H220" t="s">
        <v>128</v>
      </c>
      <c r="I220" t="s">
        <v>128</v>
      </c>
      <c r="J220" t="s">
        <v>128</v>
      </c>
      <c r="K220" t="s">
        <v>128</v>
      </c>
      <c r="L220" t="s">
        <v>128</v>
      </c>
      <c r="M220" t="s">
        <v>873</v>
      </c>
      <c r="N220" t="b">
        <v>0</v>
      </c>
    </row>
    <row r="221" spans="1:14">
      <c r="A221">
        <v>11</v>
      </c>
      <c r="B221">
        <v>13</v>
      </c>
      <c r="C221" t="s">
        <v>128</v>
      </c>
      <c r="D221" t="s">
        <v>726</v>
      </c>
      <c r="E221" t="s">
        <v>128</v>
      </c>
      <c r="F221">
        <v>0</v>
      </c>
      <c r="G221" t="s">
        <v>128</v>
      </c>
      <c r="H221" t="s">
        <v>128</v>
      </c>
      <c r="I221" t="s">
        <v>128</v>
      </c>
      <c r="J221" t="s">
        <v>128</v>
      </c>
      <c r="K221" t="s">
        <v>128</v>
      </c>
      <c r="L221" t="s">
        <v>128</v>
      </c>
      <c r="M221" t="s">
        <v>874</v>
      </c>
      <c r="N221" t="b">
        <v>0</v>
      </c>
    </row>
    <row r="222" spans="1:14">
      <c r="A222">
        <v>11</v>
      </c>
      <c r="B222">
        <v>14</v>
      </c>
      <c r="C222" t="s">
        <v>128</v>
      </c>
      <c r="D222" t="s">
        <v>726</v>
      </c>
      <c r="E222" t="s">
        <v>128</v>
      </c>
      <c r="F222">
        <v>0</v>
      </c>
      <c r="G222" t="s">
        <v>128</v>
      </c>
      <c r="H222" t="s">
        <v>128</v>
      </c>
      <c r="I222" t="s">
        <v>128</v>
      </c>
      <c r="J222" t="s">
        <v>128</v>
      </c>
      <c r="K222" t="s">
        <v>128</v>
      </c>
      <c r="L222" t="s">
        <v>128</v>
      </c>
      <c r="M222" t="s">
        <v>875</v>
      </c>
      <c r="N222" t="b">
        <v>0</v>
      </c>
    </row>
    <row r="223" spans="1:14">
      <c r="A223">
        <v>11</v>
      </c>
      <c r="B223">
        <v>15</v>
      </c>
      <c r="C223" t="s">
        <v>128</v>
      </c>
      <c r="D223" t="s">
        <v>726</v>
      </c>
      <c r="E223" t="s">
        <v>128</v>
      </c>
      <c r="F223">
        <v>0</v>
      </c>
      <c r="G223" t="s">
        <v>128</v>
      </c>
      <c r="H223" t="s">
        <v>128</v>
      </c>
      <c r="I223" t="s">
        <v>128</v>
      </c>
      <c r="J223" t="s">
        <v>128</v>
      </c>
      <c r="K223" t="s">
        <v>128</v>
      </c>
      <c r="L223" t="s">
        <v>128</v>
      </c>
      <c r="M223" t="s">
        <v>876</v>
      </c>
      <c r="N223" t="b">
        <v>0</v>
      </c>
    </row>
    <row r="224" spans="1:14">
      <c r="A224">
        <v>11</v>
      </c>
      <c r="B224">
        <v>16</v>
      </c>
      <c r="C224" t="s">
        <v>208</v>
      </c>
      <c r="D224" t="s">
        <v>743</v>
      </c>
      <c r="E224" t="s">
        <v>109</v>
      </c>
      <c r="F224">
        <v>50</v>
      </c>
      <c r="G224" t="s">
        <v>128</v>
      </c>
      <c r="H224" t="s">
        <v>128</v>
      </c>
      <c r="I224" t="s">
        <v>109</v>
      </c>
      <c r="J224" t="s">
        <v>128</v>
      </c>
      <c r="K224" t="s">
        <v>128</v>
      </c>
      <c r="L224" t="s">
        <v>128</v>
      </c>
      <c r="M224" t="s">
        <v>877</v>
      </c>
      <c r="N224" t="b">
        <v>0</v>
      </c>
    </row>
    <row r="225" spans="1:14">
      <c r="A225">
        <v>11</v>
      </c>
      <c r="B225">
        <v>17</v>
      </c>
      <c r="C225" t="s">
        <v>209</v>
      </c>
      <c r="D225" t="s">
        <v>743</v>
      </c>
      <c r="E225" t="s">
        <v>91</v>
      </c>
      <c r="F225">
        <v>60</v>
      </c>
      <c r="G225" t="s">
        <v>128</v>
      </c>
      <c r="H225" t="s">
        <v>128</v>
      </c>
      <c r="I225" t="s">
        <v>91</v>
      </c>
      <c r="J225" t="s">
        <v>128</v>
      </c>
      <c r="K225" t="s">
        <v>128</v>
      </c>
      <c r="L225" t="s">
        <v>128</v>
      </c>
      <c r="M225" t="s">
        <v>878</v>
      </c>
      <c r="N225" t="b">
        <v>0</v>
      </c>
    </row>
    <row r="226" spans="1:14">
      <c r="A226">
        <v>11</v>
      </c>
      <c r="B226">
        <v>18</v>
      </c>
      <c r="C226" t="s">
        <v>210</v>
      </c>
      <c r="D226" t="s">
        <v>743</v>
      </c>
      <c r="E226" t="s">
        <v>547</v>
      </c>
      <c r="F226">
        <v>50</v>
      </c>
      <c r="G226" t="s">
        <v>762</v>
      </c>
      <c r="H226" t="s">
        <v>128</v>
      </c>
      <c r="I226" t="s">
        <v>128</v>
      </c>
      <c r="J226" t="s">
        <v>826</v>
      </c>
      <c r="K226" t="s">
        <v>827</v>
      </c>
      <c r="L226" t="s">
        <v>828</v>
      </c>
      <c r="M226" t="s">
        <v>879</v>
      </c>
      <c r="N226" t="b">
        <v>0</v>
      </c>
    </row>
    <row r="227" spans="1:14">
      <c r="A227">
        <v>11</v>
      </c>
      <c r="B227">
        <v>19</v>
      </c>
      <c r="C227" t="s">
        <v>211</v>
      </c>
      <c r="D227" t="s">
        <v>743</v>
      </c>
      <c r="E227" t="s">
        <v>104</v>
      </c>
      <c r="F227">
        <v>50</v>
      </c>
      <c r="G227" t="s">
        <v>128</v>
      </c>
      <c r="H227" t="s">
        <v>128</v>
      </c>
      <c r="I227" t="s">
        <v>104</v>
      </c>
      <c r="J227" t="s">
        <v>128</v>
      </c>
      <c r="K227" t="s">
        <v>128</v>
      </c>
      <c r="L227" t="s">
        <v>128</v>
      </c>
      <c r="M227" t="s">
        <v>880</v>
      </c>
      <c r="N227" t="b">
        <v>0</v>
      </c>
    </row>
    <row r="228" spans="1:14">
      <c r="A228">
        <v>11</v>
      </c>
      <c r="B228">
        <v>20</v>
      </c>
      <c r="C228" t="s">
        <v>128</v>
      </c>
      <c r="D228" t="s">
        <v>743</v>
      </c>
      <c r="E228" t="s">
        <v>128</v>
      </c>
      <c r="F228">
        <v>0</v>
      </c>
      <c r="G228" t="s">
        <v>128</v>
      </c>
      <c r="H228" t="s">
        <v>128</v>
      </c>
      <c r="I228" t="s">
        <v>128</v>
      </c>
      <c r="J228" t="s">
        <v>128</v>
      </c>
      <c r="K228" t="s">
        <v>128</v>
      </c>
      <c r="L228" t="s">
        <v>128</v>
      </c>
      <c r="M228" t="s">
        <v>881</v>
      </c>
      <c r="N228" t="b">
        <v>0</v>
      </c>
    </row>
    <row r="229" spans="1:14">
      <c r="A229">
        <v>11</v>
      </c>
      <c r="B229">
        <v>21</v>
      </c>
      <c r="C229" t="s">
        <v>128</v>
      </c>
      <c r="D229" t="s">
        <v>743</v>
      </c>
      <c r="E229" t="s">
        <v>128</v>
      </c>
      <c r="F229">
        <v>0</v>
      </c>
      <c r="G229" t="s">
        <v>128</v>
      </c>
      <c r="H229" t="s">
        <v>128</v>
      </c>
      <c r="I229" t="s">
        <v>128</v>
      </c>
      <c r="J229" t="s">
        <v>128</v>
      </c>
      <c r="K229" t="s">
        <v>128</v>
      </c>
      <c r="L229" t="s">
        <v>128</v>
      </c>
      <c r="M229" t="s">
        <v>882</v>
      </c>
      <c r="N229" t="b">
        <v>0</v>
      </c>
    </row>
    <row r="230" spans="1:14">
      <c r="A230">
        <v>11</v>
      </c>
      <c r="B230">
        <v>22</v>
      </c>
      <c r="C230" t="s">
        <v>128</v>
      </c>
      <c r="D230" t="s">
        <v>743</v>
      </c>
      <c r="E230" t="s">
        <v>128</v>
      </c>
      <c r="F230">
        <v>0</v>
      </c>
      <c r="G230" t="s">
        <v>128</v>
      </c>
      <c r="H230" t="s">
        <v>128</v>
      </c>
      <c r="I230" t="s">
        <v>128</v>
      </c>
      <c r="J230" t="s">
        <v>128</v>
      </c>
      <c r="K230" t="s">
        <v>128</v>
      </c>
      <c r="L230" t="s">
        <v>128</v>
      </c>
      <c r="M230" t="s">
        <v>883</v>
      </c>
      <c r="N230" t="b">
        <v>0</v>
      </c>
    </row>
    <row r="231" spans="1:14">
      <c r="A231">
        <v>11</v>
      </c>
      <c r="B231">
        <v>23</v>
      </c>
      <c r="C231" t="s">
        <v>128</v>
      </c>
      <c r="D231" t="s">
        <v>743</v>
      </c>
      <c r="E231" t="s">
        <v>128</v>
      </c>
      <c r="F231">
        <v>0</v>
      </c>
      <c r="G231" t="s">
        <v>128</v>
      </c>
      <c r="H231" t="s">
        <v>128</v>
      </c>
      <c r="I231" t="s">
        <v>128</v>
      </c>
      <c r="J231" t="s">
        <v>128</v>
      </c>
      <c r="K231" t="s">
        <v>128</v>
      </c>
      <c r="L231" t="s">
        <v>128</v>
      </c>
      <c r="M231" t="s">
        <v>884</v>
      </c>
      <c r="N231" t="b">
        <v>0</v>
      </c>
    </row>
    <row r="232" spans="1:14">
      <c r="A232">
        <v>11</v>
      </c>
      <c r="B232">
        <v>24</v>
      </c>
      <c r="C232" t="s">
        <v>128</v>
      </c>
      <c r="D232" t="s">
        <v>743</v>
      </c>
      <c r="E232" t="s">
        <v>128</v>
      </c>
      <c r="F232">
        <v>0</v>
      </c>
      <c r="G232" t="s">
        <v>128</v>
      </c>
      <c r="H232" t="s">
        <v>128</v>
      </c>
      <c r="I232" t="s">
        <v>128</v>
      </c>
      <c r="J232" t="s">
        <v>128</v>
      </c>
      <c r="K232" t="s">
        <v>128</v>
      </c>
      <c r="L232" t="s">
        <v>128</v>
      </c>
      <c r="M232" t="s">
        <v>885</v>
      </c>
      <c r="N232" t="b">
        <v>0</v>
      </c>
    </row>
    <row r="233" spans="1:14">
      <c r="A233">
        <v>11</v>
      </c>
      <c r="B233">
        <v>25</v>
      </c>
      <c r="C233" t="s">
        <v>128</v>
      </c>
      <c r="D233" t="s">
        <v>743</v>
      </c>
      <c r="E233" t="s">
        <v>128</v>
      </c>
      <c r="F233">
        <v>0</v>
      </c>
      <c r="G233" t="s">
        <v>128</v>
      </c>
      <c r="H233" t="s">
        <v>128</v>
      </c>
      <c r="I233" t="s">
        <v>128</v>
      </c>
      <c r="J233" t="s">
        <v>128</v>
      </c>
      <c r="K233" t="s">
        <v>128</v>
      </c>
      <c r="L233" t="s">
        <v>128</v>
      </c>
      <c r="M233" t="s">
        <v>886</v>
      </c>
      <c r="N233" t="b">
        <v>0</v>
      </c>
    </row>
    <row r="234" spans="1:14">
      <c r="A234">
        <v>11</v>
      </c>
      <c r="B234">
        <v>26</v>
      </c>
      <c r="C234" t="s">
        <v>128</v>
      </c>
      <c r="D234" t="s">
        <v>743</v>
      </c>
      <c r="E234" t="s">
        <v>128</v>
      </c>
      <c r="F234">
        <v>0</v>
      </c>
      <c r="G234" t="s">
        <v>128</v>
      </c>
      <c r="H234" t="s">
        <v>128</v>
      </c>
      <c r="I234" t="s">
        <v>128</v>
      </c>
      <c r="J234" t="s">
        <v>128</v>
      </c>
      <c r="K234" t="s">
        <v>128</v>
      </c>
      <c r="L234" t="s">
        <v>128</v>
      </c>
      <c r="M234" t="s">
        <v>887</v>
      </c>
      <c r="N234" t="b">
        <v>0</v>
      </c>
    </row>
    <row r="235" spans="1:14">
      <c r="A235">
        <v>12</v>
      </c>
      <c r="B235">
        <v>0</v>
      </c>
      <c r="C235" t="s">
        <v>160</v>
      </c>
      <c r="D235" t="s">
        <v>726</v>
      </c>
      <c r="E235" t="s">
        <v>83</v>
      </c>
      <c r="F235">
        <v>40</v>
      </c>
      <c r="G235" t="s">
        <v>128</v>
      </c>
      <c r="H235" t="s">
        <v>128</v>
      </c>
      <c r="I235" t="s">
        <v>83</v>
      </c>
      <c r="J235" t="s">
        <v>128</v>
      </c>
      <c r="K235" t="s">
        <v>128</v>
      </c>
      <c r="L235" t="s">
        <v>128</v>
      </c>
      <c r="M235" t="s">
        <v>888</v>
      </c>
      <c r="N235" t="b">
        <v>0</v>
      </c>
    </row>
    <row r="236" spans="1:14">
      <c r="A236">
        <v>12</v>
      </c>
      <c r="B236">
        <v>1</v>
      </c>
      <c r="C236" t="s">
        <v>212</v>
      </c>
      <c r="D236" t="s">
        <v>726</v>
      </c>
      <c r="E236" t="s">
        <v>87</v>
      </c>
      <c r="F236">
        <v>40</v>
      </c>
      <c r="G236" t="s">
        <v>128</v>
      </c>
      <c r="H236" t="s">
        <v>128</v>
      </c>
      <c r="I236" t="s">
        <v>87</v>
      </c>
      <c r="J236" t="s">
        <v>128</v>
      </c>
      <c r="K236" t="s">
        <v>128</v>
      </c>
      <c r="L236" t="s">
        <v>128</v>
      </c>
      <c r="M236" t="s">
        <v>889</v>
      </c>
      <c r="N236" t="b">
        <v>0</v>
      </c>
    </row>
    <row r="237" spans="1:14">
      <c r="A237">
        <v>12</v>
      </c>
      <c r="B237">
        <v>2</v>
      </c>
      <c r="C237" t="s">
        <v>213</v>
      </c>
      <c r="D237" t="s">
        <v>755</v>
      </c>
      <c r="E237" t="s">
        <v>547</v>
      </c>
      <c r="F237">
        <v>60</v>
      </c>
      <c r="G237" t="s">
        <v>762</v>
      </c>
      <c r="H237" t="s">
        <v>128</v>
      </c>
      <c r="I237" t="s">
        <v>128</v>
      </c>
      <c r="J237" t="s">
        <v>826</v>
      </c>
      <c r="K237" t="s">
        <v>803</v>
      </c>
      <c r="L237" t="s">
        <v>804</v>
      </c>
      <c r="M237" t="s">
        <v>890</v>
      </c>
      <c r="N237" t="b">
        <v>0</v>
      </c>
    </row>
    <row r="238" spans="1:14">
      <c r="A238">
        <v>12</v>
      </c>
      <c r="B238">
        <v>3</v>
      </c>
      <c r="C238" t="s">
        <v>210</v>
      </c>
      <c r="D238" t="s">
        <v>755</v>
      </c>
      <c r="E238" t="s">
        <v>547</v>
      </c>
      <c r="F238">
        <v>50</v>
      </c>
      <c r="G238" t="s">
        <v>762</v>
      </c>
      <c r="H238" t="s">
        <v>128</v>
      </c>
      <c r="I238" t="s">
        <v>128</v>
      </c>
      <c r="J238" t="s">
        <v>826</v>
      </c>
      <c r="K238" t="s">
        <v>827</v>
      </c>
      <c r="L238" t="s">
        <v>828</v>
      </c>
      <c r="M238" t="s">
        <v>891</v>
      </c>
      <c r="N238" t="b">
        <v>0</v>
      </c>
    </row>
    <row r="239" spans="1:14">
      <c r="A239">
        <v>12</v>
      </c>
      <c r="B239">
        <v>4</v>
      </c>
      <c r="C239" t="s">
        <v>210</v>
      </c>
      <c r="D239" t="s">
        <v>755</v>
      </c>
      <c r="E239" t="s">
        <v>547</v>
      </c>
      <c r="F239">
        <v>50</v>
      </c>
      <c r="G239" t="s">
        <v>762</v>
      </c>
      <c r="H239" t="s">
        <v>128</v>
      </c>
      <c r="I239" t="s">
        <v>128</v>
      </c>
      <c r="J239" t="s">
        <v>826</v>
      </c>
      <c r="K239" t="s">
        <v>892</v>
      </c>
      <c r="L239" t="s">
        <v>893</v>
      </c>
      <c r="M239" t="s">
        <v>894</v>
      </c>
      <c r="N239" t="b">
        <v>0</v>
      </c>
    </row>
    <row r="240" spans="1:14">
      <c r="A240">
        <v>12</v>
      </c>
      <c r="B240">
        <v>5</v>
      </c>
      <c r="C240" t="s">
        <v>128</v>
      </c>
      <c r="D240" t="s">
        <v>726</v>
      </c>
      <c r="E240" t="s">
        <v>128</v>
      </c>
      <c r="F240">
        <v>0</v>
      </c>
      <c r="G240" t="s">
        <v>128</v>
      </c>
      <c r="H240" t="s">
        <v>128</v>
      </c>
      <c r="I240" t="s">
        <v>128</v>
      </c>
      <c r="J240" t="s">
        <v>128</v>
      </c>
      <c r="K240" t="s">
        <v>128</v>
      </c>
      <c r="L240" t="s">
        <v>128</v>
      </c>
      <c r="M240" t="s">
        <v>895</v>
      </c>
      <c r="N240" t="b">
        <v>0</v>
      </c>
    </row>
    <row r="241" spans="1:14">
      <c r="A241">
        <v>12</v>
      </c>
      <c r="B241">
        <v>6</v>
      </c>
      <c r="C241" t="s">
        <v>128</v>
      </c>
      <c r="D241" t="s">
        <v>726</v>
      </c>
      <c r="E241" t="s">
        <v>128</v>
      </c>
      <c r="F241">
        <v>0</v>
      </c>
      <c r="G241" t="s">
        <v>128</v>
      </c>
      <c r="H241" t="s">
        <v>128</v>
      </c>
      <c r="I241" t="s">
        <v>128</v>
      </c>
      <c r="J241" t="s">
        <v>128</v>
      </c>
      <c r="K241" t="s">
        <v>128</v>
      </c>
      <c r="L241" t="s">
        <v>128</v>
      </c>
      <c r="M241" t="s">
        <v>896</v>
      </c>
      <c r="N241" t="b">
        <v>0</v>
      </c>
    </row>
    <row r="242" spans="1:14">
      <c r="A242">
        <v>12</v>
      </c>
      <c r="B242">
        <v>7</v>
      </c>
      <c r="C242" t="s">
        <v>128</v>
      </c>
      <c r="D242" t="s">
        <v>726</v>
      </c>
      <c r="E242" t="s">
        <v>128</v>
      </c>
      <c r="F242">
        <v>0</v>
      </c>
      <c r="G242" t="s">
        <v>128</v>
      </c>
      <c r="H242" t="s">
        <v>128</v>
      </c>
      <c r="I242" t="s">
        <v>128</v>
      </c>
      <c r="J242" t="s">
        <v>128</v>
      </c>
      <c r="K242" t="s">
        <v>128</v>
      </c>
      <c r="L242" t="s">
        <v>128</v>
      </c>
      <c r="M242" t="s">
        <v>897</v>
      </c>
      <c r="N242" t="b">
        <v>0</v>
      </c>
    </row>
    <row r="243" spans="1:14">
      <c r="A243">
        <v>12</v>
      </c>
      <c r="B243">
        <v>8</v>
      </c>
      <c r="C243" t="s">
        <v>128</v>
      </c>
      <c r="D243" t="s">
        <v>726</v>
      </c>
      <c r="E243" t="s">
        <v>128</v>
      </c>
      <c r="F243">
        <v>0</v>
      </c>
      <c r="G243" t="s">
        <v>128</v>
      </c>
      <c r="H243" t="s">
        <v>128</v>
      </c>
      <c r="I243" t="s">
        <v>128</v>
      </c>
      <c r="J243" t="s">
        <v>128</v>
      </c>
      <c r="K243" t="s">
        <v>128</v>
      </c>
      <c r="L243" t="s">
        <v>128</v>
      </c>
      <c r="M243" t="s">
        <v>898</v>
      </c>
      <c r="N243" t="b">
        <v>0</v>
      </c>
    </row>
    <row r="244" spans="1:14">
      <c r="A244">
        <v>12</v>
      </c>
      <c r="B244">
        <v>9</v>
      </c>
      <c r="C244" t="s">
        <v>128</v>
      </c>
      <c r="D244" t="s">
        <v>726</v>
      </c>
      <c r="E244" t="s">
        <v>128</v>
      </c>
      <c r="F244">
        <v>0</v>
      </c>
      <c r="G244" t="s">
        <v>128</v>
      </c>
      <c r="H244" t="s">
        <v>128</v>
      </c>
      <c r="I244" t="s">
        <v>128</v>
      </c>
      <c r="J244" t="s">
        <v>128</v>
      </c>
      <c r="K244" t="s">
        <v>128</v>
      </c>
      <c r="L244" t="s">
        <v>128</v>
      </c>
      <c r="M244" t="s">
        <v>899</v>
      </c>
      <c r="N244" t="b">
        <v>0</v>
      </c>
    </row>
    <row r="245" spans="1:14">
      <c r="A245">
        <v>12</v>
      </c>
      <c r="B245">
        <v>10</v>
      </c>
      <c r="C245" t="s">
        <v>128</v>
      </c>
      <c r="D245" t="s">
        <v>726</v>
      </c>
      <c r="E245" t="s">
        <v>128</v>
      </c>
      <c r="F245">
        <v>0</v>
      </c>
      <c r="G245" t="s">
        <v>128</v>
      </c>
      <c r="H245" t="s">
        <v>128</v>
      </c>
      <c r="I245" t="s">
        <v>128</v>
      </c>
      <c r="J245" t="s">
        <v>128</v>
      </c>
      <c r="K245" t="s">
        <v>128</v>
      </c>
      <c r="L245" t="s">
        <v>128</v>
      </c>
      <c r="M245" t="s">
        <v>900</v>
      </c>
      <c r="N245" t="b">
        <v>0</v>
      </c>
    </row>
    <row r="246" spans="1:14">
      <c r="A246">
        <v>12</v>
      </c>
      <c r="B246">
        <v>11</v>
      </c>
      <c r="C246" t="s">
        <v>128</v>
      </c>
      <c r="D246" t="s">
        <v>726</v>
      </c>
      <c r="E246" t="s">
        <v>128</v>
      </c>
      <c r="F246">
        <v>0</v>
      </c>
      <c r="G246" t="s">
        <v>128</v>
      </c>
      <c r="H246" t="s">
        <v>128</v>
      </c>
      <c r="I246" t="s">
        <v>128</v>
      </c>
      <c r="J246" t="s">
        <v>128</v>
      </c>
      <c r="K246" t="s">
        <v>128</v>
      </c>
      <c r="L246" t="s">
        <v>128</v>
      </c>
      <c r="M246" t="s">
        <v>901</v>
      </c>
      <c r="N246" t="b">
        <v>0</v>
      </c>
    </row>
    <row r="247" spans="1:14">
      <c r="A247">
        <v>12</v>
      </c>
      <c r="B247">
        <v>12</v>
      </c>
      <c r="C247" t="s">
        <v>128</v>
      </c>
      <c r="D247" t="s">
        <v>726</v>
      </c>
      <c r="E247" t="s">
        <v>128</v>
      </c>
      <c r="F247">
        <v>0</v>
      </c>
      <c r="G247" t="s">
        <v>128</v>
      </c>
      <c r="H247" t="s">
        <v>128</v>
      </c>
      <c r="I247" t="s">
        <v>128</v>
      </c>
      <c r="J247" t="s">
        <v>128</v>
      </c>
      <c r="K247" t="s">
        <v>128</v>
      </c>
      <c r="L247" t="s">
        <v>128</v>
      </c>
      <c r="M247" t="s">
        <v>902</v>
      </c>
      <c r="N247" t="b">
        <v>0</v>
      </c>
    </row>
    <row r="248" spans="1:14">
      <c r="A248">
        <v>12</v>
      </c>
      <c r="B248">
        <v>13</v>
      </c>
      <c r="C248" t="s">
        <v>128</v>
      </c>
      <c r="D248" t="s">
        <v>726</v>
      </c>
      <c r="E248" t="s">
        <v>128</v>
      </c>
      <c r="F248">
        <v>0</v>
      </c>
      <c r="G248" t="s">
        <v>128</v>
      </c>
      <c r="H248" t="s">
        <v>128</v>
      </c>
      <c r="I248" t="s">
        <v>128</v>
      </c>
      <c r="J248" t="s">
        <v>128</v>
      </c>
      <c r="K248" t="s">
        <v>128</v>
      </c>
      <c r="L248" t="s">
        <v>128</v>
      </c>
      <c r="M248" t="s">
        <v>903</v>
      </c>
      <c r="N248" t="b">
        <v>0</v>
      </c>
    </row>
    <row r="249" spans="1:14">
      <c r="A249">
        <v>12</v>
      </c>
      <c r="B249">
        <v>14</v>
      </c>
      <c r="C249" t="s">
        <v>128</v>
      </c>
      <c r="D249" t="s">
        <v>726</v>
      </c>
      <c r="E249" t="s">
        <v>128</v>
      </c>
      <c r="F249">
        <v>0</v>
      </c>
      <c r="G249" t="s">
        <v>128</v>
      </c>
      <c r="H249" t="s">
        <v>128</v>
      </c>
      <c r="I249" t="s">
        <v>128</v>
      </c>
      <c r="J249" t="s">
        <v>128</v>
      </c>
      <c r="K249" t="s">
        <v>128</v>
      </c>
      <c r="L249" t="s">
        <v>128</v>
      </c>
      <c r="M249" t="s">
        <v>904</v>
      </c>
      <c r="N249" t="b">
        <v>0</v>
      </c>
    </row>
    <row r="250" spans="1:14">
      <c r="A250">
        <v>12</v>
      </c>
      <c r="B250">
        <v>15</v>
      </c>
      <c r="C250" t="s">
        <v>128</v>
      </c>
      <c r="D250" t="s">
        <v>726</v>
      </c>
      <c r="E250" t="s">
        <v>128</v>
      </c>
      <c r="F250">
        <v>0</v>
      </c>
      <c r="G250" t="s">
        <v>128</v>
      </c>
      <c r="H250" t="s">
        <v>128</v>
      </c>
      <c r="I250" t="s">
        <v>128</v>
      </c>
      <c r="J250" t="s">
        <v>128</v>
      </c>
      <c r="K250" t="s">
        <v>128</v>
      </c>
      <c r="L250" t="s">
        <v>128</v>
      </c>
      <c r="M250" t="s">
        <v>905</v>
      </c>
      <c r="N250" t="b">
        <v>0</v>
      </c>
    </row>
    <row r="251" spans="1:14">
      <c r="A251">
        <v>12</v>
      </c>
      <c r="B251">
        <v>16</v>
      </c>
      <c r="C251" t="s">
        <v>180</v>
      </c>
      <c r="D251" t="s">
        <v>743</v>
      </c>
      <c r="E251" t="s">
        <v>60</v>
      </c>
      <c r="F251">
        <v>50</v>
      </c>
      <c r="G251" t="s">
        <v>128</v>
      </c>
      <c r="H251" t="s">
        <v>128</v>
      </c>
      <c r="I251" t="s">
        <v>60</v>
      </c>
      <c r="J251" t="s">
        <v>128</v>
      </c>
      <c r="K251" t="s">
        <v>128</v>
      </c>
      <c r="L251" t="s">
        <v>128</v>
      </c>
      <c r="M251" t="s">
        <v>906</v>
      </c>
      <c r="N251" t="b">
        <v>0</v>
      </c>
    </row>
    <row r="252" spans="1:14">
      <c r="A252">
        <v>12</v>
      </c>
      <c r="B252">
        <v>17</v>
      </c>
      <c r="C252" t="s">
        <v>182</v>
      </c>
      <c r="D252" t="s">
        <v>743</v>
      </c>
      <c r="E252" t="s">
        <v>546</v>
      </c>
      <c r="F252">
        <v>40</v>
      </c>
      <c r="G252" t="s">
        <v>762</v>
      </c>
      <c r="H252" t="s">
        <v>128</v>
      </c>
      <c r="I252" t="s">
        <v>128</v>
      </c>
      <c r="J252" t="s">
        <v>819</v>
      </c>
      <c r="K252" t="s">
        <v>794</v>
      </c>
      <c r="L252" t="s">
        <v>795</v>
      </c>
      <c r="M252" t="s">
        <v>907</v>
      </c>
      <c r="N252" t="b">
        <v>0</v>
      </c>
    </row>
    <row r="253" spans="1:14">
      <c r="A253">
        <v>12</v>
      </c>
      <c r="B253">
        <v>18</v>
      </c>
      <c r="C253" t="s">
        <v>162</v>
      </c>
      <c r="D253" t="s">
        <v>743</v>
      </c>
      <c r="E253" t="s">
        <v>299</v>
      </c>
      <c r="F253">
        <v>40</v>
      </c>
      <c r="G253" t="s">
        <v>762</v>
      </c>
      <c r="H253" t="s">
        <v>128</v>
      </c>
      <c r="I253" t="s">
        <v>128</v>
      </c>
      <c r="J253" t="s">
        <v>763</v>
      </c>
      <c r="K253" t="s">
        <v>764</v>
      </c>
      <c r="L253" t="s">
        <v>765</v>
      </c>
      <c r="M253" t="s">
        <v>908</v>
      </c>
      <c r="N253" t="b">
        <v>0</v>
      </c>
    </row>
    <row r="254" spans="1:14">
      <c r="A254">
        <v>12</v>
      </c>
      <c r="B254">
        <v>19</v>
      </c>
      <c r="C254" t="s">
        <v>214</v>
      </c>
      <c r="D254" t="s">
        <v>743</v>
      </c>
      <c r="E254" t="s">
        <v>109</v>
      </c>
      <c r="F254">
        <v>40</v>
      </c>
      <c r="G254" t="s">
        <v>128</v>
      </c>
      <c r="H254" t="s">
        <v>128</v>
      </c>
      <c r="I254" t="s">
        <v>109</v>
      </c>
      <c r="J254" t="s">
        <v>128</v>
      </c>
      <c r="K254" t="s">
        <v>128</v>
      </c>
      <c r="L254" t="s">
        <v>128</v>
      </c>
      <c r="M254" t="s">
        <v>909</v>
      </c>
      <c r="N254" t="b">
        <v>0</v>
      </c>
    </row>
    <row r="255" spans="1:14">
      <c r="A255">
        <v>12</v>
      </c>
      <c r="B255">
        <v>20</v>
      </c>
      <c r="C255" t="s">
        <v>184</v>
      </c>
      <c r="D255" t="s">
        <v>743</v>
      </c>
      <c r="E255" t="s">
        <v>61</v>
      </c>
      <c r="F255">
        <v>40</v>
      </c>
      <c r="G255" t="s">
        <v>128</v>
      </c>
      <c r="H255" t="s">
        <v>128</v>
      </c>
      <c r="I255" t="s">
        <v>61</v>
      </c>
      <c r="J255" t="s">
        <v>128</v>
      </c>
      <c r="K255" t="s">
        <v>128</v>
      </c>
      <c r="L255" t="s">
        <v>128</v>
      </c>
      <c r="M255" t="s">
        <v>910</v>
      </c>
      <c r="N255" t="b">
        <v>0</v>
      </c>
    </row>
    <row r="256" spans="1:14">
      <c r="A256">
        <v>12</v>
      </c>
      <c r="B256">
        <v>21</v>
      </c>
      <c r="C256" t="s">
        <v>215</v>
      </c>
      <c r="D256" t="s">
        <v>743</v>
      </c>
      <c r="E256" t="s">
        <v>84</v>
      </c>
      <c r="F256">
        <v>40</v>
      </c>
      <c r="G256" t="s">
        <v>128</v>
      </c>
      <c r="H256" t="s">
        <v>128</v>
      </c>
      <c r="I256" t="s">
        <v>84</v>
      </c>
      <c r="J256" t="s">
        <v>128</v>
      </c>
      <c r="K256" t="s">
        <v>128</v>
      </c>
      <c r="L256" t="s">
        <v>128</v>
      </c>
      <c r="M256" t="s">
        <v>911</v>
      </c>
      <c r="N256" t="b">
        <v>0</v>
      </c>
    </row>
    <row r="257" spans="1:14">
      <c r="A257">
        <v>12</v>
      </c>
      <c r="B257">
        <v>22</v>
      </c>
      <c r="C257" t="s">
        <v>128</v>
      </c>
      <c r="D257" t="s">
        <v>743</v>
      </c>
      <c r="E257" t="s">
        <v>128</v>
      </c>
      <c r="F257">
        <v>0</v>
      </c>
      <c r="G257" t="s">
        <v>128</v>
      </c>
      <c r="H257" t="s">
        <v>128</v>
      </c>
      <c r="I257" t="s">
        <v>128</v>
      </c>
      <c r="J257" t="s">
        <v>128</v>
      </c>
      <c r="K257" t="s">
        <v>128</v>
      </c>
      <c r="L257" t="s">
        <v>128</v>
      </c>
      <c r="M257" t="s">
        <v>912</v>
      </c>
      <c r="N257" t="b">
        <v>0</v>
      </c>
    </row>
    <row r="258" spans="1:14">
      <c r="A258">
        <v>12</v>
      </c>
      <c r="B258">
        <v>23</v>
      </c>
      <c r="C258" t="s">
        <v>128</v>
      </c>
      <c r="D258" t="s">
        <v>743</v>
      </c>
      <c r="E258" t="s">
        <v>128</v>
      </c>
      <c r="F258">
        <v>0</v>
      </c>
      <c r="G258" t="s">
        <v>128</v>
      </c>
      <c r="H258" t="s">
        <v>128</v>
      </c>
      <c r="I258" t="s">
        <v>128</v>
      </c>
      <c r="J258" t="s">
        <v>128</v>
      </c>
      <c r="K258" t="s">
        <v>128</v>
      </c>
      <c r="L258" t="s">
        <v>128</v>
      </c>
      <c r="M258" t="s">
        <v>913</v>
      </c>
      <c r="N258" t="b">
        <v>0</v>
      </c>
    </row>
    <row r="259" spans="1:14">
      <c r="A259">
        <v>12</v>
      </c>
      <c r="B259">
        <v>24</v>
      </c>
      <c r="C259" t="s">
        <v>128</v>
      </c>
      <c r="D259" t="s">
        <v>743</v>
      </c>
      <c r="E259" t="s">
        <v>128</v>
      </c>
      <c r="F259">
        <v>0</v>
      </c>
      <c r="G259" t="s">
        <v>128</v>
      </c>
      <c r="H259" t="s">
        <v>128</v>
      </c>
      <c r="I259" t="s">
        <v>128</v>
      </c>
      <c r="J259" t="s">
        <v>128</v>
      </c>
      <c r="K259" t="s">
        <v>128</v>
      </c>
      <c r="L259" t="s">
        <v>128</v>
      </c>
      <c r="M259" t="s">
        <v>914</v>
      </c>
      <c r="N259" t="b">
        <v>0</v>
      </c>
    </row>
    <row r="260" spans="1:14">
      <c r="A260">
        <v>12</v>
      </c>
      <c r="B260">
        <v>25</v>
      </c>
      <c r="C260" t="s">
        <v>128</v>
      </c>
      <c r="D260" t="s">
        <v>743</v>
      </c>
      <c r="E260" t="s">
        <v>128</v>
      </c>
      <c r="F260">
        <v>0</v>
      </c>
      <c r="G260" t="s">
        <v>128</v>
      </c>
      <c r="H260" t="s">
        <v>128</v>
      </c>
      <c r="I260" t="s">
        <v>128</v>
      </c>
      <c r="J260" t="s">
        <v>128</v>
      </c>
      <c r="K260" t="s">
        <v>128</v>
      </c>
      <c r="L260" t="s">
        <v>128</v>
      </c>
      <c r="M260" t="s">
        <v>915</v>
      </c>
      <c r="N260" t="b">
        <v>0</v>
      </c>
    </row>
    <row r="261" spans="1:14">
      <c r="A261">
        <v>12</v>
      </c>
      <c r="B261">
        <v>26</v>
      </c>
      <c r="C261" t="s">
        <v>128</v>
      </c>
      <c r="D261" t="s">
        <v>743</v>
      </c>
      <c r="E261" t="s">
        <v>128</v>
      </c>
      <c r="F261">
        <v>0</v>
      </c>
      <c r="G261" t="s">
        <v>128</v>
      </c>
      <c r="H261" t="s">
        <v>128</v>
      </c>
      <c r="I261" t="s">
        <v>128</v>
      </c>
      <c r="J261" t="s">
        <v>128</v>
      </c>
      <c r="K261" t="s">
        <v>128</v>
      </c>
      <c r="L261" t="s">
        <v>128</v>
      </c>
      <c r="M261" t="s">
        <v>916</v>
      </c>
      <c r="N261" t="b">
        <v>0</v>
      </c>
    </row>
    <row r="262" spans="1:14">
      <c r="A262">
        <v>13</v>
      </c>
      <c r="B262">
        <v>0</v>
      </c>
      <c r="C262" t="s">
        <v>218</v>
      </c>
      <c r="D262" t="s">
        <v>726</v>
      </c>
      <c r="E262" t="s">
        <v>65</v>
      </c>
      <c r="F262">
        <v>60</v>
      </c>
      <c r="G262" t="s">
        <v>128</v>
      </c>
      <c r="H262" t="s">
        <v>128</v>
      </c>
      <c r="I262" t="s">
        <v>65</v>
      </c>
      <c r="J262" t="s">
        <v>128</v>
      </c>
      <c r="K262" t="s">
        <v>128</v>
      </c>
      <c r="L262" t="s">
        <v>128</v>
      </c>
      <c r="M262" t="s">
        <v>917</v>
      </c>
      <c r="N262" t="b">
        <v>0</v>
      </c>
    </row>
    <row r="263" spans="1:14">
      <c r="A263">
        <v>13</v>
      </c>
      <c r="B263">
        <v>1</v>
      </c>
      <c r="C263" t="s">
        <v>219</v>
      </c>
      <c r="D263" t="s">
        <v>726</v>
      </c>
      <c r="E263" t="s">
        <v>77</v>
      </c>
      <c r="F263">
        <v>60</v>
      </c>
      <c r="G263" t="s">
        <v>128</v>
      </c>
      <c r="H263" t="s">
        <v>128</v>
      </c>
      <c r="I263" t="s">
        <v>77</v>
      </c>
      <c r="J263" t="s">
        <v>128</v>
      </c>
      <c r="K263" t="s">
        <v>128</v>
      </c>
      <c r="L263" t="s">
        <v>128</v>
      </c>
      <c r="M263" t="s">
        <v>918</v>
      </c>
      <c r="N263" t="b">
        <v>0</v>
      </c>
    </row>
    <row r="264" spans="1:14">
      <c r="A264">
        <v>13</v>
      </c>
      <c r="B264">
        <v>2</v>
      </c>
      <c r="C264" t="s">
        <v>220</v>
      </c>
      <c r="D264" t="s">
        <v>726</v>
      </c>
      <c r="E264" t="s">
        <v>95</v>
      </c>
      <c r="F264">
        <v>40</v>
      </c>
      <c r="G264" t="s">
        <v>128</v>
      </c>
      <c r="H264" t="s">
        <v>128</v>
      </c>
      <c r="I264" t="s">
        <v>95</v>
      </c>
      <c r="J264" t="s">
        <v>128</v>
      </c>
      <c r="K264" t="s">
        <v>128</v>
      </c>
      <c r="L264" t="s">
        <v>128</v>
      </c>
      <c r="M264" t="s">
        <v>919</v>
      </c>
      <c r="N264" t="b">
        <v>0</v>
      </c>
    </row>
    <row r="265" spans="1:14">
      <c r="A265">
        <v>13</v>
      </c>
      <c r="B265">
        <v>3</v>
      </c>
      <c r="C265" t="s">
        <v>221</v>
      </c>
      <c r="D265" t="s">
        <v>726</v>
      </c>
      <c r="E265" t="s">
        <v>101</v>
      </c>
      <c r="F265">
        <v>60</v>
      </c>
      <c r="G265" t="s">
        <v>128</v>
      </c>
      <c r="H265" t="s">
        <v>128</v>
      </c>
      <c r="I265" t="s">
        <v>101</v>
      </c>
      <c r="J265" t="s">
        <v>128</v>
      </c>
      <c r="K265" t="s">
        <v>128</v>
      </c>
      <c r="L265" t="s">
        <v>128</v>
      </c>
      <c r="M265" t="s">
        <v>920</v>
      </c>
      <c r="N265" t="b">
        <v>0</v>
      </c>
    </row>
    <row r="266" spans="1:14">
      <c r="A266">
        <v>13</v>
      </c>
      <c r="B266">
        <v>4</v>
      </c>
      <c r="C266" t="s">
        <v>200</v>
      </c>
      <c r="D266" t="s">
        <v>726</v>
      </c>
      <c r="E266" t="s">
        <v>113</v>
      </c>
      <c r="F266">
        <v>50</v>
      </c>
      <c r="G266" t="s">
        <v>128</v>
      </c>
      <c r="H266" t="s">
        <v>128</v>
      </c>
      <c r="I266" t="s">
        <v>113</v>
      </c>
      <c r="J266" t="s">
        <v>128</v>
      </c>
      <c r="K266" t="s">
        <v>128</v>
      </c>
      <c r="L266" t="s">
        <v>128</v>
      </c>
      <c r="M266" t="s">
        <v>921</v>
      </c>
      <c r="N266" t="b">
        <v>0</v>
      </c>
    </row>
    <row r="267" spans="1:14">
      <c r="A267">
        <v>13</v>
      </c>
      <c r="B267">
        <v>5</v>
      </c>
      <c r="C267" t="s">
        <v>222</v>
      </c>
      <c r="D267" t="s">
        <v>726</v>
      </c>
      <c r="E267" t="s">
        <v>68</v>
      </c>
      <c r="F267">
        <v>50</v>
      </c>
      <c r="G267" t="s">
        <v>128</v>
      </c>
      <c r="H267" t="s">
        <v>128</v>
      </c>
      <c r="I267" t="s">
        <v>68</v>
      </c>
      <c r="J267" t="s">
        <v>128</v>
      </c>
      <c r="K267" t="s">
        <v>128</v>
      </c>
      <c r="L267" t="s">
        <v>128</v>
      </c>
      <c r="M267" t="s">
        <v>922</v>
      </c>
      <c r="N267" t="b">
        <v>0</v>
      </c>
    </row>
    <row r="268" spans="1:14">
      <c r="A268">
        <v>13</v>
      </c>
      <c r="B268">
        <v>6</v>
      </c>
      <c r="C268" t="s">
        <v>223</v>
      </c>
      <c r="D268" t="s">
        <v>726</v>
      </c>
      <c r="E268" t="s">
        <v>333</v>
      </c>
      <c r="F268">
        <v>60</v>
      </c>
      <c r="G268" t="s">
        <v>128</v>
      </c>
      <c r="H268" t="s">
        <v>550</v>
      </c>
      <c r="I268" t="s">
        <v>447</v>
      </c>
      <c r="J268" t="s">
        <v>128</v>
      </c>
      <c r="K268" t="s">
        <v>923</v>
      </c>
      <c r="L268" t="s">
        <v>924</v>
      </c>
      <c r="M268" t="s">
        <v>925</v>
      </c>
      <c r="N268" t="b">
        <v>0</v>
      </c>
    </row>
    <row r="269" spans="1:14">
      <c r="A269">
        <v>13</v>
      </c>
      <c r="B269">
        <v>7</v>
      </c>
      <c r="C269" t="s">
        <v>169</v>
      </c>
      <c r="D269" t="s">
        <v>726</v>
      </c>
      <c r="E269" t="s">
        <v>74</v>
      </c>
      <c r="F269">
        <v>50</v>
      </c>
      <c r="G269" t="s">
        <v>128</v>
      </c>
      <c r="H269" t="s">
        <v>128</v>
      </c>
      <c r="I269" t="s">
        <v>74</v>
      </c>
      <c r="J269" t="s">
        <v>128</v>
      </c>
      <c r="K269" t="s">
        <v>128</v>
      </c>
      <c r="L269" t="s">
        <v>128</v>
      </c>
      <c r="M269" t="s">
        <v>926</v>
      </c>
      <c r="N269" t="b">
        <v>0</v>
      </c>
    </row>
    <row r="270" spans="1:14">
      <c r="A270">
        <v>13</v>
      </c>
      <c r="B270">
        <v>8</v>
      </c>
      <c r="C270" t="s">
        <v>224</v>
      </c>
      <c r="D270" t="s">
        <v>726</v>
      </c>
      <c r="E270" t="s">
        <v>102</v>
      </c>
      <c r="F270">
        <v>50</v>
      </c>
      <c r="G270" t="s">
        <v>128</v>
      </c>
      <c r="H270" t="s">
        <v>128</v>
      </c>
      <c r="I270" t="s">
        <v>102</v>
      </c>
      <c r="J270" t="s">
        <v>128</v>
      </c>
      <c r="K270" t="s">
        <v>128</v>
      </c>
      <c r="L270" t="s">
        <v>128</v>
      </c>
      <c r="M270" t="s">
        <v>927</v>
      </c>
      <c r="N270" t="b">
        <v>0</v>
      </c>
    </row>
    <row r="271" spans="1:14">
      <c r="A271">
        <v>13</v>
      </c>
      <c r="B271">
        <v>9</v>
      </c>
      <c r="C271" t="s">
        <v>172</v>
      </c>
      <c r="D271" t="s">
        <v>726</v>
      </c>
      <c r="E271" t="s">
        <v>106</v>
      </c>
      <c r="F271">
        <v>50</v>
      </c>
      <c r="G271" t="s">
        <v>128</v>
      </c>
      <c r="H271" t="s">
        <v>128</v>
      </c>
      <c r="I271" t="s">
        <v>106</v>
      </c>
      <c r="J271" t="s">
        <v>128</v>
      </c>
      <c r="K271" t="s">
        <v>128</v>
      </c>
      <c r="L271" t="s">
        <v>128</v>
      </c>
      <c r="M271" t="s">
        <v>928</v>
      </c>
      <c r="N271" t="b">
        <v>0</v>
      </c>
    </row>
    <row r="272" spans="1:14">
      <c r="A272">
        <v>13</v>
      </c>
      <c r="B272">
        <v>10</v>
      </c>
      <c r="C272" t="s">
        <v>225</v>
      </c>
      <c r="D272" t="s">
        <v>726</v>
      </c>
      <c r="E272" t="s">
        <v>107</v>
      </c>
      <c r="F272">
        <v>50</v>
      </c>
      <c r="G272" t="s">
        <v>128</v>
      </c>
      <c r="H272" t="s">
        <v>128</v>
      </c>
      <c r="I272" t="s">
        <v>107</v>
      </c>
      <c r="J272" t="s">
        <v>128</v>
      </c>
      <c r="K272" t="s">
        <v>128</v>
      </c>
      <c r="L272" t="s">
        <v>128</v>
      </c>
      <c r="M272" t="s">
        <v>929</v>
      </c>
      <c r="N272" t="b">
        <v>0</v>
      </c>
    </row>
    <row r="273" spans="1:14">
      <c r="A273">
        <v>13</v>
      </c>
      <c r="B273">
        <v>11</v>
      </c>
      <c r="C273" t="s">
        <v>197</v>
      </c>
      <c r="D273" t="s">
        <v>726</v>
      </c>
      <c r="E273" t="s">
        <v>108</v>
      </c>
      <c r="F273">
        <v>60</v>
      </c>
      <c r="G273" t="s">
        <v>128</v>
      </c>
      <c r="H273" t="s">
        <v>128</v>
      </c>
      <c r="I273" t="s">
        <v>108</v>
      </c>
      <c r="J273" t="s">
        <v>128</v>
      </c>
      <c r="K273" t="s">
        <v>128</v>
      </c>
      <c r="L273" t="s">
        <v>128</v>
      </c>
      <c r="M273" t="s">
        <v>930</v>
      </c>
      <c r="N273" t="b">
        <v>0</v>
      </c>
    </row>
    <row r="274" spans="1:14">
      <c r="A274">
        <v>13</v>
      </c>
      <c r="B274">
        <v>12</v>
      </c>
      <c r="C274" t="s">
        <v>128</v>
      </c>
      <c r="D274" t="s">
        <v>726</v>
      </c>
      <c r="E274" t="s">
        <v>128</v>
      </c>
      <c r="F274">
        <v>0</v>
      </c>
      <c r="G274" t="s">
        <v>128</v>
      </c>
      <c r="H274" t="s">
        <v>128</v>
      </c>
      <c r="I274" t="s">
        <v>128</v>
      </c>
      <c r="J274" t="s">
        <v>128</v>
      </c>
      <c r="K274" t="s">
        <v>128</v>
      </c>
      <c r="L274" t="s">
        <v>128</v>
      </c>
      <c r="M274" t="s">
        <v>931</v>
      </c>
      <c r="N274" t="b">
        <v>0</v>
      </c>
    </row>
    <row r="275" spans="1:14">
      <c r="A275">
        <v>13</v>
      </c>
      <c r="B275">
        <v>13</v>
      </c>
      <c r="C275" t="s">
        <v>128</v>
      </c>
      <c r="D275" t="s">
        <v>726</v>
      </c>
      <c r="E275" t="s">
        <v>128</v>
      </c>
      <c r="F275">
        <v>0</v>
      </c>
      <c r="G275" t="s">
        <v>128</v>
      </c>
      <c r="H275" t="s">
        <v>128</v>
      </c>
      <c r="I275" t="s">
        <v>128</v>
      </c>
      <c r="J275" t="s">
        <v>128</v>
      </c>
      <c r="K275" t="s">
        <v>128</v>
      </c>
      <c r="L275" t="s">
        <v>128</v>
      </c>
      <c r="M275" t="s">
        <v>932</v>
      </c>
      <c r="N275" t="b">
        <v>0</v>
      </c>
    </row>
    <row r="276" spans="1:14">
      <c r="A276">
        <v>13</v>
      </c>
      <c r="B276">
        <v>14</v>
      </c>
      <c r="C276" t="s">
        <v>128</v>
      </c>
      <c r="D276" t="s">
        <v>726</v>
      </c>
      <c r="E276" t="s">
        <v>128</v>
      </c>
      <c r="F276">
        <v>0</v>
      </c>
      <c r="G276" t="s">
        <v>128</v>
      </c>
      <c r="H276" t="s">
        <v>128</v>
      </c>
      <c r="I276" t="s">
        <v>128</v>
      </c>
      <c r="J276" t="s">
        <v>128</v>
      </c>
      <c r="K276" t="s">
        <v>128</v>
      </c>
      <c r="L276" t="s">
        <v>128</v>
      </c>
      <c r="M276" t="s">
        <v>933</v>
      </c>
      <c r="N276" t="b">
        <v>0</v>
      </c>
    </row>
    <row r="277" spans="1:14">
      <c r="A277">
        <v>13</v>
      </c>
      <c r="B277">
        <v>15</v>
      </c>
      <c r="C277" t="s">
        <v>128</v>
      </c>
      <c r="D277" t="s">
        <v>726</v>
      </c>
      <c r="E277" t="s">
        <v>128</v>
      </c>
      <c r="F277">
        <v>0</v>
      </c>
      <c r="G277" t="s">
        <v>128</v>
      </c>
      <c r="H277" t="s">
        <v>128</v>
      </c>
      <c r="I277" t="s">
        <v>128</v>
      </c>
      <c r="J277" t="s">
        <v>128</v>
      </c>
      <c r="K277" t="s">
        <v>128</v>
      </c>
      <c r="L277" t="s">
        <v>128</v>
      </c>
      <c r="M277" t="s">
        <v>934</v>
      </c>
      <c r="N277" t="b">
        <v>0</v>
      </c>
    </row>
    <row r="278" spans="1:14">
      <c r="A278">
        <v>13</v>
      </c>
      <c r="B278">
        <v>16</v>
      </c>
      <c r="C278" t="s">
        <v>128</v>
      </c>
      <c r="D278" t="s">
        <v>743</v>
      </c>
      <c r="E278" t="s">
        <v>128</v>
      </c>
      <c r="F278">
        <v>0</v>
      </c>
      <c r="G278" t="s">
        <v>128</v>
      </c>
      <c r="H278" t="s">
        <v>128</v>
      </c>
      <c r="I278" t="s">
        <v>128</v>
      </c>
      <c r="J278" t="s">
        <v>128</v>
      </c>
      <c r="K278" t="s">
        <v>128</v>
      </c>
      <c r="L278" t="s">
        <v>128</v>
      </c>
      <c r="M278" t="s">
        <v>935</v>
      </c>
      <c r="N278" t="b">
        <v>0</v>
      </c>
    </row>
    <row r="279" spans="1:14">
      <c r="A279">
        <v>13</v>
      </c>
      <c r="B279">
        <v>17</v>
      </c>
      <c r="C279" t="s">
        <v>128</v>
      </c>
      <c r="D279" t="s">
        <v>743</v>
      </c>
      <c r="E279" t="s">
        <v>128</v>
      </c>
      <c r="F279">
        <v>0</v>
      </c>
      <c r="G279" t="s">
        <v>128</v>
      </c>
      <c r="H279" t="s">
        <v>128</v>
      </c>
      <c r="I279" t="s">
        <v>128</v>
      </c>
      <c r="J279" t="s">
        <v>128</v>
      </c>
      <c r="K279" t="s">
        <v>128</v>
      </c>
      <c r="L279" t="s">
        <v>128</v>
      </c>
      <c r="M279" t="s">
        <v>936</v>
      </c>
      <c r="N279" t="b">
        <v>0</v>
      </c>
    </row>
    <row r="280" spans="1:14">
      <c r="A280">
        <v>13</v>
      </c>
      <c r="B280">
        <v>18</v>
      </c>
      <c r="C280" t="s">
        <v>128</v>
      </c>
      <c r="D280" t="s">
        <v>743</v>
      </c>
      <c r="E280" t="s">
        <v>128</v>
      </c>
      <c r="F280">
        <v>0</v>
      </c>
      <c r="G280" t="s">
        <v>128</v>
      </c>
      <c r="H280" t="s">
        <v>128</v>
      </c>
      <c r="I280" t="s">
        <v>128</v>
      </c>
      <c r="J280" t="s">
        <v>128</v>
      </c>
      <c r="K280" t="s">
        <v>128</v>
      </c>
      <c r="L280" t="s">
        <v>128</v>
      </c>
      <c r="M280" t="s">
        <v>937</v>
      </c>
      <c r="N280" t="b">
        <v>0</v>
      </c>
    </row>
    <row r="281" spans="1:14">
      <c r="A281">
        <v>13</v>
      </c>
      <c r="B281">
        <v>19</v>
      </c>
      <c r="C281" t="s">
        <v>128</v>
      </c>
      <c r="D281" t="s">
        <v>743</v>
      </c>
      <c r="E281" t="s">
        <v>128</v>
      </c>
      <c r="F281">
        <v>0</v>
      </c>
      <c r="G281" t="s">
        <v>128</v>
      </c>
      <c r="H281" t="s">
        <v>128</v>
      </c>
      <c r="I281" t="s">
        <v>128</v>
      </c>
      <c r="J281" t="s">
        <v>128</v>
      </c>
      <c r="K281" t="s">
        <v>128</v>
      </c>
      <c r="L281" t="s">
        <v>128</v>
      </c>
      <c r="M281" t="s">
        <v>938</v>
      </c>
      <c r="N281" t="b">
        <v>0</v>
      </c>
    </row>
    <row r="282" spans="1:14">
      <c r="A282">
        <v>13</v>
      </c>
      <c r="B282">
        <v>20</v>
      </c>
      <c r="C282" t="s">
        <v>128</v>
      </c>
      <c r="D282" t="s">
        <v>743</v>
      </c>
      <c r="E282" t="s">
        <v>128</v>
      </c>
      <c r="F282">
        <v>0</v>
      </c>
      <c r="G282" t="s">
        <v>128</v>
      </c>
      <c r="H282" t="s">
        <v>128</v>
      </c>
      <c r="I282" t="s">
        <v>128</v>
      </c>
      <c r="J282" t="s">
        <v>128</v>
      </c>
      <c r="K282" t="s">
        <v>128</v>
      </c>
      <c r="L282" t="s">
        <v>128</v>
      </c>
      <c r="M282" t="s">
        <v>939</v>
      </c>
      <c r="N282" t="b">
        <v>0</v>
      </c>
    </row>
    <row r="283" spans="1:14">
      <c r="A283">
        <v>13</v>
      </c>
      <c r="B283">
        <v>21</v>
      </c>
      <c r="C283" t="s">
        <v>128</v>
      </c>
      <c r="D283" t="s">
        <v>743</v>
      </c>
      <c r="E283" t="s">
        <v>128</v>
      </c>
      <c r="F283">
        <v>0</v>
      </c>
      <c r="G283" t="s">
        <v>128</v>
      </c>
      <c r="H283" t="s">
        <v>128</v>
      </c>
      <c r="I283" t="s">
        <v>128</v>
      </c>
      <c r="J283" t="s">
        <v>128</v>
      </c>
      <c r="K283" t="s">
        <v>128</v>
      </c>
      <c r="L283" t="s">
        <v>128</v>
      </c>
      <c r="M283" t="s">
        <v>940</v>
      </c>
      <c r="N283" t="b">
        <v>0</v>
      </c>
    </row>
    <row r="284" spans="1:14">
      <c r="A284">
        <v>13</v>
      </c>
      <c r="B284">
        <v>22</v>
      </c>
      <c r="C284" t="s">
        <v>128</v>
      </c>
      <c r="D284" t="s">
        <v>743</v>
      </c>
      <c r="E284" t="s">
        <v>128</v>
      </c>
      <c r="F284">
        <v>0</v>
      </c>
      <c r="G284" t="s">
        <v>128</v>
      </c>
      <c r="H284" t="s">
        <v>128</v>
      </c>
      <c r="I284" t="s">
        <v>128</v>
      </c>
      <c r="J284" t="s">
        <v>128</v>
      </c>
      <c r="K284" t="s">
        <v>128</v>
      </c>
      <c r="L284" t="s">
        <v>128</v>
      </c>
      <c r="M284" t="s">
        <v>941</v>
      </c>
      <c r="N284" t="b">
        <v>0</v>
      </c>
    </row>
    <row r="285" spans="1:14">
      <c r="A285">
        <v>13</v>
      </c>
      <c r="B285">
        <v>23</v>
      </c>
      <c r="C285" t="s">
        <v>128</v>
      </c>
      <c r="D285" t="s">
        <v>743</v>
      </c>
      <c r="E285" t="s">
        <v>128</v>
      </c>
      <c r="F285">
        <v>0</v>
      </c>
      <c r="G285" t="s">
        <v>128</v>
      </c>
      <c r="H285" t="s">
        <v>128</v>
      </c>
      <c r="I285" t="s">
        <v>128</v>
      </c>
      <c r="J285" t="s">
        <v>128</v>
      </c>
      <c r="K285" t="s">
        <v>128</v>
      </c>
      <c r="L285" t="s">
        <v>128</v>
      </c>
      <c r="M285" t="s">
        <v>942</v>
      </c>
      <c r="N285" t="b">
        <v>0</v>
      </c>
    </row>
    <row r="286" spans="1:14">
      <c r="A286">
        <v>13</v>
      </c>
      <c r="B286">
        <v>24</v>
      </c>
      <c r="C286" t="s">
        <v>128</v>
      </c>
      <c r="D286" t="s">
        <v>743</v>
      </c>
      <c r="E286" t="s">
        <v>128</v>
      </c>
      <c r="F286">
        <v>0</v>
      </c>
      <c r="G286" t="s">
        <v>128</v>
      </c>
      <c r="H286" t="s">
        <v>128</v>
      </c>
      <c r="I286" t="s">
        <v>128</v>
      </c>
      <c r="J286" t="s">
        <v>128</v>
      </c>
      <c r="K286" t="s">
        <v>128</v>
      </c>
      <c r="L286" t="s">
        <v>128</v>
      </c>
      <c r="M286" t="s">
        <v>943</v>
      </c>
      <c r="N286" t="b">
        <v>0</v>
      </c>
    </row>
    <row r="287" spans="1:14">
      <c r="A287">
        <v>13</v>
      </c>
      <c r="B287">
        <v>25</v>
      </c>
      <c r="C287" t="s">
        <v>128</v>
      </c>
      <c r="D287" t="s">
        <v>743</v>
      </c>
      <c r="E287" t="s">
        <v>128</v>
      </c>
      <c r="F287">
        <v>0</v>
      </c>
      <c r="G287" t="s">
        <v>128</v>
      </c>
      <c r="H287" t="s">
        <v>128</v>
      </c>
      <c r="I287" t="s">
        <v>128</v>
      </c>
      <c r="J287" t="s">
        <v>128</v>
      </c>
      <c r="K287" t="s">
        <v>128</v>
      </c>
      <c r="L287" t="s">
        <v>128</v>
      </c>
      <c r="M287" t="s">
        <v>944</v>
      </c>
      <c r="N287" t="b">
        <v>0</v>
      </c>
    </row>
    <row r="288" spans="1:14">
      <c r="A288">
        <v>13</v>
      </c>
      <c r="B288">
        <v>26</v>
      </c>
      <c r="C288" t="s">
        <v>128</v>
      </c>
      <c r="D288" t="s">
        <v>743</v>
      </c>
      <c r="E288" t="s">
        <v>128</v>
      </c>
      <c r="F288">
        <v>0</v>
      </c>
      <c r="G288" t="s">
        <v>128</v>
      </c>
      <c r="H288" t="s">
        <v>128</v>
      </c>
      <c r="I288" t="s">
        <v>128</v>
      </c>
      <c r="J288" t="s">
        <v>128</v>
      </c>
      <c r="K288" t="s">
        <v>128</v>
      </c>
      <c r="L288" t="s">
        <v>128</v>
      </c>
      <c r="M288" t="s">
        <v>945</v>
      </c>
      <c r="N288" t="b">
        <v>0</v>
      </c>
    </row>
    <row r="289" spans="1:14">
      <c r="A289">
        <v>14</v>
      </c>
      <c r="B289">
        <v>0</v>
      </c>
      <c r="C289" t="s">
        <v>188</v>
      </c>
      <c r="D289" t="s">
        <v>726</v>
      </c>
      <c r="E289" t="s">
        <v>65</v>
      </c>
      <c r="F289">
        <v>50</v>
      </c>
      <c r="G289" t="s">
        <v>128</v>
      </c>
      <c r="H289" t="s">
        <v>128</v>
      </c>
      <c r="I289" t="s">
        <v>65</v>
      </c>
      <c r="J289" t="s">
        <v>128</v>
      </c>
      <c r="K289" t="s">
        <v>128</v>
      </c>
      <c r="L289" t="s">
        <v>128</v>
      </c>
      <c r="M289" t="s">
        <v>946</v>
      </c>
      <c r="N289" t="b">
        <v>0</v>
      </c>
    </row>
    <row r="290" spans="1:14">
      <c r="A290">
        <v>14</v>
      </c>
      <c r="B290">
        <v>1</v>
      </c>
      <c r="C290" t="s">
        <v>228</v>
      </c>
      <c r="D290" t="s">
        <v>726</v>
      </c>
      <c r="E290" t="s">
        <v>77</v>
      </c>
      <c r="F290">
        <v>50</v>
      </c>
      <c r="G290" t="s">
        <v>128</v>
      </c>
      <c r="H290" t="s">
        <v>128</v>
      </c>
      <c r="I290" t="s">
        <v>77</v>
      </c>
      <c r="J290" t="s">
        <v>128</v>
      </c>
      <c r="K290" t="s">
        <v>128</v>
      </c>
      <c r="L290" t="s">
        <v>128</v>
      </c>
      <c r="M290" t="s">
        <v>947</v>
      </c>
      <c r="N290" t="b">
        <v>0</v>
      </c>
    </row>
    <row r="291" spans="1:14">
      <c r="A291">
        <v>14</v>
      </c>
      <c r="B291">
        <v>2</v>
      </c>
      <c r="C291" t="s">
        <v>229</v>
      </c>
      <c r="D291" t="s">
        <v>726</v>
      </c>
      <c r="E291" t="s">
        <v>93</v>
      </c>
      <c r="F291">
        <v>60</v>
      </c>
      <c r="G291" t="s">
        <v>128</v>
      </c>
      <c r="H291" t="s">
        <v>128</v>
      </c>
      <c r="I291" t="s">
        <v>93</v>
      </c>
      <c r="J291" t="s">
        <v>128</v>
      </c>
      <c r="K291" t="s">
        <v>128</v>
      </c>
      <c r="L291" t="s">
        <v>128</v>
      </c>
      <c r="M291" t="s">
        <v>948</v>
      </c>
      <c r="N291" t="b">
        <v>0</v>
      </c>
    </row>
    <row r="292" spans="1:14">
      <c r="A292">
        <v>14</v>
      </c>
      <c r="B292">
        <v>3</v>
      </c>
      <c r="C292" t="s">
        <v>230</v>
      </c>
      <c r="D292" t="s">
        <v>726</v>
      </c>
      <c r="E292" t="s">
        <v>97</v>
      </c>
      <c r="F292">
        <v>40</v>
      </c>
      <c r="G292" t="s">
        <v>128</v>
      </c>
      <c r="H292" t="s">
        <v>128</v>
      </c>
      <c r="I292" t="s">
        <v>97</v>
      </c>
      <c r="J292" t="s">
        <v>128</v>
      </c>
      <c r="K292" t="s">
        <v>128</v>
      </c>
      <c r="L292" t="s">
        <v>128</v>
      </c>
      <c r="M292" t="s">
        <v>949</v>
      </c>
      <c r="N292" t="b">
        <v>0</v>
      </c>
    </row>
    <row r="293" spans="1:14">
      <c r="A293">
        <v>14</v>
      </c>
      <c r="B293">
        <v>4</v>
      </c>
      <c r="C293" t="s">
        <v>190</v>
      </c>
      <c r="D293" t="s">
        <v>726</v>
      </c>
      <c r="E293" t="s">
        <v>99</v>
      </c>
      <c r="F293">
        <v>50</v>
      </c>
      <c r="G293" t="s">
        <v>128</v>
      </c>
      <c r="H293" t="s">
        <v>128</v>
      </c>
      <c r="I293" t="s">
        <v>99</v>
      </c>
      <c r="J293" t="s">
        <v>128</v>
      </c>
      <c r="K293" t="s">
        <v>128</v>
      </c>
      <c r="L293" t="s">
        <v>128</v>
      </c>
      <c r="M293" t="s">
        <v>950</v>
      </c>
      <c r="N293" t="b">
        <v>0</v>
      </c>
    </row>
    <row r="294" spans="1:14">
      <c r="A294">
        <v>14</v>
      </c>
      <c r="B294">
        <v>5</v>
      </c>
      <c r="C294" t="s">
        <v>231</v>
      </c>
      <c r="D294" t="s">
        <v>726</v>
      </c>
      <c r="E294" t="s">
        <v>101</v>
      </c>
      <c r="F294">
        <v>40</v>
      </c>
      <c r="G294" t="s">
        <v>128</v>
      </c>
      <c r="H294" t="s">
        <v>128</v>
      </c>
      <c r="I294" t="s">
        <v>101</v>
      </c>
      <c r="J294" t="s">
        <v>128</v>
      </c>
      <c r="K294" t="s">
        <v>128</v>
      </c>
      <c r="L294" t="s">
        <v>128</v>
      </c>
      <c r="M294" t="s">
        <v>951</v>
      </c>
      <c r="N294" t="b">
        <v>0</v>
      </c>
    </row>
    <row r="295" spans="1:14">
      <c r="A295">
        <v>14</v>
      </c>
      <c r="B295">
        <v>6</v>
      </c>
      <c r="C295" t="s">
        <v>232</v>
      </c>
      <c r="D295" t="s">
        <v>726</v>
      </c>
      <c r="E295" t="s">
        <v>61</v>
      </c>
      <c r="F295">
        <v>20</v>
      </c>
      <c r="G295" t="s">
        <v>128</v>
      </c>
      <c r="H295" t="s">
        <v>128</v>
      </c>
      <c r="I295" t="s">
        <v>61</v>
      </c>
      <c r="J295" t="s">
        <v>128</v>
      </c>
      <c r="K295" t="s">
        <v>128</v>
      </c>
      <c r="L295" t="s">
        <v>128</v>
      </c>
      <c r="M295" t="s">
        <v>952</v>
      </c>
      <c r="N295" t="b">
        <v>0</v>
      </c>
    </row>
    <row r="296" spans="1:14">
      <c r="A296">
        <v>14</v>
      </c>
      <c r="B296">
        <v>7</v>
      </c>
      <c r="C296" t="s">
        <v>233</v>
      </c>
      <c r="D296" t="s">
        <v>726</v>
      </c>
      <c r="E296" t="s">
        <v>68</v>
      </c>
      <c r="F296">
        <v>40</v>
      </c>
      <c r="G296" t="s">
        <v>128</v>
      </c>
      <c r="H296" t="s">
        <v>128</v>
      </c>
      <c r="I296" t="s">
        <v>68</v>
      </c>
      <c r="J296" t="s">
        <v>128</v>
      </c>
      <c r="K296" t="s">
        <v>128</v>
      </c>
      <c r="L296" t="s">
        <v>128</v>
      </c>
      <c r="M296" t="s">
        <v>953</v>
      </c>
      <c r="N296" t="b">
        <v>0</v>
      </c>
    </row>
    <row r="297" spans="1:14">
      <c r="A297">
        <v>14</v>
      </c>
      <c r="B297">
        <v>8</v>
      </c>
      <c r="C297" t="s">
        <v>195</v>
      </c>
      <c r="D297" t="s">
        <v>726</v>
      </c>
      <c r="E297" t="s">
        <v>78</v>
      </c>
      <c r="F297">
        <v>50</v>
      </c>
      <c r="G297" t="s">
        <v>128</v>
      </c>
      <c r="H297" t="s">
        <v>128</v>
      </c>
      <c r="I297" t="s">
        <v>78</v>
      </c>
      <c r="J297" t="s">
        <v>128</v>
      </c>
      <c r="K297" t="s">
        <v>128</v>
      </c>
      <c r="L297" t="s">
        <v>128</v>
      </c>
      <c r="M297" t="s">
        <v>954</v>
      </c>
      <c r="N297" t="b">
        <v>0</v>
      </c>
    </row>
    <row r="298" spans="1:14">
      <c r="A298">
        <v>14</v>
      </c>
      <c r="B298">
        <v>9</v>
      </c>
      <c r="C298" t="s">
        <v>224</v>
      </c>
      <c r="D298" t="s">
        <v>726</v>
      </c>
      <c r="E298" t="s">
        <v>102</v>
      </c>
      <c r="F298">
        <v>50</v>
      </c>
      <c r="G298" t="s">
        <v>128</v>
      </c>
      <c r="H298" t="s">
        <v>128</v>
      </c>
      <c r="I298" t="s">
        <v>102</v>
      </c>
      <c r="J298" t="s">
        <v>128</v>
      </c>
      <c r="K298" t="s">
        <v>128</v>
      </c>
      <c r="L298" t="s">
        <v>128</v>
      </c>
      <c r="M298" t="s">
        <v>955</v>
      </c>
      <c r="N298" t="b">
        <v>0</v>
      </c>
    </row>
    <row r="299" spans="1:14">
      <c r="A299">
        <v>14</v>
      </c>
      <c r="B299">
        <v>10</v>
      </c>
      <c r="C299" t="s">
        <v>234</v>
      </c>
      <c r="D299" t="s">
        <v>726</v>
      </c>
      <c r="E299" t="s">
        <v>108</v>
      </c>
      <c r="F299">
        <v>50</v>
      </c>
      <c r="G299" t="s">
        <v>128</v>
      </c>
      <c r="H299" t="s">
        <v>128</v>
      </c>
      <c r="I299" t="s">
        <v>108</v>
      </c>
      <c r="J299" t="s">
        <v>128</v>
      </c>
      <c r="K299" t="s">
        <v>128</v>
      </c>
      <c r="L299" t="s">
        <v>128</v>
      </c>
      <c r="M299" t="s">
        <v>956</v>
      </c>
      <c r="N299" t="b">
        <v>0</v>
      </c>
    </row>
    <row r="300" spans="1:14">
      <c r="A300">
        <v>14</v>
      </c>
      <c r="B300">
        <v>11</v>
      </c>
      <c r="C300" t="s">
        <v>128</v>
      </c>
      <c r="D300" t="s">
        <v>726</v>
      </c>
      <c r="E300" t="s">
        <v>128</v>
      </c>
      <c r="F300">
        <v>0</v>
      </c>
      <c r="G300" t="s">
        <v>128</v>
      </c>
      <c r="H300" t="s">
        <v>128</v>
      </c>
      <c r="I300" t="s">
        <v>128</v>
      </c>
      <c r="J300" t="s">
        <v>128</v>
      </c>
      <c r="K300" t="s">
        <v>128</v>
      </c>
      <c r="L300" t="s">
        <v>128</v>
      </c>
      <c r="M300" t="s">
        <v>957</v>
      </c>
      <c r="N300" t="b">
        <v>0</v>
      </c>
    </row>
    <row r="301" spans="1:14">
      <c r="A301">
        <v>14</v>
      </c>
      <c r="B301">
        <v>12</v>
      </c>
      <c r="C301" t="s">
        <v>128</v>
      </c>
      <c r="D301" t="s">
        <v>726</v>
      </c>
      <c r="E301" t="s">
        <v>128</v>
      </c>
      <c r="F301">
        <v>0</v>
      </c>
      <c r="G301" t="s">
        <v>128</v>
      </c>
      <c r="H301" t="s">
        <v>128</v>
      </c>
      <c r="I301" t="s">
        <v>128</v>
      </c>
      <c r="J301" t="s">
        <v>128</v>
      </c>
      <c r="K301" t="s">
        <v>128</v>
      </c>
      <c r="L301" t="s">
        <v>128</v>
      </c>
      <c r="M301" t="s">
        <v>958</v>
      </c>
      <c r="N301" t="b">
        <v>0</v>
      </c>
    </row>
    <row r="302" spans="1:14">
      <c r="A302">
        <v>14</v>
      </c>
      <c r="B302">
        <v>13</v>
      </c>
      <c r="C302" t="s">
        <v>128</v>
      </c>
      <c r="D302" t="s">
        <v>726</v>
      </c>
      <c r="E302" t="s">
        <v>128</v>
      </c>
      <c r="F302">
        <v>0</v>
      </c>
      <c r="G302" t="s">
        <v>128</v>
      </c>
      <c r="H302" t="s">
        <v>128</v>
      </c>
      <c r="I302" t="s">
        <v>128</v>
      </c>
      <c r="J302" t="s">
        <v>128</v>
      </c>
      <c r="K302" t="s">
        <v>128</v>
      </c>
      <c r="L302" t="s">
        <v>128</v>
      </c>
      <c r="M302" t="s">
        <v>959</v>
      </c>
      <c r="N302" t="b">
        <v>0</v>
      </c>
    </row>
    <row r="303" spans="1:14">
      <c r="A303">
        <v>14</v>
      </c>
      <c r="B303">
        <v>14</v>
      </c>
      <c r="C303" t="s">
        <v>128</v>
      </c>
      <c r="D303" t="s">
        <v>726</v>
      </c>
      <c r="E303" t="s">
        <v>128</v>
      </c>
      <c r="F303">
        <v>0</v>
      </c>
      <c r="G303" t="s">
        <v>128</v>
      </c>
      <c r="H303" t="s">
        <v>128</v>
      </c>
      <c r="I303" t="s">
        <v>128</v>
      </c>
      <c r="J303" t="s">
        <v>128</v>
      </c>
      <c r="K303" t="s">
        <v>128</v>
      </c>
      <c r="L303" t="s">
        <v>128</v>
      </c>
      <c r="M303" t="s">
        <v>960</v>
      </c>
      <c r="N303" t="b">
        <v>0</v>
      </c>
    </row>
    <row r="304" spans="1:14">
      <c r="A304">
        <v>14</v>
      </c>
      <c r="B304">
        <v>15</v>
      </c>
      <c r="C304" t="s">
        <v>128</v>
      </c>
      <c r="D304" t="s">
        <v>726</v>
      </c>
      <c r="E304" t="s">
        <v>128</v>
      </c>
      <c r="F304">
        <v>0</v>
      </c>
      <c r="G304" t="s">
        <v>128</v>
      </c>
      <c r="H304" t="s">
        <v>128</v>
      </c>
      <c r="I304" t="s">
        <v>128</v>
      </c>
      <c r="J304" t="s">
        <v>128</v>
      </c>
      <c r="K304" t="s">
        <v>128</v>
      </c>
      <c r="L304" t="s">
        <v>128</v>
      </c>
      <c r="M304" t="s">
        <v>961</v>
      </c>
      <c r="N304" t="b">
        <v>0</v>
      </c>
    </row>
    <row r="305" spans="1:14">
      <c r="A305">
        <v>14</v>
      </c>
      <c r="B305">
        <v>16</v>
      </c>
      <c r="C305" t="s">
        <v>235</v>
      </c>
      <c r="D305" t="s">
        <v>743</v>
      </c>
      <c r="E305" t="s">
        <v>546</v>
      </c>
      <c r="F305">
        <v>40</v>
      </c>
      <c r="G305" t="s">
        <v>128</v>
      </c>
      <c r="H305" t="s">
        <v>564</v>
      </c>
      <c r="I305" t="s">
        <v>511</v>
      </c>
      <c r="J305" t="s">
        <v>128</v>
      </c>
      <c r="K305" t="s">
        <v>794</v>
      </c>
      <c r="L305" t="s">
        <v>795</v>
      </c>
      <c r="M305" t="s">
        <v>962</v>
      </c>
      <c r="N305" t="b">
        <v>0</v>
      </c>
    </row>
    <row r="306" spans="1:14">
      <c r="A306">
        <v>14</v>
      </c>
      <c r="B306">
        <v>17</v>
      </c>
      <c r="C306" t="s">
        <v>220</v>
      </c>
      <c r="D306" t="s">
        <v>743</v>
      </c>
      <c r="E306" t="s">
        <v>95</v>
      </c>
      <c r="F306">
        <v>40</v>
      </c>
      <c r="G306" t="s">
        <v>128</v>
      </c>
      <c r="H306" t="s">
        <v>128</v>
      </c>
      <c r="I306" t="s">
        <v>95</v>
      </c>
      <c r="J306" t="s">
        <v>128</v>
      </c>
      <c r="K306" t="s">
        <v>128</v>
      </c>
      <c r="L306" t="s">
        <v>128</v>
      </c>
      <c r="M306" t="s">
        <v>671</v>
      </c>
      <c r="N306" t="b">
        <v>0</v>
      </c>
    </row>
    <row r="307" spans="1:14">
      <c r="A307">
        <v>14</v>
      </c>
      <c r="B307">
        <v>18</v>
      </c>
      <c r="C307" t="s">
        <v>236</v>
      </c>
      <c r="D307" t="s">
        <v>743</v>
      </c>
      <c r="E307" t="s">
        <v>96</v>
      </c>
      <c r="F307">
        <v>50</v>
      </c>
      <c r="G307" t="s">
        <v>128</v>
      </c>
      <c r="H307" t="s">
        <v>128</v>
      </c>
      <c r="I307" t="s">
        <v>96</v>
      </c>
      <c r="J307" t="s">
        <v>128</v>
      </c>
      <c r="K307" t="s">
        <v>128</v>
      </c>
      <c r="L307" t="s">
        <v>128</v>
      </c>
      <c r="M307" t="s">
        <v>963</v>
      </c>
      <c r="N307" t="b">
        <v>0</v>
      </c>
    </row>
    <row r="308" spans="1:14">
      <c r="A308">
        <v>14</v>
      </c>
      <c r="B308">
        <v>19</v>
      </c>
      <c r="C308" t="s">
        <v>162</v>
      </c>
      <c r="D308" t="s">
        <v>743</v>
      </c>
      <c r="E308" t="s">
        <v>299</v>
      </c>
      <c r="F308">
        <v>40</v>
      </c>
      <c r="G308" t="s">
        <v>762</v>
      </c>
      <c r="H308" t="s">
        <v>128</v>
      </c>
      <c r="I308" t="s">
        <v>128</v>
      </c>
      <c r="J308" t="s">
        <v>763</v>
      </c>
      <c r="K308" t="s">
        <v>764</v>
      </c>
      <c r="L308" t="s">
        <v>765</v>
      </c>
      <c r="M308" t="s">
        <v>964</v>
      </c>
      <c r="N308" t="b">
        <v>0</v>
      </c>
    </row>
    <row r="309" spans="1:14">
      <c r="A309">
        <v>14</v>
      </c>
      <c r="B309">
        <v>20</v>
      </c>
      <c r="C309" t="s">
        <v>214</v>
      </c>
      <c r="D309" t="s">
        <v>743</v>
      </c>
      <c r="E309" t="s">
        <v>109</v>
      </c>
      <c r="F309">
        <v>40</v>
      </c>
      <c r="G309" t="s">
        <v>128</v>
      </c>
      <c r="H309" t="s">
        <v>128</v>
      </c>
      <c r="I309" t="s">
        <v>109</v>
      </c>
      <c r="J309" t="s">
        <v>128</v>
      </c>
      <c r="K309" t="s">
        <v>128</v>
      </c>
      <c r="L309" t="s">
        <v>128</v>
      </c>
      <c r="M309" t="s">
        <v>965</v>
      </c>
      <c r="N309" t="b">
        <v>0</v>
      </c>
    </row>
    <row r="310" spans="1:14">
      <c r="A310">
        <v>14</v>
      </c>
      <c r="B310">
        <v>21</v>
      </c>
      <c r="C310" t="s">
        <v>168</v>
      </c>
      <c r="D310" t="s">
        <v>743</v>
      </c>
      <c r="E310" t="s">
        <v>115</v>
      </c>
      <c r="F310">
        <v>50</v>
      </c>
      <c r="G310" t="s">
        <v>128</v>
      </c>
      <c r="H310" t="s">
        <v>128</v>
      </c>
      <c r="I310" t="s">
        <v>115</v>
      </c>
      <c r="J310" t="s">
        <v>128</v>
      </c>
      <c r="K310" t="s">
        <v>128</v>
      </c>
      <c r="L310" t="s">
        <v>128</v>
      </c>
      <c r="M310" t="s">
        <v>966</v>
      </c>
      <c r="N310" t="b">
        <v>0</v>
      </c>
    </row>
    <row r="311" spans="1:14">
      <c r="A311">
        <v>14</v>
      </c>
      <c r="B311">
        <v>22</v>
      </c>
      <c r="C311" t="s">
        <v>169</v>
      </c>
      <c r="D311" t="s">
        <v>743</v>
      </c>
      <c r="E311" t="s">
        <v>74</v>
      </c>
      <c r="F311">
        <v>50</v>
      </c>
      <c r="G311" t="s">
        <v>128</v>
      </c>
      <c r="H311" t="s">
        <v>128</v>
      </c>
      <c r="I311" t="s">
        <v>74</v>
      </c>
      <c r="J311" t="s">
        <v>128</v>
      </c>
      <c r="K311" t="s">
        <v>128</v>
      </c>
      <c r="L311" t="s">
        <v>128</v>
      </c>
      <c r="M311" t="s">
        <v>967</v>
      </c>
      <c r="N311" t="b">
        <v>0</v>
      </c>
    </row>
    <row r="312" spans="1:14">
      <c r="A312">
        <v>14</v>
      </c>
      <c r="B312">
        <v>23</v>
      </c>
      <c r="C312" t="s">
        <v>237</v>
      </c>
      <c r="D312" t="s">
        <v>743</v>
      </c>
      <c r="E312" t="s">
        <v>76</v>
      </c>
      <c r="F312">
        <v>50</v>
      </c>
      <c r="G312" t="s">
        <v>128</v>
      </c>
      <c r="H312" t="s">
        <v>128</v>
      </c>
      <c r="I312" t="s">
        <v>76</v>
      </c>
      <c r="J312" t="s">
        <v>128</v>
      </c>
      <c r="K312" t="s">
        <v>128</v>
      </c>
      <c r="L312" t="s">
        <v>128</v>
      </c>
      <c r="M312" t="s">
        <v>968</v>
      </c>
      <c r="N312" t="b">
        <v>0</v>
      </c>
    </row>
    <row r="313" spans="1:14">
      <c r="A313">
        <v>14</v>
      </c>
      <c r="B313">
        <v>24</v>
      </c>
      <c r="C313" t="s">
        <v>215</v>
      </c>
      <c r="D313" t="s">
        <v>743</v>
      </c>
      <c r="E313" t="s">
        <v>84</v>
      </c>
      <c r="F313">
        <v>40</v>
      </c>
      <c r="G313" t="s">
        <v>128</v>
      </c>
      <c r="H313" t="s">
        <v>128</v>
      </c>
      <c r="I313" t="s">
        <v>84</v>
      </c>
      <c r="J313" t="s">
        <v>128</v>
      </c>
      <c r="K313" t="s">
        <v>128</v>
      </c>
      <c r="L313" t="s">
        <v>128</v>
      </c>
      <c r="M313" t="s">
        <v>969</v>
      </c>
      <c r="N313" t="b">
        <v>0</v>
      </c>
    </row>
    <row r="314" spans="1:14">
      <c r="A314">
        <v>14</v>
      </c>
      <c r="B314">
        <v>25</v>
      </c>
      <c r="C314" t="s">
        <v>128</v>
      </c>
      <c r="D314" t="s">
        <v>743</v>
      </c>
      <c r="E314" t="s">
        <v>128</v>
      </c>
      <c r="F314">
        <v>0</v>
      </c>
      <c r="G314" t="s">
        <v>128</v>
      </c>
      <c r="H314" t="s">
        <v>128</v>
      </c>
      <c r="I314" t="s">
        <v>128</v>
      </c>
      <c r="J314" t="s">
        <v>128</v>
      </c>
      <c r="K314" t="s">
        <v>128</v>
      </c>
      <c r="L314" t="s">
        <v>128</v>
      </c>
      <c r="M314" t="s">
        <v>970</v>
      </c>
      <c r="N314" t="b">
        <v>0</v>
      </c>
    </row>
    <row r="315" spans="1:14">
      <c r="A315">
        <v>14</v>
      </c>
      <c r="B315">
        <v>26</v>
      </c>
      <c r="C315" t="s">
        <v>128</v>
      </c>
      <c r="D315" t="s">
        <v>743</v>
      </c>
      <c r="E315" t="s">
        <v>128</v>
      </c>
      <c r="F315">
        <v>0</v>
      </c>
      <c r="G315" t="s">
        <v>128</v>
      </c>
      <c r="H315" t="s">
        <v>128</v>
      </c>
      <c r="I315" t="s">
        <v>128</v>
      </c>
      <c r="J315" t="s">
        <v>128</v>
      </c>
      <c r="K315" t="s">
        <v>128</v>
      </c>
      <c r="L315" t="s">
        <v>128</v>
      </c>
      <c r="M315" t="s">
        <v>971</v>
      </c>
      <c r="N315" t="b">
        <v>0</v>
      </c>
    </row>
    <row r="316" spans="1:14">
      <c r="A316">
        <v>15</v>
      </c>
      <c r="B316">
        <v>0</v>
      </c>
      <c r="C316" t="s">
        <v>188</v>
      </c>
      <c r="D316" t="s">
        <v>726</v>
      </c>
      <c r="E316" t="s">
        <v>65</v>
      </c>
      <c r="F316">
        <v>50</v>
      </c>
      <c r="G316" t="s">
        <v>128</v>
      </c>
      <c r="H316" t="s">
        <v>128</v>
      </c>
      <c r="I316" t="s">
        <v>65</v>
      </c>
      <c r="J316" t="s">
        <v>128</v>
      </c>
      <c r="K316" t="s">
        <v>128</v>
      </c>
      <c r="L316" t="s">
        <v>128</v>
      </c>
      <c r="M316" t="s">
        <v>972</v>
      </c>
      <c r="N316" t="b">
        <v>0</v>
      </c>
    </row>
    <row r="317" spans="1:14">
      <c r="A317">
        <v>15</v>
      </c>
      <c r="B317">
        <v>1</v>
      </c>
      <c r="C317" t="s">
        <v>219</v>
      </c>
      <c r="D317" t="s">
        <v>726</v>
      </c>
      <c r="E317" t="s">
        <v>77</v>
      </c>
      <c r="F317">
        <v>60</v>
      </c>
      <c r="G317" t="s">
        <v>128</v>
      </c>
      <c r="H317" t="s">
        <v>128</v>
      </c>
      <c r="I317" t="s">
        <v>77</v>
      </c>
      <c r="J317" t="s">
        <v>128</v>
      </c>
      <c r="K317" t="s">
        <v>128</v>
      </c>
      <c r="L317" t="s">
        <v>128</v>
      </c>
      <c r="M317" t="s">
        <v>973</v>
      </c>
      <c r="N317" t="b">
        <v>0</v>
      </c>
    </row>
    <row r="318" spans="1:14">
      <c r="A318">
        <v>15</v>
      </c>
      <c r="B318">
        <v>2</v>
      </c>
      <c r="C318" t="s">
        <v>240</v>
      </c>
      <c r="D318" t="s">
        <v>726</v>
      </c>
      <c r="E318" t="s">
        <v>546</v>
      </c>
      <c r="F318">
        <v>40</v>
      </c>
      <c r="G318" t="s">
        <v>128</v>
      </c>
      <c r="H318" t="s">
        <v>549</v>
      </c>
      <c r="I318" t="s">
        <v>510</v>
      </c>
      <c r="J318" t="s">
        <v>128</v>
      </c>
      <c r="K318" t="s">
        <v>794</v>
      </c>
      <c r="L318" t="s">
        <v>795</v>
      </c>
      <c r="M318" t="s">
        <v>974</v>
      </c>
      <c r="N318" t="b">
        <v>0</v>
      </c>
    </row>
    <row r="319" spans="1:14">
      <c r="A319">
        <v>15</v>
      </c>
      <c r="B319">
        <v>3</v>
      </c>
      <c r="C319" t="s">
        <v>241</v>
      </c>
      <c r="D319" t="s">
        <v>726</v>
      </c>
      <c r="E319" t="s">
        <v>546</v>
      </c>
      <c r="F319">
        <v>40</v>
      </c>
      <c r="G319" t="s">
        <v>128</v>
      </c>
      <c r="H319" t="s">
        <v>559</v>
      </c>
      <c r="I319" t="s">
        <v>488</v>
      </c>
      <c r="J319" t="s">
        <v>128</v>
      </c>
      <c r="K319" t="s">
        <v>797</v>
      </c>
      <c r="L319" t="s">
        <v>798</v>
      </c>
      <c r="M319" t="s">
        <v>975</v>
      </c>
      <c r="N319" t="b">
        <v>0</v>
      </c>
    </row>
    <row r="320" spans="1:14">
      <c r="A320">
        <v>15</v>
      </c>
      <c r="B320">
        <v>4</v>
      </c>
      <c r="C320" t="s">
        <v>242</v>
      </c>
      <c r="D320" t="s">
        <v>726</v>
      </c>
      <c r="E320" t="s">
        <v>95</v>
      </c>
      <c r="F320">
        <v>50</v>
      </c>
      <c r="G320" t="s">
        <v>128</v>
      </c>
      <c r="H320" t="s">
        <v>128</v>
      </c>
      <c r="I320" t="s">
        <v>95</v>
      </c>
      <c r="J320" t="s">
        <v>128</v>
      </c>
      <c r="K320" t="s">
        <v>128</v>
      </c>
      <c r="L320" t="s">
        <v>128</v>
      </c>
      <c r="M320" t="s">
        <v>976</v>
      </c>
      <c r="N320" t="b">
        <v>0</v>
      </c>
    </row>
    <row r="321" spans="1:14">
      <c r="A321">
        <v>15</v>
      </c>
      <c r="B321">
        <v>5</v>
      </c>
      <c r="C321" t="s">
        <v>190</v>
      </c>
      <c r="D321" t="s">
        <v>726</v>
      </c>
      <c r="E321" t="s">
        <v>99</v>
      </c>
      <c r="F321">
        <v>50</v>
      </c>
      <c r="G321" t="s">
        <v>128</v>
      </c>
      <c r="H321" t="s">
        <v>128</v>
      </c>
      <c r="I321" t="s">
        <v>99</v>
      </c>
      <c r="J321" t="s">
        <v>128</v>
      </c>
      <c r="K321" t="s">
        <v>128</v>
      </c>
      <c r="L321" t="s">
        <v>128</v>
      </c>
      <c r="M321" t="s">
        <v>977</v>
      </c>
      <c r="N321" t="b">
        <v>0</v>
      </c>
    </row>
    <row r="322" spans="1:14">
      <c r="A322">
        <v>15</v>
      </c>
      <c r="B322">
        <v>6</v>
      </c>
      <c r="C322" t="s">
        <v>243</v>
      </c>
      <c r="D322" t="s">
        <v>726</v>
      </c>
      <c r="E322" t="s">
        <v>103</v>
      </c>
      <c r="F322">
        <v>50</v>
      </c>
      <c r="G322" t="s">
        <v>128</v>
      </c>
      <c r="H322" t="s">
        <v>128</v>
      </c>
      <c r="I322" t="s">
        <v>103</v>
      </c>
      <c r="J322" t="s">
        <v>128</v>
      </c>
      <c r="K322" t="s">
        <v>128</v>
      </c>
      <c r="L322" t="s">
        <v>128</v>
      </c>
      <c r="M322" t="s">
        <v>978</v>
      </c>
      <c r="N322" t="b">
        <v>0</v>
      </c>
    </row>
    <row r="323" spans="1:14">
      <c r="A323">
        <v>15</v>
      </c>
      <c r="B323">
        <v>7</v>
      </c>
      <c r="C323" t="s">
        <v>214</v>
      </c>
      <c r="D323" t="s">
        <v>726</v>
      </c>
      <c r="E323" t="s">
        <v>109</v>
      </c>
      <c r="F323">
        <v>40</v>
      </c>
      <c r="G323" t="s">
        <v>128</v>
      </c>
      <c r="H323" t="s">
        <v>128</v>
      </c>
      <c r="I323" t="s">
        <v>109</v>
      </c>
      <c r="J323" t="s">
        <v>128</v>
      </c>
      <c r="K323" t="s">
        <v>128</v>
      </c>
      <c r="L323" t="s">
        <v>128</v>
      </c>
      <c r="M323" t="s">
        <v>979</v>
      </c>
      <c r="N323" t="b">
        <v>0</v>
      </c>
    </row>
    <row r="324" spans="1:14">
      <c r="A324">
        <v>15</v>
      </c>
      <c r="B324">
        <v>8</v>
      </c>
      <c r="C324" t="s">
        <v>183</v>
      </c>
      <c r="D324" t="s">
        <v>726</v>
      </c>
      <c r="E324" t="s">
        <v>112</v>
      </c>
      <c r="F324">
        <v>50</v>
      </c>
      <c r="G324" t="s">
        <v>128</v>
      </c>
      <c r="H324" t="s">
        <v>128</v>
      </c>
      <c r="I324" t="s">
        <v>112</v>
      </c>
      <c r="J324" t="s">
        <v>128</v>
      </c>
      <c r="K324" t="s">
        <v>128</v>
      </c>
      <c r="L324" t="s">
        <v>128</v>
      </c>
      <c r="M324" t="s">
        <v>980</v>
      </c>
      <c r="N324" t="b">
        <v>0</v>
      </c>
    </row>
    <row r="325" spans="1:14">
      <c r="A325">
        <v>15</v>
      </c>
      <c r="B325">
        <v>9</v>
      </c>
      <c r="C325" t="s">
        <v>169</v>
      </c>
      <c r="D325" t="s">
        <v>726</v>
      </c>
      <c r="E325" t="s">
        <v>74</v>
      </c>
      <c r="F325">
        <v>50</v>
      </c>
      <c r="G325" t="s">
        <v>128</v>
      </c>
      <c r="H325" t="s">
        <v>128</v>
      </c>
      <c r="I325" t="s">
        <v>74</v>
      </c>
      <c r="J325" t="s">
        <v>128</v>
      </c>
      <c r="K325" t="s">
        <v>128</v>
      </c>
      <c r="L325" t="s">
        <v>128</v>
      </c>
      <c r="M325" t="s">
        <v>981</v>
      </c>
      <c r="N325" t="b">
        <v>0</v>
      </c>
    </row>
    <row r="326" spans="1:14">
      <c r="A326">
        <v>15</v>
      </c>
      <c r="B326">
        <v>10</v>
      </c>
      <c r="C326" t="s">
        <v>207</v>
      </c>
      <c r="D326" t="s">
        <v>726</v>
      </c>
      <c r="E326" t="s">
        <v>98</v>
      </c>
      <c r="F326">
        <v>40</v>
      </c>
      <c r="G326" t="s">
        <v>128</v>
      </c>
      <c r="H326" t="s">
        <v>128</v>
      </c>
      <c r="I326" t="s">
        <v>98</v>
      </c>
      <c r="J326" t="s">
        <v>128</v>
      </c>
      <c r="K326" t="s">
        <v>128</v>
      </c>
      <c r="L326" t="s">
        <v>128</v>
      </c>
      <c r="M326" t="s">
        <v>982</v>
      </c>
      <c r="N326" t="b">
        <v>0</v>
      </c>
    </row>
    <row r="327" spans="1:14">
      <c r="A327">
        <v>15</v>
      </c>
      <c r="B327">
        <v>11</v>
      </c>
      <c r="C327" t="s">
        <v>128</v>
      </c>
      <c r="D327" t="s">
        <v>726</v>
      </c>
      <c r="E327" t="s">
        <v>128</v>
      </c>
      <c r="F327">
        <v>0</v>
      </c>
      <c r="G327" t="s">
        <v>128</v>
      </c>
      <c r="H327" t="s">
        <v>128</v>
      </c>
      <c r="I327" t="s">
        <v>128</v>
      </c>
      <c r="J327" t="s">
        <v>128</v>
      </c>
      <c r="K327" t="s">
        <v>128</v>
      </c>
      <c r="L327" t="s">
        <v>128</v>
      </c>
      <c r="M327" t="s">
        <v>983</v>
      </c>
      <c r="N327" t="b">
        <v>0</v>
      </c>
    </row>
    <row r="328" spans="1:14">
      <c r="A328">
        <v>15</v>
      </c>
      <c r="B328">
        <v>12</v>
      </c>
      <c r="C328" t="s">
        <v>128</v>
      </c>
      <c r="D328" t="s">
        <v>726</v>
      </c>
      <c r="E328" t="s">
        <v>128</v>
      </c>
      <c r="F328">
        <v>0</v>
      </c>
      <c r="G328" t="s">
        <v>128</v>
      </c>
      <c r="H328" t="s">
        <v>128</v>
      </c>
      <c r="I328" t="s">
        <v>128</v>
      </c>
      <c r="J328" t="s">
        <v>128</v>
      </c>
      <c r="K328" t="s">
        <v>128</v>
      </c>
      <c r="L328" t="s">
        <v>128</v>
      </c>
      <c r="M328" t="s">
        <v>984</v>
      </c>
      <c r="N328" t="b">
        <v>0</v>
      </c>
    </row>
    <row r="329" spans="1:14">
      <c r="A329">
        <v>15</v>
      </c>
      <c r="B329">
        <v>13</v>
      </c>
      <c r="C329" t="s">
        <v>128</v>
      </c>
      <c r="D329" t="s">
        <v>726</v>
      </c>
      <c r="E329" t="s">
        <v>128</v>
      </c>
      <c r="F329">
        <v>0</v>
      </c>
      <c r="G329" t="s">
        <v>128</v>
      </c>
      <c r="H329" t="s">
        <v>128</v>
      </c>
      <c r="I329" t="s">
        <v>128</v>
      </c>
      <c r="J329" t="s">
        <v>128</v>
      </c>
      <c r="K329" t="s">
        <v>128</v>
      </c>
      <c r="L329" t="s">
        <v>128</v>
      </c>
      <c r="M329" t="s">
        <v>985</v>
      </c>
      <c r="N329" t="b">
        <v>0</v>
      </c>
    </row>
    <row r="330" spans="1:14">
      <c r="A330">
        <v>15</v>
      </c>
      <c r="B330">
        <v>14</v>
      </c>
      <c r="C330" t="s">
        <v>128</v>
      </c>
      <c r="D330" t="s">
        <v>726</v>
      </c>
      <c r="E330" t="s">
        <v>128</v>
      </c>
      <c r="F330">
        <v>0</v>
      </c>
      <c r="G330" t="s">
        <v>128</v>
      </c>
      <c r="H330" t="s">
        <v>128</v>
      </c>
      <c r="I330" t="s">
        <v>128</v>
      </c>
      <c r="J330" t="s">
        <v>128</v>
      </c>
      <c r="K330" t="s">
        <v>128</v>
      </c>
      <c r="L330" t="s">
        <v>128</v>
      </c>
      <c r="M330" t="s">
        <v>986</v>
      </c>
      <c r="N330" t="b">
        <v>0</v>
      </c>
    </row>
    <row r="331" spans="1:14">
      <c r="A331">
        <v>15</v>
      </c>
      <c r="B331">
        <v>15</v>
      </c>
      <c r="C331" t="s">
        <v>128</v>
      </c>
      <c r="D331" t="s">
        <v>726</v>
      </c>
      <c r="E331" t="s">
        <v>128</v>
      </c>
      <c r="F331">
        <v>0</v>
      </c>
      <c r="G331" t="s">
        <v>128</v>
      </c>
      <c r="H331" t="s">
        <v>128</v>
      </c>
      <c r="I331" t="s">
        <v>128</v>
      </c>
      <c r="J331" t="s">
        <v>128</v>
      </c>
      <c r="K331" t="s">
        <v>128</v>
      </c>
      <c r="L331" t="s">
        <v>128</v>
      </c>
      <c r="M331" t="s">
        <v>987</v>
      </c>
      <c r="N331" t="b">
        <v>0</v>
      </c>
    </row>
    <row r="332" spans="1:14">
      <c r="A332">
        <v>15</v>
      </c>
      <c r="B332">
        <v>16</v>
      </c>
      <c r="C332" t="s">
        <v>128</v>
      </c>
      <c r="D332" t="s">
        <v>743</v>
      </c>
      <c r="E332" t="s">
        <v>128</v>
      </c>
      <c r="F332">
        <v>0</v>
      </c>
      <c r="G332" t="s">
        <v>128</v>
      </c>
      <c r="H332" t="s">
        <v>128</v>
      </c>
      <c r="I332" t="s">
        <v>128</v>
      </c>
      <c r="J332" t="s">
        <v>128</v>
      </c>
      <c r="K332" t="s">
        <v>128</v>
      </c>
      <c r="L332" t="s">
        <v>128</v>
      </c>
      <c r="M332" t="s">
        <v>988</v>
      </c>
      <c r="N332" t="b">
        <v>0</v>
      </c>
    </row>
    <row r="333" spans="1:14">
      <c r="A333">
        <v>15</v>
      </c>
      <c r="B333">
        <v>17</v>
      </c>
      <c r="C333" t="s">
        <v>128</v>
      </c>
      <c r="D333" t="s">
        <v>743</v>
      </c>
      <c r="E333" t="s">
        <v>128</v>
      </c>
      <c r="F333">
        <v>0</v>
      </c>
      <c r="G333" t="s">
        <v>128</v>
      </c>
      <c r="H333" t="s">
        <v>128</v>
      </c>
      <c r="I333" t="s">
        <v>128</v>
      </c>
      <c r="J333" t="s">
        <v>128</v>
      </c>
      <c r="K333" t="s">
        <v>128</v>
      </c>
      <c r="L333" t="s">
        <v>128</v>
      </c>
      <c r="M333" t="s">
        <v>673</v>
      </c>
      <c r="N333" t="b">
        <v>0</v>
      </c>
    </row>
    <row r="334" spans="1:14">
      <c r="A334">
        <v>15</v>
      </c>
      <c r="B334">
        <v>18</v>
      </c>
      <c r="C334" t="s">
        <v>128</v>
      </c>
      <c r="D334" t="s">
        <v>743</v>
      </c>
      <c r="E334" t="s">
        <v>128</v>
      </c>
      <c r="F334">
        <v>0</v>
      </c>
      <c r="G334" t="s">
        <v>128</v>
      </c>
      <c r="H334" t="s">
        <v>128</v>
      </c>
      <c r="I334" t="s">
        <v>128</v>
      </c>
      <c r="J334" t="s">
        <v>128</v>
      </c>
      <c r="K334" t="s">
        <v>128</v>
      </c>
      <c r="L334" t="s">
        <v>128</v>
      </c>
      <c r="M334" t="s">
        <v>989</v>
      </c>
      <c r="N334" t="b">
        <v>0</v>
      </c>
    </row>
    <row r="335" spans="1:14">
      <c r="A335">
        <v>15</v>
      </c>
      <c r="B335">
        <v>19</v>
      </c>
      <c r="C335" t="s">
        <v>128</v>
      </c>
      <c r="D335" t="s">
        <v>743</v>
      </c>
      <c r="E335" t="s">
        <v>128</v>
      </c>
      <c r="F335">
        <v>0</v>
      </c>
      <c r="G335" t="s">
        <v>128</v>
      </c>
      <c r="H335" t="s">
        <v>128</v>
      </c>
      <c r="I335" t="s">
        <v>128</v>
      </c>
      <c r="J335" t="s">
        <v>128</v>
      </c>
      <c r="K335" t="s">
        <v>128</v>
      </c>
      <c r="L335" t="s">
        <v>128</v>
      </c>
      <c r="M335" t="s">
        <v>990</v>
      </c>
      <c r="N335" t="b">
        <v>0</v>
      </c>
    </row>
    <row r="336" spans="1:14">
      <c r="A336">
        <v>15</v>
      </c>
      <c r="B336">
        <v>20</v>
      </c>
      <c r="C336" t="s">
        <v>128</v>
      </c>
      <c r="D336" t="s">
        <v>743</v>
      </c>
      <c r="E336" t="s">
        <v>128</v>
      </c>
      <c r="F336">
        <v>0</v>
      </c>
      <c r="G336" t="s">
        <v>128</v>
      </c>
      <c r="H336" t="s">
        <v>128</v>
      </c>
      <c r="I336" t="s">
        <v>128</v>
      </c>
      <c r="J336" t="s">
        <v>128</v>
      </c>
      <c r="K336" t="s">
        <v>128</v>
      </c>
      <c r="L336" t="s">
        <v>128</v>
      </c>
      <c r="M336" t="s">
        <v>991</v>
      </c>
      <c r="N336" t="b">
        <v>0</v>
      </c>
    </row>
    <row r="337" spans="1:14">
      <c r="A337">
        <v>15</v>
      </c>
      <c r="B337">
        <v>21</v>
      </c>
      <c r="C337" t="s">
        <v>128</v>
      </c>
      <c r="D337" t="s">
        <v>743</v>
      </c>
      <c r="E337" t="s">
        <v>128</v>
      </c>
      <c r="F337">
        <v>0</v>
      </c>
      <c r="G337" t="s">
        <v>128</v>
      </c>
      <c r="H337" t="s">
        <v>128</v>
      </c>
      <c r="I337" t="s">
        <v>128</v>
      </c>
      <c r="J337" t="s">
        <v>128</v>
      </c>
      <c r="K337" t="s">
        <v>128</v>
      </c>
      <c r="L337" t="s">
        <v>128</v>
      </c>
      <c r="M337" t="s">
        <v>992</v>
      </c>
      <c r="N337" t="b">
        <v>0</v>
      </c>
    </row>
    <row r="338" spans="1:14">
      <c r="A338">
        <v>15</v>
      </c>
      <c r="B338">
        <v>22</v>
      </c>
      <c r="C338" t="s">
        <v>128</v>
      </c>
      <c r="D338" t="s">
        <v>743</v>
      </c>
      <c r="E338" t="s">
        <v>128</v>
      </c>
      <c r="F338">
        <v>0</v>
      </c>
      <c r="G338" t="s">
        <v>128</v>
      </c>
      <c r="H338" t="s">
        <v>128</v>
      </c>
      <c r="I338" t="s">
        <v>128</v>
      </c>
      <c r="J338" t="s">
        <v>128</v>
      </c>
      <c r="K338" t="s">
        <v>128</v>
      </c>
      <c r="L338" t="s">
        <v>128</v>
      </c>
      <c r="M338" t="s">
        <v>993</v>
      </c>
      <c r="N338" t="b">
        <v>0</v>
      </c>
    </row>
    <row r="339" spans="1:14">
      <c r="A339">
        <v>15</v>
      </c>
      <c r="B339">
        <v>23</v>
      </c>
      <c r="C339" t="s">
        <v>128</v>
      </c>
      <c r="D339" t="s">
        <v>743</v>
      </c>
      <c r="E339" t="s">
        <v>128</v>
      </c>
      <c r="F339">
        <v>0</v>
      </c>
      <c r="G339" t="s">
        <v>128</v>
      </c>
      <c r="H339" t="s">
        <v>128</v>
      </c>
      <c r="I339" t="s">
        <v>128</v>
      </c>
      <c r="J339" t="s">
        <v>128</v>
      </c>
      <c r="K339" t="s">
        <v>128</v>
      </c>
      <c r="L339" t="s">
        <v>128</v>
      </c>
      <c r="M339" t="s">
        <v>994</v>
      </c>
      <c r="N339" t="b">
        <v>0</v>
      </c>
    </row>
    <row r="340" spans="1:14">
      <c r="A340">
        <v>15</v>
      </c>
      <c r="B340">
        <v>24</v>
      </c>
      <c r="C340" t="s">
        <v>128</v>
      </c>
      <c r="D340" t="s">
        <v>743</v>
      </c>
      <c r="E340" t="s">
        <v>128</v>
      </c>
      <c r="F340">
        <v>0</v>
      </c>
      <c r="G340" t="s">
        <v>128</v>
      </c>
      <c r="H340" t="s">
        <v>128</v>
      </c>
      <c r="I340" t="s">
        <v>128</v>
      </c>
      <c r="J340" t="s">
        <v>128</v>
      </c>
      <c r="K340" t="s">
        <v>128</v>
      </c>
      <c r="L340" t="s">
        <v>128</v>
      </c>
      <c r="M340" t="s">
        <v>995</v>
      </c>
      <c r="N340" t="b">
        <v>0</v>
      </c>
    </row>
    <row r="341" spans="1:14">
      <c r="A341">
        <v>15</v>
      </c>
      <c r="B341">
        <v>25</v>
      </c>
      <c r="C341" t="s">
        <v>128</v>
      </c>
      <c r="D341" t="s">
        <v>743</v>
      </c>
      <c r="E341" t="s">
        <v>128</v>
      </c>
      <c r="F341">
        <v>0</v>
      </c>
      <c r="G341" t="s">
        <v>128</v>
      </c>
      <c r="H341" t="s">
        <v>128</v>
      </c>
      <c r="I341" t="s">
        <v>128</v>
      </c>
      <c r="J341" t="s">
        <v>128</v>
      </c>
      <c r="K341" t="s">
        <v>128</v>
      </c>
      <c r="L341" t="s">
        <v>128</v>
      </c>
      <c r="M341" t="s">
        <v>996</v>
      </c>
      <c r="N341" t="b">
        <v>0</v>
      </c>
    </row>
    <row r="342" spans="1:14">
      <c r="A342">
        <v>15</v>
      </c>
      <c r="B342">
        <v>26</v>
      </c>
      <c r="C342" t="s">
        <v>128</v>
      </c>
      <c r="D342" t="s">
        <v>743</v>
      </c>
      <c r="E342" t="s">
        <v>128</v>
      </c>
      <c r="F342">
        <v>0</v>
      </c>
      <c r="G342" t="s">
        <v>128</v>
      </c>
      <c r="H342" t="s">
        <v>128</v>
      </c>
      <c r="I342" t="s">
        <v>128</v>
      </c>
      <c r="J342" t="s">
        <v>128</v>
      </c>
      <c r="K342" t="s">
        <v>128</v>
      </c>
      <c r="L342" t="s">
        <v>128</v>
      </c>
      <c r="M342" t="s">
        <v>997</v>
      </c>
      <c r="N342" t="b">
        <v>0</v>
      </c>
    </row>
    <row r="343" spans="1:14">
      <c r="A343">
        <v>16</v>
      </c>
      <c r="B343">
        <v>0</v>
      </c>
      <c r="C343" t="s">
        <v>246</v>
      </c>
      <c r="D343" t="s">
        <v>726</v>
      </c>
      <c r="E343" t="s">
        <v>60</v>
      </c>
      <c r="F343">
        <v>40</v>
      </c>
      <c r="G343" t="s">
        <v>128</v>
      </c>
      <c r="H343" t="s">
        <v>128</v>
      </c>
      <c r="I343" t="s">
        <v>60</v>
      </c>
      <c r="J343" t="s">
        <v>128</v>
      </c>
      <c r="K343" t="s">
        <v>128</v>
      </c>
      <c r="L343" t="s">
        <v>128</v>
      </c>
      <c r="M343" t="s">
        <v>998</v>
      </c>
      <c r="N343" t="b">
        <v>0</v>
      </c>
    </row>
    <row r="344" spans="1:14">
      <c r="A344">
        <v>16</v>
      </c>
      <c r="B344">
        <v>1</v>
      </c>
      <c r="C344" t="s">
        <v>166</v>
      </c>
      <c r="D344" t="s">
        <v>726</v>
      </c>
      <c r="E344" t="s">
        <v>67</v>
      </c>
      <c r="F344">
        <v>40</v>
      </c>
      <c r="G344" t="s">
        <v>128</v>
      </c>
      <c r="H344" t="s">
        <v>128</v>
      </c>
      <c r="I344" t="s">
        <v>67</v>
      </c>
      <c r="J344" t="s">
        <v>128</v>
      </c>
      <c r="K344" t="s">
        <v>128</v>
      </c>
      <c r="L344" t="s">
        <v>128</v>
      </c>
      <c r="M344" t="s">
        <v>999</v>
      </c>
      <c r="N344" t="b">
        <v>0</v>
      </c>
    </row>
    <row r="345" spans="1:14">
      <c r="A345">
        <v>16</v>
      </c>
      <c r="B345">
        <v>2</v>
      </c>
      <c r="C345" t="s">
        <v>247</v>
      </c>
      <c r="D345" t="s">
        <v>726</v>
      </c>
      <c r="E345" t="s">
        <v>83</v>
      </c>
      <c r="F345">
        <v>60</v>
      </c>
      <c r="G345" t="s">
        <v>128</v>
      </c>
      <c r="H345" t="s">
        <v>128</v>
      </c>
      <c r="I345" t="s">
        <v>83</v>
      </c>
      <c r="J345" t="s">
        <v>128</v>
      </c>
      <c r="K345" t="s">
        <v>128</v>
      </c>
      <c r="L345" t="s">
        <v>128</v>
      </c>
      <c r="M345" t="s">
        <v>1000</v>
      </c>
      <c r="N345" t="b">
        <v>0</v>
      </c>
    </row>
    <row r="346" spans="1:14">
      <c r="A346">
        <v>16</v>
      </c>
      <c r="B346">
        <v>3</v>
      </c>
      <c r="C346" t="s">
        <v>161</v>
      </c>
      <c r="D346" t="s">
        <v>755</v>
      </c>
      <c r="E346" t="s">
        <v>299</v>
      </c>
      <c r="F346">
        <v>50</v>
      </c>
      <c r="G346" t="s">
        <v>762</v>
      </c>
      <c r="H346" t="s">
        <v>128</v>
      </c>
      <c r="I346" t="s">
        <v>128</v>
      </c>
      <c r="J346" t="s">
        <v>763</v>
      </c>
      <c r="K346" t="s">
        <v>764</v>
      </c>
      <c r="L346" t="s">
        <v>765</v>
      </c>
      <c r="M346" t="s">
        <v>1001</v>
      </c>
      <c r="N346" t="b">
        <v>0</v>
      </c>
    </row>
    <row r="347" spans="1:14">
      <c r="A347">
        <v>16</v>
      </c>
      <c r="B347">
        <v>4</v>
      </c>
      <c r="C347" t="s">
        <v>161</v>
      </c>
      <c r="D347" t="s">
        <v>755</v>
      </c>
      <c r="E347" t="s">
        <v>299</v>
      </c>
      <c r="F347">
        <v>50</v>
      </c>
      <c r="G347" t="s">
        <v>762</v>
      </c>
      <c r="H347" t="s">
        <v>128</v>
      </c>
      <c r="I347" t="s">
        <v>128</v>
      </c>
      <c r="J347" t="s">
        <v>763</v>
      </c>
      <c r="K347" t="s">
        <v>767</v>
      </c>
      <c r="L347" t="s">
        <v>768</v>
      </c>
      <c r="M347" t="s">
        <v>1002</v>
      </c>
      <c r="N347" t="b">
        <v>0</v>
      </c>
    </row>
    <row r="348" spans="1:14">
      <c r="A348">
        <v>16</v>
      </c>
      <c r="B348">
        <v>5</v>
      </c>
      <c r="C348" t="s">
        <v>162</v>
      </c>
      <c r="D348" t="s">
        <v>755</v>
      </c>
      <c r="E348" t="s">
        <v>299</v>
      </c>
      <c r="F348">
        <v>40</v>
      </c>
      <c r="G348" t="s">
        <v>762</v>
      </c>
      <c r="H348" t="s">
        <v>128</v>
      </c>
      <c r="I348" t="s">
        <v>128</v>
      </c>
      <c r="J348" t="s">
        <v>763</v>
      </c>
      <c r="K348" t="s">
        <v>1003</v>
      </c>
      <c r="L348" t="s">
        <v>1004</v>
      </c>
      <c r="M348" t="s">
        <v>1005</v>
      </c>
      <c r="N348" t="b">
        <v>0</v>
      </c>
    </row>
    <row r="349" spans="1:14">
      <c r="A349">
        <v>16</v>
      </c>
      <c r="B349">
        <v>6</v>
      </c>
      <c r="C349" t="s">
        <v>248</v>
      </c>
      <c r="D349" t="s">
        <v>726</v>
      </c>
      <c r="E349" t="s">
        <v>114</v>
      </c>
      <c r="F349">
        <v>40</v>
      </c>
      <c r="G349" t="s">
        <v>128</v>
      </c>
      <c r="H349" t="s">
        <v>128</v>
      </c>
      <c r="I349" t="s">
        <v>114</v>
      </c>
      <c r="J349" t="s">
        <v>128</v>
      </c>
      <c r="K349" t="s">
        <v>128</v>
      </c>
      <c r="L349" t="s">
        <v>128</v>
      </c>
      <c r="M349" t="s">
        <v>1006</v>
      </c>
      <c r="N349" t="b">
        <v>0</v>
      </c>
    </row>
    <row r="350" spans="1:14">
      <c r="A350">
        <v>16</v>
      </c>
      <c r="B350">
        <v>7</v>
      </c>
      <c r="C350" t="s">
        <v>168</v>
      </c>
      <c r="D350" t="s">
        <v>726</v>
      </c>
      <c r="E350" t="s">
        <v>115</v>
      </c>
      <c r="F350">
        <v>50</v>
      </c>
      <c r="G350" t="s">
        <v>128</v>
      </c>
      <c r="H350" t="s">
        <v>128</v>
      </c>
      <c r="I350" t="s">
        <v>115</v>
      </c>
      <c r="J350" t="s">
        <v>128</v>
      </c>
      <c r="K350" t="s">
        <v>128</v>
      </c>
      <c r="L350" t="s">
        <v>128</v>
      </c>
      <c r="M350" t="s">
        <v>1007</v>
      </c>
      <c r="N350" t="b">
        <v>0</v>
      </c>
    </row>
    <row r="351" spans="1:14">
      <c r="A351">
        <v>16</v>
      </c>
      <c r="B351">
        <v>8</v>
      </c>
      <c r="C351" t="s">
        <v>184</v>
      </c>
      <c r="D351" t="s">
        <v>726</v>
      </c>
      <c r="E351" t="s">
        <v>61</v>
      </c>
      <c r="F351">
        <v>40</v>
      </c>
      <c r="G351" t="s">
        <v>128</v>
      </c>
      <c r="H351" t="s">
        <v>128</v>
      </c>
      <c r="I351" t="s">
        <v>61</v>
      </c>
      <c r="J351" t="s">
        <v>128</v>
      </c>
      <c r="K351" t="s">
        <v>128</v>
      </c>
      <c r="L351" t="s">
        <v>128</v>
      </c>
      <c r="M351" t="s">
        <v>1008</v>
      </c>
      <c r="N351" t="b">
        <v>0</v>
      </c>
    </row>
    <row r="352" spans="1:14">
      <c r="A352">
        <v>16</v>
      </c>
      <c r="B352">
        <v>9</v>
      </c>
      <c r="C352" t="s">
        <v>195</v>
      </c>
      <c r="D352" t="s">
        <v>726</v>
      </c>
      <c r="E352" t="s">
        <v>78</v>
      </c>
      <c r="F352">
        <v>50</v>
      </c>
      <c r="G352" t="s">
        <v>128</v>
      </c>
      <c r="H352" t="s">
        <v>128</v>
      </c>
      <c r="I352" t="s">
        <v>78</v>
      </c>
      <c r="J352" t="s">
        <v>128</v>
      </c>
      <c r="K352" t="s">
        <v>128</v>
      </c>
      <c r="L352" t="s">
        <v>128</v>
      </c>
      <c r="M352" t="s">
        <v>1009</v>
      </c>
      <c r="N352" t="b">
        <v>0</v>
      </c>
    </row>
    <row r="353" spans="1:14">
      <c r="A353">
        <v>16</v>
      </c>
      <c r="B353">
        <v>10</v>
      </c>
      <c r="C353" t="s">
        <v>128</v>
      </c>
      <c r="D353" t="s">
        <v>726</v>
      </c>
      <c r="E353" t="s">
        <v>128</v>
      </c>
      <c r="F353">
        <v>0</v>
      </c>
      <c r="G353" t="s">
        <v>128</v>
      </c>
      <c r="H353" t="s">
        <v>128</v>
      </c>
      <c r="I353" t="s">
        <v>128</v>
      </c>
      <c r="J353" t="s">
        <v>128</v>
      </c>
      <c r="K353" t="s">
        <v>128</v>
      </c>
      <c r="L353" t="s">
        <v>128</v>
      </c>
      <c r="M353" t="s">
        <v>1010</v>
      </c>
      <c r="N353" t="b">
        <v>0</v>
      </c>
    </row>
    <row r="354" spans="1:14">
      <c r="A354">
        <v>16</v>
      </c>
      <c r="B354">
        <v>11</v>
      </c>
      <c r="C354" t="s">
        <v>128</v>
      </c>
      <c r="D354" t="s">
        <v>726</v>
      </c>
      <c r="E354" t="s">
        <v>128</v>
      </c>
      <c r="F354">
        <v>0</v>
      </c>
      <c r="G354" t="s">
        <v>128</v>
      </c>
      <c r="H354" t="s">
        <v>128</v>
      </c>
      <c r="I354" t="s">
        <v>128</v>
      </c>
      <c r="J354" t="s">
        <v>128</v>
      </c>
      <c r="K354" t="s">
        <v>128</v>
      </c>
      <c r="L354" t="s">
        <v>128</v>
      </c>
      <c r="M354" t="s">
        <v>1011</v>
      </c>
      <c r="N354" t="b">
        <v>0</v>
      </c>
    </row>
    <row r="355" spans="1:14">
      <c r="A355">
        <v>16</v>
      </c>
      <c r="B355">
        <v>12</v>
      </c>
      <c r="C355" t="s">
        <v>128</v>
      </c>
      <c r="D355" t="s">
        <v>726</v>
      </c>
      <c r="E355" t="s">
        <v>128</v>
      </c>
      <c r="F355">
        <v>0</v>
      </c>
      <c r="G355" t="s">
        <v>128</v>
      </c>
      <c r="H355" t="s">
        <v>128</v>
      </c>
      <c r="I355" t="s">
        <v>128</v>
      </c>
      <c r="J355" t="s">
        <v>128</v>
      </c>
      <c r="K355" t="s">
        <v>128</v>
      </c>
      <c r="L355" t="s">
        <v>128</v>
      </c>
      <c r="M355" t="s">
        <v>1012</v>
      </c>
      <c r="N355" t="b">
        <v>0</v>
      </c>
    </row>
    <row r="356" spans="1:14">
      <c r="A356">
        <v>16</v>
      </c>
      <c r="B356">
        <v>13</v>
      </c>
      <c r="C356" t="s">
        <v>128</v>
      </c>
      <c r="D356" t="s">
        <v>726</v>
      </c>
      <c r="E356" t="s">
        <v>128</v>
      </c>
      <c r="F356">
        <v>0</v>
      </c>
      <c r="G356" t="s">
        <v>128</v>
      </c>
      <c r="H356" t="s">
        <v>128</v>
      </c>
      <c r="I356" t="s">
        <v>128</v>
      </c>
      <c r="J356" t="s">
        <v>128</v>
      </c>
      <c r="K356" t="s">
        <v>128</v>
      </c>
      <c r="L356" t="s">
        <v>128</v>
      </c>
      <c r="M356" t="s">
        <v>1013</v>
      </c>
      <c r="N356" t="b">
        <v>0</v>
      </c>
    </row>
    <row r="357" spans="1:14">
      <c r="A357">
        <v>16</v>
      </c>
      <c r="B357">
        <v>14</v>
      </c>
      <c r="C357" t="s">
        <v>128</v>
      </c>
      <c r="D357" t="s">
        <v>726</v>
      </c>
      <c r="E357" t="s">
        <v>128</v>
      </c>
      <c r="F357">
        <v>0</v>
      </c>
      <c r="G357" t="s">
        <v>128</v>
      </c>
      <c r="H357" t="s">
        <v>128</v>
      </c>
      <c r="I357" t="s">
        <v>128</v>
      </c>
      <c r="J357" t="s">
        <v>128</v>
      </c>
      <c r="K357" t="s">
        <v>128</v>
      </c>
      <c r="L357" t="s">
        <v>128</v>
      </c>
      <c r="M357" t="s">
        <v>1014</v>
      </c>
      <c r="N357" t="b">
        <v>0</v>
      </c>
    </row>
    <row r="358" spans="1:14">
      <c r="A358">
        <v>16</v>
      </c>
      <c r="B358">
        <v>15</v>
      </c>
      <c r="C358" t="s">
        <v>128</v>
      </c>
      <c r="D358" t="s">
        <v>726</v>
      </c>
      <c r="E358" t="s">
        <v>128</v>
      </c>
      <c r="F358">
        <v>0</v>
      </c>
      <c r="G358" t="s">
        <v>128</v>
      </c>
      <c r="H358" t="s">
        <v>128</v>
      </c>
      <c r="I358" t="s">
        <v>128</v>
      </c>
      <c r="J358" t="s">
        <v>128</v>
      </c>
      <c r="K358" t="s">
        <v>128</v>
      </c>
      <c r="L358" t="s">
        <v>128</v>
      </c>
      <c r="M358" t="s">
        <v>1015</v>
      </c>
      <c r="N358" t="b">
        <v>0</v>
      </c>
    </row>
    <row r="359" spans="1:14">
      <c r="A359">
        <v>16</v>
      </c>
      <c r="B359">
        <v>16</v>
      </c>
      <c r="C359" t="s">
        <v>128</v>
      </c>
      <c r="D359" t="s">
        <v>743</v>
      </c>
      <c r="E359" t="s">
        <v>128</v>
      </c>
      <c r="F359">
        <v>0</v>
      </c>
      <c r="G359" t="s">
        <v>128</v>
      </c>
      <c r="H359" t="s">
        <v>128</v>
      </c>
      <c r="I359" t="s">
        <v>128</v>
      </c>
      <c r="J359" t="s">
        <v>128</v>
      </c>
      <c r="K359" t="s">
        <v>128</v>
      </c>
      <c r="L359" t="s">
        <v>128</v>
      </c>
      <c r="M359" t="s">
        <v>1016</v>
      </c>
      <c r="N359" t="b">
        <v>0</v>
      </c>
    </row>
    <row r="360" spans="1:14">
      <c r="A360">
        <v>16</v>
      </c>
      <c r="B360">
        <v>17</v>
      </c>
      <c r="C360" t="s">
        <v>128</v>
      </c>
      <c r="D360" t="s">
        <v>743</v>
      </c>
      <c r="E360" t="s">
        <v>128</v>
      </c>
      <c r="F360">
        <v>0</v>
      </c>
      <c r="G360" t="s">
        <v>128</v>
      </c>
      <c r="H360" t="s">
        <v>128</v>
      </c>
      <c r="I360" t="s">
        <v>128</v>
      </c>
      <c r="J360" t="s">
        <v>128</v>
      </c>
      <c r="K360" t="s">
        <v>128</v>
      </c>
      <c r="L360" t="s">
        <v>128</v>
      </c>
      <c r="M360" t="s">
        <v>675</v>
      </c>
      <c r="N360" t="b">
        <v>0</v>
      </c>
    </row>
    <row r="361" spans="1:14">
      <c r="A361">
        <v>16</v>
      </c>
      <c r="B361">
        <v>18</v>
      </c>
      <c r="C361" t="s">
        <v>128</v>
      </c>
      <c r="D361" t="s">
        <v>743</v>
      </c>
      <c r="E361" t="s">
        <v>128</v>
      </c>
      <c r="F361">
        <v>0</v>
      </c>
      <c r="G361" t="s">
        <v>128</v>
      </c>
      <c r="H361" t="s">
        <v>128</v>
      </c>
      <c r="I361" t="s">
        <v>128</v>
      </c>
      <c r="J361" t="s">
        <v>128</v>
      </c>
      <c r="K361" t="s">
        <v>128</v>
      </c>
      <c r="L361" t="s">
        <v>128</v>
      </c>
      <c r="M361" t="s">
        <v>1017</v>
      </c>
      <c r="N361" t="b">
        <v>0</v>
      </c>
    </row>
    <row r="362" spans="1:14">
      <c r="A362">
        <v>16</v>
      </c>
      <c r="B362">
        <v>19</v>
      </c>
      <c r="C362" t="s">
        <v>128</v>
      </c>
      <c r="D362" t="s">
        <v>743</v>
      </c>
      <c r="E362" t="s">
        <v>128</v>
      </c>
      <c r="F362">
        <v>0</v>
      </c>
      <c r="G362" t="s">
        <v>128</v>
      </c>
      <c r="H362" t="s">
        <v>128</v>
      </c>
      <c r="I362" t="s">
        <v>128</v>
      </c>
      <c r="J362" t="s">
        <v>128</v>
      </c>
      <c r="K362" t="s">
        <v>128</v>
      </c>
      <c r="L362" t="s">
        <v>128</v>
      </c>
      <c r="M362" t="s">
        <v>1018</v>
      </c>
      <c r="N362" t="b">
        <v>0</v>
      </c>
    </row>
    <row r="363" spans="1:14">
      <c r="A363">
        <v>16</v>
      </c>
      <c r="B363">
        <v>20</v>
      </c>
      <c r="C363" t="s">
        <v>128</v>
      </c>
      <c r="D363" t="s">
        <v>743</v>
      </c>
      <c r="E363" t="s">
        <v>128</v>
      </c>
      <c r="F363">
        <v>0</v>
      </c>
      <c r="G363" t="s">
        <v>128</v>
      </c>
      <c r="H363" t="s">
        <v>128</v>
      </c>
      <c r="I363" t="s">
        <v>128</v>
      </c>
      <c r="J363" t="s">
        <v>128</v>
      </c>
      <c r="K363" t="s">
        <v>128</v>
      </c>
      <c r="L363" t="s">
        <v>128</v>
      </c>
      <c r="M363" t="s">
        <v>1019</v>
      </c>
      <c r="N363" t="b">
        <v>0</v>
      </c>
    </row>
    <row r="364" spans="1:14">
      <c r="A364">
        <v>16</v>
      </c>
      <c r="B364">
        <v>21</v>
      </c>
      <c r="C364" t="s">
        <v>128</v>
      </c>
      <c r="D364" t="s">
        <v>743</v>
      </c>
      <c r="E364" t="s">
        <v>128</v>
      </c>
      <c r="F364">
        <v>0</v>
      </c>
      <c r="G364" t="s">
        <v>128</v>
      </c>
      <c r="H364" t="s">
        <v>128</v>
      </c>
      <c r="I364" t="s">
        <v>128</v>
      </c>
      <c r="J364" t="s">
        <v>128</v>
      </c>
      <c r="K364" t="s">
        <v>128</v>
      </c>
      <c r="L364" t="s">
        <v>128</v>
      </c>
      <c r="M364" t="s">
        <v>1020</v>
      </c>
      <c r="N364" t="b">
        <v>0</v>
      </c>
    </row>
    <row r="365" spans="1:14">
      <c r="A365">
        <v>16</v>
      </c>
      <c r="B365">
        <v>22</v>
      </c>
      <c r="C365" t="s">
        <v>128</v>
      </c>
      <c r="D365" t="s">
        <v>743</v>
      </c>
      <c r="E365" t="s">
        <v>128</v>
      </c>
      <c r="F365">
        <v>0</v>
      </c>
      <c r="G365" t="s">
        <v>128</v>
      </c>
      <c r="H365" t="s">
        <v>128</v>
      </c>
      <c r="I365" t="s">
        <v>128</v>
      </c>
      <c r="J365" t="s">
        <v>128</v>
      </c>
      <c r="K365" t="s">
        <v>128</v>
      </c>
      <c r="L365" t="s">
        <v>128</v>
      </c>
      <c r="M365" t="s">
        <v>1021</v>
      </c>
      <c r="N365" t="b">
        <v>0</v>
      </c>
    </row>
    <row r="366" spans="1:14">
      <c r="A366">
        <v>16</v>
      </c>
      <c r="B366">
        <v>23</v>
      </c>
      <c r="C366" t="s">
        <v>128</v>
      </c>
      <c r="D366" t="s">
        <v>743</v>
      </c>
      <c r="E366" t="s">
        <v>128</v>
      </c>
      <c r="F366">
        <v>0</v>
      </c>
      <c r="G366" t="s">
        <v>128</v>
      </c>
      <c r="H366" t="s">
        <v>128</v>
      </c>
      <c r="I366" t="s">
        <v>128</v>
      </c>
      <c r="J366" t="s">
        <v>128</v>
      </c>
      <c r="K366" t="s">
        <v>128</v>
      </c>
      <c r="L366" t="s">
        <v>128</v>
      </c>
      <c r="M366" t="s">
        <v>1022</v>
      </c>
      <c r="N366" t="b">
        <v>0</v>
      </c>
    </row>
    <row r="367" spans="1:14">
      <c r="A367">
        <v>16</v>
      </c>
      <c r="B367">
        <v>24</v>
      </c>
      <c r="C367" t="s">
        <v>128</v>
      </c>
      <c r="D367" t="s">
        <v>743</v>
      </c>
      <c r="E367" t="s">
        <v>128</v>
      </c>
      <c r="F367">
        <v>0</v>
      </c>
      <c r="G367" t="s">
        <v>128</v>
      </c>
      <c r="H367" t="s">
        <v>128</v>
      </c>
      <c r="I367" t="s">
        <v>128</v>
      </c>
      <c r="J367" t="s">
        <v>128</v>
      </c>
      <c r="K367" t="s">
        <v>128</v>
      </c>
      <c r="L367" t="s">
        <v>128</v>
      </c>
      <c r="M367" t="s">
        <v>1023</v>
      </c>
      <c r="N367" t="b">
        <v>0</v>
      </c>
    </row>
    <row r="368" spans="1:14">
      <c r="A368">
        <v>16</v>
      </c>
      <c r="B368">
        <v>25</v>
      </c>
      <c r="C368" t="s">
        <v>128</v>
      </c>
      <c r="D368" t="s">
        <v>743</v>
      </c>
      <c r="E368" t="s">
        <v>128</v>
      </c>
      <c r="F368">
        <v>0</v>
      </c>
      <c r="G368" t="s">
        <v>128</v>
      </c>
      <c r="H368" t="s">
        <v>128</v>
      </c>
      <c r="I368" t="s">
        <v>128</v>
      </c>
      <c r="J368" t="s">
        <v>128</v>
      </c>
      <c r="K368" t="s">
        <v>128</v>
      </c>
      <c r="L368" t="s">
        <v>128</v>
      </c>
      <c r="M368" t="s">
        <v>1024</v>
      </c>
      <c r="N368" t="b">
        <v>0</v>
      </c>
    </row>
    <row r="369" spans="1:14">
      <c r="A369">
        <v>16</v>
      </c>
      <c r="B369">
        <v>26</v>
      </c>
      <c r="C369" t="s">
        <v>128</v>
      </c>
      <c r="D369" t="s">
        <v>743</v>
      </c>
      <c r="E369" t="s">
        <v>128</v>
      </c>
      <c r="F369">
        <v>0</v>
      </c>
      <c r="G369" t="s">
        <v>128</v>
      </c>
      <c r="H369" t="s">
        <v>128</v>
      </c>
      <c r="I369" t="s">
        <v>128</v>
      </c>
      <c r="J369" t="s">
        <v>128</v>
      </c>
      <c r="K369" t="s">
        <v>128</v>
      </c>
      <c r="L369" t="s">
        <v>128</v>
      </c>
      <c r="M369" t="s">
        <v>1025</v>
      </c>
      <c r="N369" t="b">
        <v>0</v>
      </c>
    </row>
    <row r="370" spans="1:14">
      <c r="A370">
        <v>17</v>
      </c>
      <c r="B370">
        <v>0</v>
      </c>
      <c r="C370" t="s">
        <v>166</v>
      </c>
      <c r="D370" t="s">
        <v>726</v>
      </c>
      <c r="E370" t="s">
        <v>67</v>
      </c>
      <c r="F370">
        <v>40</v>
      </c>
      <c r="G370" t="s">
        <v>128</v>
      </c>
      <c r="H370" t="s">
        <v>128</v>
      </c>
      <c r="I370" t="s">
        <v>67</v>
      </c>
      <c r="J370" t="s">
        <v>128</v>
      </c>
      <c r="K370" t="s">
        <v>128</v>
      </c>
      <c r="L370" t="s">
        <v>128</v>
      </c>
      <c r="M370" t="s">
        <v>1026</v>
      </c>
      <c r="N370" t="b">
        <v>0</v>
      </c>
    </row>
    <row r="371" spans="1:14">
      <c r="A371">
        <v>17</v>
      </c>
      <c r="B371">
        <v>1</v>
      </c>
      <c r="C371" t="s">
        <v>181</v>
      </c>
      <c r="D371" t="s">
        <v>726</v>
      </c>
      <c r="E371" t="s">
        <v>83</v>
      </c>
      <c r="F371">
        <v>50</v>
      </c>
      <c r="G371" t="s">
        <v>128</v>
      </c>
      <c r="H371" t="s">
        <v>128</v>
      </c>
      <c r="I371" t="s">
        <v>83</v>
      </c>
      <c r="J371" t="s">
        <v>128</v>
      </c>
      <c r="K371" t="s">
        <v>128</v>
      </c>
      <c r="L371" t="s">
        <v>128</v>
      </c>
      <c r="M371" t="s">
        <v>1027</v>
      </c>
      <c r="N371" t="b">
        <v>0</v>
      </c>
    </row>
    <row r="372" spans="1:14">
      <c r="A372">
        <v>17</v>
      </c>
      <c r="B372">
        <v>2</v>
      </c>
      <c r="C372" t="s">
        <v>212</v>
      </c>
      <c r="D372" t="s">
        <v>726</v>
      </c>
      <c r="E372" t="s">
        <v>87</v>
      </c>
      <c r="F372">
        <v>40</v>
      </c>
      <c r="G372" t="s">
        <v>128</v>
      </c>
      <c r="H372" t="s">
        <v>128</v>
      </c>
      <c r="I372" t="s">
        <v>87</v>
      </c>
      <c r="J372" t="s">
        <v>128</v>
      </c>
      <c r="K372" t="s">
        <v>128</v>
      </c>
      <c r="L372" t="s">
        <v>128</v>
      </c>
      <c r="M372" t="s">
        <v>1028</v>
      </c>
      <c r="N372" t="b">
        <v>0</v>
      </c>
    </row>
    <row r="373" spans="1:14">
      <c r="A373">
        <v>17</v>
      </c>
      <c r="B373">
        <v>3</v>
      </c>
      <c r="C373" t="s">
        <v>250</v>
      </c>
      <c r="D373" t="s">
        <v>726</v>
      </c>
      <c r="E373" t="s">
        <v>93</v>
      </c>
      <c r="F373">
        <v>40</v>
      </c>
      <c r="G373" t="s">
        <v>128</v>
      </c>
      <c r="H373" t="s">
        <v>128</v>
      </c>
      <c r="I373" t="s">
        <v>93</v>
      </c>
      <c r="J373" t="s">
        <v>128</v>
      </c>
      <c r="K373" t="s">
        <v>128</v>
      </c>
      <c r="L373" t="s">
        <v>128</v>
      </c>
      <c r="M373" t="s">
        <v>1029</v>
      </c>
      <c r="N373" t="b">
        <v>0</v>
      </c>
    </row>
    <row r="374" spans="1:14">
      <c r="A374">
        <v>17</v>
      </c>
      <c r="B374">
        <v>4</v>
      </c>
      <c r="C374" t="s">
        <v>161</v>
      </c>
      <c r="D374" t="s">
        <v>755</v>
      </c>
      <c r="E374" t="s">
        <v>299</v>
      </c>
      <c r="F374">
        <v>50</v>
      </c>
      <c r="G374" t="s">
        <v>762</v>
      </c>
      <c r="H374" t="s">
        <v>128</v>
      </c>
      <c r="I374" t="s">
        <v>128</v>
      </c>
      <c r="J374" t="s">
        <v>763</v>
      </c>
      <c r="K374" t="s">
        <v>764</v>
      </c>
      <c r="L374" t="s">
        <v>765</v>
      </c>
      <c r="M374" t="s">
        <v>1030</v>
      </c>
      <c r="N374" t="b">
        <v>0</v>
      </c>
    </row>
    <row r="375" spans="1:14">
      <c r="A375">
        <v>17</v>
      </c>
      <c r="B375">
        <v>5</v>
      </c>
      <c r="C375" t="s">
        <v>161</v>
      </c>
      <c r="D375" t="s">
        <v>755</v>
      </c>
      <c r="E375" t="s">
        <v>299</v>
      </c>
      <c r="F375">
        <v>50</v>
      </c>
      <c r="G375" t="s">
        <v>762</v>
      </c>
      <c r="H375" t="s">
        <v>128</v>
      </c>
      <c r="I375" t="s">
        <v>128</v>
      </c>
      <c r="J375" t="s">
        <v>763</v>
      </c>
      <c r="K375" t="s">
        <v>767</v>
      </c>
      <c r="L375" t="s">
        <v>768</v>
      </c>
      <c r="M375" t="s">
        <v>1031</v>
      </c>
      <c r="N375" t="b">
        <v>0</v>
      </c>
    </row>
    <row r="376" spans="1:14">
      <c r="A376">
        <v>17</v>
      </c>
      <c r="B376">
        <v>6</v>
      </c>
      <c r="C376" t="s">
        <v>162</v>
      </c>
      <c r="D376" t="s">
        <v>755</v>
      </c>
      <c r="E376" t="s">
        <v>299</v>
      </c>
      <c r="F376">
        <v>40</v>
      </c>
      <c r="G376" t="s">
        <v>762</v>
      </c>
      <c r="H376" t="s">
        <v>128</v>
      </c>
      <c r="I376" t="s">
        <v>128</v>
      </c>
      <c r="J376" t="s">
        <v>763</v>
      </c>
      <c r="K376" t="s">
        <v>1003</v>
      </c>
      <c r="L376" t="s">
        <v>1004</v>
      </c>
      <c r="M376" t="s">
        <v>1032</v>
      </c>
      <c r="N376" t="b">
        <v>0</v>
      </c>
    </row>
    <row r="377" spans="1:14">
      <c r="A377">
        <v>17</v>
      </c>
      <c r="B377">
        <v>7</v>
      </c>
      <c r="C377" t="s">
        <v>248</v>
      </c>
      <c r="D377" t="s">
        <v>726</v>
      </c>
      <c r="E377" t="s">
        <v>114</v>
      </c>
      <c r="F377">
        <v>40</v>
      </c>
      <c r="G377" t="s">
        <v>128</v>
      </c>
      <c r="H377" t="s">
        <v>128</v>
      </c>
      <c r="I377" t="s">
        <v>114</v>
      </c>
      <c r="J377" t="s">
        <v>128</v>
      </c>
      <c r="K377" t="s">
        <v>128</v>
      </c>
      <c r="L377" t="s">
        <v>128</v>
      </c>
      <c r="M377" t="s">
        <v>1033</v>
      </c>
      <c r="N377" t="b">
        <v>0</v>
      </c>
    </row>
    <row r="378" spans="1:14">
      <c r="A378">
        <v>17</v>
      </c>
      <c r="B378">
        <v>8</v>
      </c>
      <c r="C378" t="s">
        <v>168</v>
      </c>
      <c r="D378" t="s">
        <v>726</v>
      </c>
      <c r="E378" t="s">
        <v>115</v>
      </c>
      <c r="F378">
        <v>50</v>
      </c>
      <c r="G378" t="s">
        <v>128</v>
      </c>
      <c r="H378" t="s">
        <v>128</v>
      </c>
      <c r="I378" t="s">
        <v>115</v>
      </c>
      <c r="J378" t="s">
        <v>128</v>
      </c>
      <c r="K378" t="s">
        <v>128</v>
      </c>
      <c r="L378" t="s">
        <v>128</v>
      </c>
      <c r="M378" t="s">
        <v>1034</v>
      </c>
      <c r="N378" t="b">
        <v>0</v>
      </c>
    </row>
    <row r="379" spans="1:14">
      <c r="A379">
        <v>17</v>
      </c>
      <c r="B379">
        <v>9</v>
      </c>
      <c r="C379" t="s">
        <v>179</v>
      </c>
      <c r="D379" t="s">
        <v>726</v>
      </c>
      <c r="E379" t="s">
        <v>100</v>
      </c>
      <c r="F379">
        <v>40</v>
      </c>
      <c r="G379" t="s">
        <v>128</v>
      </c>
      <c r="H379" t="s">
        <v>128</v>
      </c>
      <c r="I379" t="s">
        <v>100</v>
      </c>
      <c r="J379" t="s">
        <v>128</v>
      </c>
      <c r="K379" t="s">
        <v>128</v>
      </c>
      <c r="L379" t="s">
        <v>128</v>
      </c>
      <c r="M379" t="s">
        <v>1035</v>
      </c>
      <c r="N379" t="b">
        <v>0</v>
      </c>
    </row>
    <row r="380" spans="1:14">
      <c r="A380">
        <v>17</v>
      </c>
      <c r="B380">
        <v>10</v>
      </c>
      <c r="C380" t="s">
        <v>128</v>
      </c>
      <c r="D380" t="s">
        <v>726</v>
      </c>
      <c r="E380" t="s">
        <v>128</v>
      </c>
      <c r="F380">
        <v>0</v>
      </c>
      <c r="G380" t="s">
        <v>128</v>
      </c>
      <c r="H380" t="s">
        <v>128</v>
      </c>
      <c r="I380" t="s">
        <v>128</v>
      </c>
      <c r="J380" t="s">
        <v>128</v>
      </c>
      <c r="K380" t="s">
        <v>128</v>
      </c>
      <c r="L380" t="s">
        <v>128</v>
      </c>
      <c r="M380" t="s">
        <v>1036</v>
      </c>
      <c r="N380" t="b">
        <v>0</v>
      </c>
    </row>
    <row r="381" spans="1:14">
      <c r="A381">
        <v>17</v>
      </c>
      <c r="B381">
        <v>11</v>
      </c>
      <c r="C381" t="s">
        <v>128</v>
      </c>
      <c r="D381" t="s">
        <v>726</v>
      </c>
      <c r="E381" t="s">
        <v>128</v>
      </c>
      <c r="F381">
        <v>0</v>
      </c>
      <c r="G381" t="s">
        <v>128</v>
      </c>
      <c r="H381" t="s">
        <v>128</v>
      </c>
      <c r="I381" t="s">
        <v>128</v>
      </c>
      <c r="J381" t="s">
        <v>128</v>
      </c>
      <c r="K381" t="s">
        <v>128</v>
      </c>
      <c r="L381" t="s">
        <v>128</v>
      </c>
      <c r="M381" t="s">
        <v>1037</v>
      </c>
      <c r="N381" t="b">
        <v>0</v>
      </c>
    </row>
    <row r="382" spans="1:14">
      <c r="A382">
        <v>17</v>
      </c>
      <c r="B382">
        <v>12</v>
      </c>
      <c r="C382" t="s">
        <v>128</v>
      </c>
      <c r="D382" t="s">
        <v>726</v>
      </c>
      <c r="E382" t="s">
        <v>128</v>
      </c>
      <c r="F382">
        <v>0</v>
      </c>
      <c r="G382" t="s">
        <v>128</v>
      </c>
      <c r="H382" t="s">
        <v>128</v>
      </c>
      <c r="I382" t="s">
        <v>128</v>
      </c>
      <c r="J382" t="s">
        <v>128</v>
      </c>
      <c r="K382" t="s">
        <v>128</v>
      </c>
      <c r="L382" t="s">
        <v>128</v>
      </c>
      <c r="M382" t="s">
        <v>1038</v>
      </c>
      <c r="N382" t="b">
        <v>0</v>
      </c>
    </row>
    <row r="383" spans="1:14">
      <c r="A383">
        <v>17</v>
      </c>
      <c r="B383">
        <v>13</v>
      </c>
      <c r="C383" t="s">
        <v>128</v>
      </c>
      <c r="D383" t="s">
        <v>726</v>
      </c>
      <c r="E383" t="s">
        <v>128</v>
      </c>
      <c r="F383">
        <v>0</v>
      </c>
      <c r="G383" t="s">
        <v>128</v>
      </c>
      <c r="H383" t="s">
        <v>128</v>
      </c>
      <c r="I383" t="s">
        <v>128</v>
      </c>
      <c r="J383" t="s">
        <v>128</v>
      </c>
      <c r="K383" t="s">
        <v>128</v>
      </c>
      <c r="L383" t="s">
        <v>128</v>
      </c>
      <c r="M383" t="s">
        <v>1039</v>
      </c>
      <c r="N383" t="b">
        <v>0</v>
      </c>
    </row>
    <row r="384" spans="1:14">
      <c r="A384">
        <v>17</v>
      </c>
      <c r="B384">
        <v>14</v>
      </c>
      <c r="C384" t="s">
        <v>128</v>
      </c>
      <c r="D384" t="s">
        <v>726</v>
      </c>
      <c r="E384" t="s">
        <v>128</v>
      </c>
      <c r="F384">
        <v>0</v>
      </c>
      <c r="G384" t="s">
        <v>128</v>
      </c>
      <c r="H384" t="s">
        <v>128</v>
      </c>
      <c r="I384" t="s">
        <v>128</v>
      </c>
      <c r="J384" t="s">
        <v>128</v>
      </c>
      <c r="K384" t="s">
        <v>128</v>
      </c>
      <c r="L384" t="s">
        <v>128</v>
      </c>
      <c r="M384" t="s">
        <v>1040</v>
      </c>
      <c r="N384" t="b">
        <v>0</v>
      </c>
    </row>
    <row r="385" spans="1:14">
      <c r="A385">
        <v>17</v>
      </c>
      <c r="B385">
        <v>15</v>
      </c>
      <c r="C385" t="s">
        <v>128</v>
      </c>
      <c r="D385" t="s">
        <v>726</v>
      </c>
      <c r="E385" t="s">
        <v>128</v>
      </c>
      <c r="F385">
        <v>0</v>
      </c>
      <c r="G385" t="s">
        <v>128</v>
      </c>
      <c r="H385" t="s">
        <v>128</v>
      </c>
      <c r="I385" t="s">
        <v>128</v>
      </c>
      <c r="J385" t="s">
        <v>128</v>
      </c>
      <c r="K385" t="s">
        <v>128</v>
      </c>
      <c r="L385" t="s">
        <v>128</v>
      </c>
      <c r="M385" t="s">
        <v>1041</v>
      </c>
      <c r="N385" t="b">
        <v>0</v>
      </c>
    </row>
    <row r="386" spans="1:14">
      <c r="A386">
        <v>17</v>
      </c>
      <c r="B386">
        <v>16</v>
      </c>
      <c r="C386" t="s">
        <v>128</v>
      </c>
      <c r="D386" t="s">
        <v>743</v>
      </c>
      <c r="E386" t="s">
        <v>128</v>
      </c>
      <c r="F386">
        <v>0</v>
      </c>
      <c r="G386" t="s">
        <v>128</v>
      </c>
      <c r="H386" t="s">
        <v>128</v>
      </c>
      <c r="I386" t="s">
        <v>128</v>
      </c>
      <c r="J386" t="s">
        <v>128</v>
      </c>
      <c r="K386" t="s">
        <v>128</v>
      </c>
      <c r="L386" t="s">
        <v>128</v>
      </c>
      <c r="M386" t="s">
        <v>1042</v>
      </c>
      <c r="N386" t="b">
        <v>0</v>
      </c>
    </row>
    <row r="387" spans="1:14">
      <c r="A387">
        <v>17</v>
      </c>
      <c r="B387">
        <v>17</v>
      </c>
      <c r="C387" t="s">
        <v>128</v>
      </c>
      <c r="D387" t="s">
        <v>743</v>
      </c>
      <c r="E387" t="s">
        <v>128</v>
      </c>
      <c r="F387">
        <v>0</v>
      </c>
      <c r="G387" t="s">
        <v>128</v>
      </c>
      <c r="H387" t="s">
        <v>128</v>
      </c>
      <c r="I387" t="s">
        <v>128</v>
      </c>
      <c r="J387" t="s">
        <v>128</v>
      </c>
      <c r="K387" t="s">
        <v>128</v>
      </c>
      <c r="L387" t="s">
        <v>128</v>
      </c>
      <c r="M387" t="s">
        <v>677</v>
      </c>
      <c r="N387" t="b">
        <v>0</v>
      </c>
    </row>
    <row r="388" spans="1:14">
      <c r="A388">
        <v>17</v>
      </c>
      <c r="B388">
        <v>18</v>
      </c>
      <c r="C388" t="s">
        <v>128</v>
      </c>
      <c r="D388" t="s">
        <v>743</v>
      </c>
      <c r="E388" t="s">
        <v>128</v>
      </c>
      <c r="F388">
        <v>0</v>
      </c>
      <c r="G388" t="s">
        <v>128</v>
      </c>
      <c r="H388" t="s">
        <v>128</v>
      </c>
      <c r="I388" t="s">
        <v>128</v>
      </c>
      <c r="J388" t="s">
        <v>128</v>
      </c>
      <c r="K388" t="s">
        <v>128</v>
      </c>
      <c r="L388" t="s">
        <v>128</v>
      </c>
      <c r="M388" t="s">
        <v>1043</v>
      </c>
      <c r="N388" t="b">
        <v>0</v>
      </c>
    </row>
    <row r="389" spans="1:14">
      <c r="A389">
        <v>17</v>
      </c>
      <c r="B389">
        <v>19</v>
      </c>
      <c r="C389" t="s">
        <v>128</v>
      </c>
      <c r="D389" t="s">
        <v>743</v>
      </c>
      <c r="E389" t="s">
        <v>128</v>
      </c>
      <c r="F389">
        <v>0</v>
      </c>
      <c r="G389" t="s">
        <v>128</v>
      </c>
      <c r="H389" t="s">
        <v>128</v>
      </c>
      <c r="I389" t="s">
        <v>128</v>
      </c>
      <c r="J389" t="s">
        <v>128</v>
      </c>
      <c r="K389" t="s">
        <v>128</v>
      </c>
      <c r="L389" t="s">
        <v>128</v>
      </c>
      <c r="M389" t="s">
        <v>1044</v>
      </c>
      <c r="N389" t="b">
        <v>0</v>
      </c>
    </row>
    <row r="390" spans="1:14">
      <c r="A390">
        <v>17</v>
      </c>
      <c r="B390">
        <v>20</v>
      </c>
      <c r="C390" t="s">
        <v>128</v>
      </c>
      <c r="D390" t="s">
        <v>743</v>
      </c>
      <c r="E390" t="s">
        <v>128</v>
      </c>
      <c r="F390">
        <v>0</v>
      </c>
      <c r="G390" t="s">
        <v>128</v>
      </c>
      <c r="H390" t="s">
        <v>128</v>
      </c>
      <c r="I390" t="s">
        <v>128</v>
      </c>
      <c r="J390" t="s">
        <v>128</v>
      </c>
      <c r="K390" t="s">
        <v>128</v>
      </c>
      <c r="L390" t="s">
        <v>128</v>
      </c>
      <c r="M390" t="s">
        <v>1045</v>
      </c>
      <c r="N390" t="b">
        <v>0</v>
      </c>
    </row>
    <row r="391" spans="1:14">
      <c r="A391">
        <v>17</v>
      </c>
      <c r="B391">
        <v>21</v>
      </c>
      <c r="C391" t="s">
        <v>128</v>
      </c>
      <c r="D391" t="s">
        <v>743</v>
      </c>
      <c r="E391" t="s">
        <v>128</v>
      </c>
      <c r="F391">
        <v>0</v>
      </c>
      <c r="G391" t="s">
        <v>128</v>
      </c>
      <c r="H391" t="s">
        <v>128</v>
      </c>
      <c r="I391" t="s">
        <v>128</v>
      </c>
      <c r="J391" t="s">
        <v>128</v>
      </c>
      <c r="K391" t="s">
        <v>128</v>
      </c>
      <c r="L391" t="s">
        <v>128</v>
      </c>
      <c r="M391" t="s">
        <v>1046</v>
      </c>
      <c r="N391" t="b">
        <v>0</v>
      </c>
    </row>
    <row r="392" spans="1:14">
      <c r="A392">
        <v>17</v>
      </c>
      <c r="B392">
        <v>22</v>
      </c>
      <c r="C392" t="s">
        <v>128</v>
      </c>
      <c r="D392" t="s">
        <v>743</v>
      </c>
      <c r="E392" t="s">
        <v>128</v>
      </c>
      <c r="F392">
        <v>0</v>
      </c>
      <c r="G392" t="s">
        <v>128</v>
      </c>
      <c r="H392" t="s">
        <v>128</v>
      </c>
      <c r="I392" t="s">
        <v>128</v>
      </c>
      <c r="J392" t="s">
        <v>128</v>
      </c>
      <c r="K392" t="s">
        <v>128</v>
      </c>
      <c r="L392" t="s">
        <v>128</v>
      </c>
      <c r="M392" t="s">
        <v>1047</v>
      </c>
      <c r="N392" t="b">
        <v>0</v>
      </c>
    </row>
    <row r="393" spans="1:14">
      <c r="A393">
        <v>17</v>
      </c>
      <c r="B393">
        <v>23</v>
      </c>
      <c r="C393" t="s">
        <v>128</v>
      </c>
      <c r="D393" t="s">
        <v>743</v>
      </c>
      <c r="E393" t="s">
        <v>128</v>
      </c>
      <c r="F393">
        <v>0</v>
      </c>
      <c r="G393" t="s">
        <v>128</v>
      </c>
      <c r="H393" t="s">
        <v>128</v>
      </c>
      <c r="I393" t="s">
        <v>128</v>
      </c>
      <c r="J393" t="s">
        <v>128</v>
      </c>
      <c r="K393" t="s">
        <v>128</v>
      </c>
      <c r="L393" t="s">
        <v>128</v>
      </c>
      <c r="M393" t="s">
        <v>1048</v>
      </c>
      <c r="N393" t="b">
        <v>0</v>
      </c>
    </row>
    <row r="394" spans="1:14">
      <c r="A394">
        <v>17</v>
      </c>
      <c r="B394">
        <v>24</v>
      </c>
      <c r="C394" t="s">
        <v>128</v>
      </c>
      <c r="D394" t="s">
        <v>743</v>
      </c>
      <c r="E394" t="s">
        <v>128</v>
      </c>
      <c r="F394">
        <v>0</v>
      </c>
      <c r="G394" t="s">
        <v>128</v>
      </c>
      <c r="H394" t="s">
        <v>128</v>
      </c>
      <c r="I394" t="s">
        <v>128</v>
      </c>
      <c r="J394" t="s">
        <v>128</v>
      </c>
      <c r="K394" t="s">
        <v>128</v>
      </c>
      <c r="L394" t="s">
        <v>128</v>
      </c>
      <c r="M394" t="s">
        <v>1049</v>
      </c>
      <c r="N394" t="b">
        <v>0</v>
      </c>
    </row>
    <row r="395" spans="1:14">
      <c r="A395">
        <v>17</v>
      </c>
      <c r="B395">
        <v>25</v>
      </c>
      <c r="C395" t="s">
        <v>128</v>
      </c>
      <c r="D395" t="s">
        <v>743</v>
      </c>
      <c r="E395" t="s">
        <v>128</v>
      </c>
      <c r="F395">
        <v>0</v>
      </c>
      <c r="G395" t="s">
        <v>128</v>
      </c>
      <c r="H395" t="s">
        <v>128</v>
      </c>
      <c r="I395" t="s">
        <v>128</v>
      </c>
      <c r="J395" t="s">
        <v>128</v>
      </c>
      <c r="K395" t="s">
        <v>128</v>
      </c>
      <c r="L395" t="s">
        <v>128</v>
      </c>
      <c r="M395" t="s">
        <v>1050</v>
      </c>
      <c r="N395" t="b">
        <v>0</v>
      </c>
    </row>
    <row r="396" spans="1:14">
      <c r="A396">
        <v>17</v>
      </c>
      <c r="B396">
        <v>26</v>
      </c>
      <c r="C396" t="s">
        <v>128</v>
      </c>
      <c r="D396" t="s">
        <v>743</v>
      </c>
      <c r="E396" t="s">
        <v>128</v>
      </c>
      <c r="F396">
        <v>0</v>
      </c>
      <c r="G396" t="s">
        <v>128</v>
      </c>
      <c r="H396" t="s">
        <v>128</v>
      </c>
      <c r="I396" t="s">
        <v>128</v>
      </c>
      <c r="J396" t="s">
        <v>128</v>
      </c>
      <c r="K396" t="s">
        <v>128</v>
      </c>
      <c r="L396" t="s">
        <v>128</v>
      </c>
      <c r="M396" t="s">
        <v>1051</v>
      </c>
      <c r="N396" t="b">
        <v>0</v>
      </c>
    </row>
    <row r="397" spans="1:14">
      <c r="A397">
        <v>18</v>
      </c>
      <c r="B397">
        <v>0</v>
      </c>
      <c r="C397" t="s">
        <v>188</v>
      </c>
      <c r="D397" t="s">
        <v>726</v>
      </c>
      <c r="E397" t="s">
        <v>65</v>
      </c>
      <c r="F397">
        <v>50</v>
      </c>
      <c r="G397" t="s">
        <v>128</v>
      </c>
      <c r="H397" t="s">
        <v>128</v>
      </c>
      <c r="I397" t="s">
        <v>65</v>
      </c>
      <c r="J397" t="s">
        <v>128</v>
      </c>
      <c r="K397" t="s">
        <v>128</v>
      </c>
      <c r="L397" t="s">
        <v>128</v>
      </c>
      <c r="M397" t="s">
        <v>1052</v>
      </c>
      <c r="N397" t="b">
        <v>0</v>
      </c>
    </row>
    <row r="398" spans="1:14">
      <c r="A398">
        <v>18</v>
      </c>
      <c r="B398">
        <v>1</v>
      </c>
      <c r="C398" t="s">
        <v>160</v>
      </c>
      <c r="D398" t="s">
        <v>726</v>
      </c>
      <c r="E398" t="s">
        <v>83</v>
      </c>
      <c r="F398">
        <v>40</v>
      </c>
      <c r="G398" t="s">
        <v>128</v>
      </c>
      <c r="H398" t="s">
        <v>128</v>
      </c>
      <c r="I398" t="s">
        <v>83</v>
      </c>
      <c r="J398" t="s">
        <v>128</v>
      </c>
      <c r="K398" t="s">
        <v>128</v>
      </c>
      <c r="L398" t="s">
        <v>128</v>
      </c>
      <c r="M398" t="s">
        <v>1053</v>
      </c>
      <c r="N398" t="b">
        <v>0</v>
      </c>
    </row>
    <row r="399" spans="1:14">
      <c r="A399">
        <v>18</v>
      </c>
      <c r="B399">
        <v>2</v>
      </c>
      <c r="C399" t="s">
        <v>189</v>
      </c>
      <c r="D399" t="s">
        <v>726</v>
      </c>
      <c r="E399" t="s">
        <v>93</v>
      </c>
      <c r="F399">
        <v>50</v>
      </c>
      <c r="G399" t="s">
        <v>128</v>
      </c>
      <c r="H399" t="s">
        <v>128</v>
      </c>
      <c r="I399" t="s">
        <v>93</v>
      </c>
      <c r="J399" t="s">
        <v>128</v>
      </c>
      <c r="K399" t="s">
        <v>128</v>
      </c>
      <c r="L399" t="s">
        <v>128</v>
      </c>
      <c r="M399" t="s">
        <v>1054</v>
      </c>
      <c r="N399" t="b">
        <v>0</v>
      </c>
    </row>
    <row r="400" spans="1:14">
      <c r="A400">
        <v>18</v>
      </c>
      <c r="B400">
        <v>3</v>
      </c>
      <c r="C400" t="s">
        <v>236</v>
      </c>
      <c r="D400" t="s">
        <v>726</v>
      </c>
      <c r="E400" t="s">
        <v>96</v>
      </c>
      <c r="F400">
        <v>50</v>
      </c>
      <c r="G400" t="s">
        <v>128</v>
      </c>
      <c r="H400" t="s">
        <v>128</v>
      </c>
      <c r="I400" t="s">
        <v>96</v>
      </c>
      <c r="J400" t="s">
        <v>128</v>
      </c>
      <c r="K400" t="s">
        <v>128</v>
      </c>
      <c r="L400" t="s">
        <v>128</v>
      </c>
      <c r="M400" t="s">
        <v>1055</v>
      </c>
      <c r="N400" t="b">
        <v>0</v>
      </c>
    </row>
    <row r="401" spans="1:14">
      <c r="A401">
        <v>18</v>
      </c>
      <c r="B401">
        <v>4</v>
      </c>
      <c r="C401" t="s">
        <v>253</v>
      </c>
      <c r="D401" t="s">
        <v>726</v>
      </c>
      <c r="E401" t="s">
        <v>99</v>
      </c>
      <c r="F401">
        <v>40</v>
      </c>
      <c r="G401" t="s">
        <v>128</v>
      </c>
      <c r="H401" t="s">
        <v>128</v>
      </c>
      <c r="I401" t="s">
        <v>99</v>
      </c>
      <c r="J401" t="s">
        <v>128</v>
      </c>
      <c r="K401" t="s">
        <v>128</v>
      </c>
      <c r="L401" t="s">
        <v>128</v>
      </c>
      <c r="M401" t="s">
        <v>1056</v>
      </c>
      <c r="N401" t="b">
        <v>0</v>
      </c>
    </row>
    <row r="402" spans="1:14">
      <c r="A402">
        <v>18</v>
      </c>
      <c r="B402">
        <v>5</v>
      </c>
      <c r="C402" t="s">
        <v>231</v>
      </c>
      <c r="D402" t="s">
        <v>726</v>
      </c>
      <c r="E402" t="s">
        <v>101</v>
      </c>
      <c r="F402">
        <v>40</v>
      </c>
      <c r="G402" t="s">
        <v>128</v>
      </c>
      <c r="H402" t="s">
        <v>128</v>
      </c>
      <c r="I402" t="s">
        <v>101</v>
      </c>
      <c r="J402" t="s">
        <v>128</v>
      </c>
      <c r="K402" t="s">
        <v>128</v>
      </c>
      <c r="L402" t="s">
        <v>128</v>
      </c>
      <c r="M402" t="s">
        <v>1057</v>
      </c>
      <c r="N402" t="b">
        <v>0</v>
      </c>
    </row>
    <row r="403" spans="1:14">
      <c r="A403">
        <v>18</v>
      </c>
      <c r="B403">
        <v>6</v>
      </c>
      <c r="C403" t="s">
        <v>161</v>
      </c>
      <c r="D403" t="s">
        <v>755</v>
      </c>
      <c r="E403" t="s">
        <v>299</v>
      </c>
      <c r="F403">
        <v>50</v>
      </c>
      <c r="G403" t="s">
        <v>762</v>
      </c>
      <c r="H403" t="s">
        <v>128</v>
      </c>
      <c r="I403" t="s">
        <v>128</v>
      </c>
      <c r="J403" t="s">
        <v>763</v>
      </c>
      <c r="K403" t="s">
        <v>764</v>
      </c>
      <c r="L403" t="s">
        <v>765</v>
      </c>
      <c r="M403" t="s">
        <v>1058</v>
      </c>
      <c r="N403" t="b">
        <v>0</v>
      </c>
    </row>
    <row r="404" spans="1:14">
      <c r="A404">
        <v>18</v>
      </c>
      <c r="B404">
        <v>7</v>
      </c>
      <c r="C404" t="s">
        <v>162</v>
      </c>
      <c r="D404" t="s">
        <v>755</v>
      </c>
      <c r="E404" t="s">
        <v>299</v>
      </c>
      <c r="F404">
        <v>40</v>
      </c>
      <c r="G404" t="s">
        <v>762</v>
      </c>
      <c r="H404" t="s">
        <v>128</v>
      </c>
      <c r="I404" t="s">
        <v>128</v>
      </c>
      <c r="J404" t="s">
        <v>763</v>
      </c>
      <c r="K404" t="s">
        <v>767</v>
      </c>
      <c r="L404" t="s">
        <v>768</v>
      </c>
      <c r="M404" t="s">
        <v>1059</v>
      </c>
      <c r="N404" t="b">
        <v>0</v>
      </c>
    </row>
    <row r="405" spans="1:14">
      <c r="A405">
        <v>18</v>
      </c>
      <c r="B405">
        <v>8</v>
      </c>
      <c r="C405" t="s">
        <v>193</v>
      </c>
      <c r="D405" t="s">
        <v>726</v>
      </c>
      <c r="E405" t="s">
        <v>115</v>
      </c>
      <c r="F405">
        <v>60</v>
      </c>
      <c r="G405" t="s">
        <v>128</v>
      </c>
      <c r="H405" t="s">
        <v>128</v>
      </c>
      <c r="I405" t="s">
        <v>115</v>
      </c>
      <c r="J405" t="s">
        <v>128</v>
      </c>
      <c r="K405" t="s">
        <v>128</v>
      </c>
      <c r="L405" t="s">
        <v>128</v>
      </c>
      <c r="M405" t="s">
        <v>1060</v>
      </c>
      <c r="N405" t="b">
        <v>0</v>
      </c>
    </row>
    <row r="406" spans="1:14">
      <c r="A406">
        <v>18</v>
      </c>
      <c r="B406">
        <v>9</v>
      </c>
      <c r="C406" t="s">
        <v>254</v>
      </c>
      <c r="D406" t="s">
        <v>726</v>
      </c>
      <c r="E406" t="s">
        <v>78</v>
      </c>
      <c r="F406">
        <v>60</v>
      </c>
      <c r="G406" t="s">
        <v>128</v>
      </c>
      <c r="H406" t="s">
        <v>128</v>
      </c>
      <c r="I406" t="s">
        <v>78</v>
      </c>
      <c r="J406" t="s">
        <v>128</v>
      </c>
      <c r="K406" t="s">
        <v>128</v>
      </c>
      <c r="L406" t="s">
        <v>128</v>
      </c>
      <c r="M406" t="s">
        <v>1061</v>
      </c>
      <c r="N406" t="b">
        <v>0</v>
      </c>
    </row>
    <row r="407" spans="1:14">
      <c r="A407">
        <v>18</v>
      </c>
      <c r="B407">
        <v>10</v>
      </c>
      <c r="C407" t="s">
        <v>179</v>
      </c>
      <c r="D407" t="s">
        <v>726</v>
      </c>
      <c r="E407" t="s">
        <v>100</v>
      </c>
      <c r="F407">
        <v>40</v>
      </c>
      <c r="G407" t="s">
        <v>128</v>
      </c>
      <c r="H407" t="s">
        <v>128</v>
      </c>
      <c r="I407" t="s">
        <v>100</v>
      </c>
      <c r="J407" t="s">
        <v>128</v>
      </c>
      <c r="K407" t="s">
        <v>128</v>
      </c>
      <c r="L407" t="s">
        <v>128</v>
      </c>
      <c r="M407" t="s">
        <v>1062</v>
      </c>
      <c r="N407" t="b">
        <v>0</v>
      </c>
    </row>
    <row r="408" spans="1:14">
      <c r="A408">
        <v>18</v>
      </c>
      <c r="B408">
        <v>11</v>
      </c>
      <c r="C408" t="s">
        <v>224</v>
      </c>
      <c r="D408" t="s">
        <v>726</v>
      </c>
      <c r="E408" t="s">
        <v>102</v>
      </c>
      <c r="F408">
        <v>50</v>
      </c>
      <c r="G408" t="s">
        <v>128</v>
      </c>
      <c r="H408" t="s">
        <v>128</v>
      </c>
      <c r="I408" t="s">
        <v>102</v>
      </c>
      <c r="J408" t="s">
        <v>128</v>
      </c>
      <c r="K408" t="s">
        <v>128</v>
      </c>
      <c r="L408" t="s">
        <v>128</v>
      </c>
      <c r="M408" t="s">
        <v>1063</v>
      </c>
      <c r="N408" t="b">
        <v>0</v>
      </c>
    </row>
    <row r="409" spans="1:14">
      <c r="A409">
        <v>18</v>
      </c>
      <c r="B409">
        <v>12</v>
      </c>
      <c r="C409" t="s">
        <v>234</v>
      </c>
      <c r="D409" t="s">
        <v>726</v>
      </c>
      <c r="E409" t="s">
        <v>108</v>
      </c>
      <c r="F409">
        <v>50</v>
      </c>
      <c r="G409" t="s">
        <v>128</v>
      </c>
      <c r="H409" t="s">
        <v>128</v>
      </c>
      <c r="I409" t="s">
        <v>108</v>
      </c>
      <c r="J409" t="s">
        <v>128</v>
      </c>
      <c r="K409" t="s">
        <v>128</v>
      </c>
      <c r="L409" t="s">
        <v>128</v>
      </c>
      <c r="M409" t="s">
        <v>1064</v>
      </c>
      <c r="N409" t="b">
        <v>0</v>
      </c>
    </row>
    <row r="410" spans="1:14">
      <c r="A410">
        <v>18</v>
      </c>
      <c r="B410">
        <v>13</v>
      </c>
      <c r="C410" t="s">
        <v>128</v>
      </c>
      <c r="D410" t="s">
        <v>726</v>
      </c>
      <c r="E410" t="s">
        <v>128</v>
      </c>
      <c r="F410">
        <v>0</v>
      </c>
      <c r="G410" t="s">
        <v>128</v>
      </c>
      <c r="H410" t="s">
        <v>128</v>
      </c>
      <c r="I410" t="s">
        <v>128</v>
      </c>
      <c r="J410" t="s">
        <v>128</v>
      </c>
      <c r="K410" t="s">
        <v>128</v>
      </c>
      <c r="L410" t="s">
        <v>128</v>
      </c>
      <c r="M410" t="s">
        <v>1065</v>
      </c>
      <c r="N410" t="b">
        <v>0</v>
      </c>
    </row>
    <row r="411" spans="1:14">
      <c r="A411">
        <v>18</v>
      </c>
      <c r="B411">
        <v>14</v>
      </c>
      <c r="C411" t="s">
        <v>128</v>
      </c>
      <c r="D411" t="s">
        <v>726</v>
      </c>
      <c r="E411" t="s">
        <v>128</v>
      </c>
      <c r="F411">
        <v>0</v>
      </c>
      <c r="G411" t="s">
        <v>128</v>
      </c>
      <c r="H411" t="s">
        <v>128</v>
      </c>
      <c r="I411" t="s">
        <v>128</v>
      </c>
      <c r="J411" t="s">
        <v>128</v>
      </c>
      <c r="K411" t="s">
        <v>128</v>
      </c>
      <c r="L411" t="s">
        <v>128</v>
      </c>
      <c r="M411" t="s">
        <v>1066</v>
      </c>
      <c r="N411" t="b">
        <v>0</v>
      </c>
    </row>
    <row r="412" spans="1:14">
      <c r="A412">
        <v>18</v>
      </c>
      <c r="B412">
        <v>15</v>
      </c>
      <c r="C412" t="s">
        <v>128</v>
      </c>
      <c r="D412" t="s">
        <v>726</v>
      </c>
      <c r="E412" t="s">
        <v>128</v>
      </c>
      <c r="F412">
        <v>0</v>
      </c>
      <c r="G412" t="s">
        <v>128</v>
      </c>
      <c r="H412" t="s">
        <v>128</v>
      </c>
      <c r="I412" t="s">
        <v>128</v>
      </c>
      <c r="J412" t="s">
        <v>128</v>
      </c>
      <c r="K412" t="s">
        <v>128</v>
      </c>
      <c r="L412" t="s">
        <v>128</v>
      </c>
      <c r="M412" t="s">
        <v>1067</v>
      </c>
      <c r="N412" t="b">
        <v>0</v>
      </c>
    </row>
    <row r="413" spans="1:14">
      <c r="A413">
        <v>18</v>
      </c>
      <c r="B413">
        <v>16</v>
      </c>
      <c r="C413" t="s">
        <v>128</v>
      </c>
      <c r="D413" t="s">
        <v>743</v>
      </c>
      <c r="E413" t="s">
        <v>128</v>
      </c>
      <c r="F413">
        <v>0</v>
      </c>
      <c r="G413" t="s">
        <v>128</v>
      </c>
      <c r="H413" t="s">
        <v>128</v>
      </c>
      <c r="I413" t="s">
        <v>128</v>
      </c>
      <c r="J413" t="s">
        <v>128</v>
      </c>
      <c r="K413" t="s">
        <v>128</v>
      </c>
      <c r="L413" t="s">
        <v>128</v>
      </c>
      <c r="M413" t="s">
        <v>1068</v>
      </c>
      <c r="N413" t="b">
        <v>0</v>
      </c>
    </row>
    <row r="414" spans="1:14">
      <c r="A414">
        <v>18</v>
      </c>
      <c r="B414">
        <v>17</v>
      </c>
      <c r="C414" t="s">
        <v>128</v>
      </c>
      <c r="D414" t="s">
        <v>743</v>
      </c>
      <c r="E414" t="s">
        <v>128</v>
      </c>
      <c r="F414">
        <v>0</v>
      </c>
      <c r="G414" t="s">
        <v>128</v>
      </c>
      <c r="H414" t="s">
        <v>128</v>
      </c>
      <c r="I414" t="s">
        <v>128</v>
      </c>
      <c r="J414" t="s">
        <v>128</v>
      </c>
      <c r="K414" t="s">
        <v>128</v>
      </c>
      <c r="L414" t="s">
        <v>128</v>
      </c>
      <c r="M414" t="s">
        <v>679</v>
      </c>
      <c r="N414" t="b">
        <v>0</v>
      </c>
    </row>
    <row r="415" spans="1:14">
      <c r="A415">
        <v>18</v>
      </c>
      <c r="B415">
        <v>18</v>
      </c>
      <c r="C415" t="s">
        <v>128</v>
      </c>
      <c r="D415" t="s">
        <v>743</v>
      </c>
      <c r="E415" t="s">
        <v>128</v>
      </c>
      <c r="F415">
        <v>0</v>
      </c>
      <c r="G415" t="s">
        <v>128</v>
      </c>
      <c r="H415" t="s">
        <v>128</v>
      </c>
      <c r="I415" t="s">
        <v>128</v>
      </c>
      <c r="J415" t="s">
        <v>128</v>
      </c>
      <c r="K415" t="s">
        <v>128</v>
      </c>
      <c r="L415" t="s">
        <v>128</v>
      </c>
      <c r="M415" t="s">
        <v>1069</v>
      </c>
      <c r="N415" t="b">
        <v>0</v>
      </c>
    </row>
    <row r="416" spans="1:14">
      <c r="A416">
        <v>18</v>
      </c>
      <c r="B416">
        <v>19</v>
      </c>
      <c r="C416" t="s">
        <v>128</v>
      </c>
      <c r="D416" t="s">
        <v>743</v>
      </c>
      <c r="E416" t="s">
        <v>128</v>
      </c>
      <c r="F416">
        <v>0</v>
      </c>
      <c r="G416" t="s">
        <v>128</v>
      </c>
      <c r="H416" t="s">
        <v>128</v>
      </c>
      <c r="I416" t="s">
        <v>128</v>
      </c>
      <c r="J416" t="s">
        <v>128</v>
      </c>
      <c r="K416" t="s">
        <v>128</v>
      </c>
      <c r="L416" t="s">
        <v>128</v>
      </c>
      <c r="M416" t="s">
        <v>1070</v>
      </c>
      <c r="N416" t="b">
        <v>0</v>
      </c>
    </row>
    <row r="417" spans="1:14">
      <c r="A417">
        <v>18</v>
      </c>
      <c r="B417">
        <v>20</v>
      </c>
      <c r="C417" t="s">
        <v>128</v>
      </c>
      <c r="D417" t="s">
        <v>743</v>
      </c>
      <c r="E417" t="s">
        <v>128</v>
      </c>
      <c r="F417">
        <v>0</v>
      </c>
      <c r="G417" t="s">
        <v>128</v>
      </c>
      <c r="H417" t="s">
        <v>128</v>
      </c>
      <c r="I417" t="s">
        <v>128</v>
      </c>
      <c r="J417" t="s">
        <v>128</v>
      </c>
      <c r="K417" t="s">
        <v>128</v>
      </c>
      <c r="L417" t="s">
        <v>128</v>
      </c>
      <c r="M417" t="s">
        <v>1071</v>
      </c>
      <c r="N417" t="b">
        <v>0</v>
      </c>
    </row>
    <row r="418" spans="1:14">
      <c r="A418">
        <v>18</v>
      </c>
      <c r="B418">
        <v>21</v>
      </c>
      <c r="C418" t="s">
        <v>128</v>
      </c>
      <c r="D418" t="s">
        <v>743</v>
      </c>
      <c r="E418" t="s">
        <v>128</v>
      </c>
      <c r="F418">
        <v>0</v>
      </c>
      <c r="G418" t="s">
        <v>128</v>
      </c>
      <c r="H418" t="s">
        <v>128</v>
      </c>
      <c r="I418" t="s">
        <v>128</v>
      </c>
      <c r="J418" t="s">
        <v>128</v>
      </c>
      <c r="K418" t="s">
        <v>128</v>
      </c>
      <c r="L418" t="s">
        <v>128</v>
      </c>
      <c r="M418" t="s">
        <v>1072</v>
      </c>
      <c r="N418" t="b">
        <v>0</v>
      </c>
    </row>
    <row r="419" spans="1:14">
      <c r="A419">
        <v>18</v>
      </c>
      <c r="B419">
        <v>22</v>
      </c>
      <c r="C419" t="s">
        <v>128</v>
      </c>
      <c r="D419" t="s">
        <v>743</v>
      </c>
      <c r="E419" t="s">
        <v>128</v>
      </c>
      <c r="F419">
        <v>0</v>
      </c>
      <c r="G419" t="s">
        <v>128</v>
      </c>
      <c r="H419" t="s">
        <v>128</v>
      </c>
      <c r="I419" t="s">
        <v>128</v>
      </c>
      <c r="J419" t="s">
        <v>128</v>
      </c>
      <c r="K419" t="s">
        <v>128</v>
      </c>
      <c r="L419" t="s">
        <v>128</v>
      </c>
      <c r="M419" t="s">
        <v>1073</v>
      </c>
      <c r="N419" t="b">
        <v>0</v>
      </c>
    </row>
    <row r="420" spans="1:14">
      <c r="A420">
        <v>18</v>
      </c>
      <c r="B420">
        <v>23</v>
      </c>
      <c r="C420" t="s">
        <v>128</v>
      </c>
      <c r="D420" t="s">
        <v>743</v>
      </c>
      <c r="E420" t="s">
        <v>128</v>
      </c>
      <c r="F420">
        <v>0</v>
      </c>
      <c r="G420" t="s">
        <v>128</v>
      </c>
      <c r="H420" t="s">
        <v>128</v>
      </c>
      <c r="I420" t="s">
        <v>128</v>
      </c>
      <c r="J420" t="s">
        <v>128</v>
      </c>
      <c r="K420" t="s">
        <v>128</v>
      </c>
      <c r="L420" t="s">
        <v>128</v>
      </c>
      <c r="M420" t="s">
        <v>1074</v>
      </c>
      <c r="N420" t="b">
        <v>0</v>
      </c>
    </row>
    <row r="421" spans="1:14">
      <c r="A421">
        <v>18</v>
      </c>
      <c r="B421">
        <v>24</v>
      </c>
      <c r="C421" t="s">
        <v>128</v>
      </c>
      <c r="D421" t="s">
        <v>743</v>
      </c>
      <c r="E421" t="s">
        <v>128</v>
      </c>
      <c r="F421">
        <v>0</v>
      </c>
      <c r="G421" t="s">
        <v>128</v>
      </c>
      <c r="H421" t="s">
        <v>128</v>
      </c>
      <c r="I421" t="s">
        <v>128</v>
      </c>
      <c r="J421" t="s">
        <v>128</v>
      </c>
      <c r="K421" t="s">
        <v>128</v>
      </c>
      <c r="L421" t="s">
        <v>128</v>
      </c>
      <c r="M421" t="s">
        <v>1075</v>
      </c>
      <c r="N421" t="b">
        <v>0</v>
      </c>
    </row>
    <row r="422" spans="1:14">
      <c r="A422">
        <v>18</v>
      </c>
      <c r="B422">
        <v>25</v>
      </c>
      <c r="C422" t="s">
        <v>128</v>
      </c>
      <c r="D422" t="s">
        <v>743</v>
      </c>
      <c r="E422" t="s">
        <v>128</v>
      </c>
      <c r="F422">
        <v>0</v>
      </c>
      <c r="G422" t="s">
        <v>128</v>
      </c>
      <c r="H422" t="s">
        <v>128</v>
      </c>
      <c r="I422" t="s">
        <v>128</v>
      </c>
      <c r="J422" t="s">
        <v>128</v>
      </c>
      <c r="K422" t="s">
        <v>128</v>
      </c>
      <c r="L422" t="s">
        <v>128</v>
      </c>
      <c r="M422" t="s">
        <v>1076</v>
      </c>
      <c r="N422" t="b">
        <v>0</v>
      </c>
    </row>
    <row r="423" spans="1:14">
      <c r="A423">
        <v>18</v>
      </c>
      <c r="B423">
        <v>26</v>
      </c>
      <c r="C423" t="s">
        <v>128</v>
      </c>
      <c r="D423" t="s">
        <v>743</v>
      </c>
      <c r="E423" t="s">
        <v>128</v>
      </c>
      <c r="F423">
        <v>0</v>
      </c>
      <c r="G423" t="s">
        <v>128</v>
      </c>
      <c r="H423" t="s">
        <v>128</v>
      </c>
      <c r="I423" t="s">
        <v>128</v>
      </c>
      <c r="J423" t="s">
        <v>128</v>
      </c>
      <c r="K423" t="s">
        <v>128</v>
      </c>
      <c r="L423" t="s">
        <v>128</v>
      </c>
      <c r="M423" t="s">
        <v>1077</v>
      </c>
      <c r="N423" t="b">
        <v>0</v>
      </c>
    </row>
    <row r="424" spans="1:14">
      <c r="A424">
        <v>19</v>
      </c>
      <c r="B424">
        <v>0</v>
      </c>
      <c r="C424" t="s">
        <v>180</v>
      </c>
      <c r="D424" t="s">
        <v>726</v>
      </c>
      <c r="E424" t="s">
        <v>60</v>
      </c>
      <c r="F424">
        <v>50</v>
      </c>
      <c r="G424" t="s">
        <v>128</v>
      </c>
      <c r="H424" t="s">
        <v>128</v>
      </c>
      <c r="I424" t="s">
        <v>60</v>
      </c>
      <c r="J424" t="s">
        <v>128</v>
      </c>
      <c r="K424" t="s">
        <v>128</v>
      </c>
      <c r="L424" t="s">
        <v>128</v>
      </c>
      <c r="M424" t="s">
        <v>1078</v>
      </c>
      <c r="N424" t="b">
        <v>0</v>
      </c>
    </row>
    <row r="425" spans="1:14">
      <c r="A425">
        <v>19</v>
      </c>
      <c r="B425">
        <v>1</v>
      </c>
      <c r="C425" t="s">
        <v>181</v>
      </c>
      <c r="D425" t="s">
        <v>726</v>
      </c>
      <c r="E425" t="s">
        <v>83</v>
      </c>
      <c r="F425">
        <v>50</v>
      </c>
      <c r="G425" t="s">
        <v>128</v>
      </c>
      <c r="H425" t="s">
        <v>128</v>
      </c>
      <c r="I425" t="s">
        <v>83</v>
      </c>
      <c r="J425" t="s">
        <v>128</v>
      </c>
      <c r="K425" t="s">
        <v>128</v>
      </c>
      <c r="L425" t="s">
        <v>128</v>
      </c>
      <c r="M425" t="s">
        <v>1079</v>
      </c>
      <c r="N425" t="b">
        <v>0</v>
      </c>
    </row>
    <row r="426" spans="1:14">
      <c r="A426">
        <v>19</v>
      </c>
      <c r="B426">
        <v>2</v>
      </c>
      <c r="C426" t="s">
        <v>256</v>
      </c>
      <c r="D426" t="s">
        <v>726</v>
      </c>
      <c r="E426" t="s">
        <v>115</v>
      </c>
      <c r="F426">
        <v>40</v>
      </c>
      <c r="G426" t="s">
        <v>128</v>
      </c>
      <c r="H426" t="s">
        <v>128</v>
      </c>
      <c r="I426" t="s">
        <v>115</v>
      </c>
      <c r="J426" t="s">
        <v>128</v>
      </c>
      <c r="K426" t="s">
        <v>128</v>
      </c>
      <c r="L426" t="s">
        <v>128</v>
      </c>
      <c r="M426" t="s">
        <v>1080</v>
      </c>
      <c r="N426" t="b">
        <v>0</v>
      </c>
    </row>
    <row r="427" spans="1:14">
      <c r="A427">
        <v>19</v>
      </c>
      <c r="B427">
        <v>3</v>
      </c>
      <c r="C427" t="s">
        <v>254</v>
      </c>
      <c r="D427" t="s">
        <v>726</v>
      </c>
      <c r="E427" t="s">
        <v>78</v>
      </c>
      <c r="F427">
        <v>60</v>
      </c>
      <c r="G427" t="s">
        <v>128</v>
      </c>
      <c r="H427" t="s">
        <v>128</v>
      </c>
      <c r="I427" t="s">
        <v>78</v>
      </c>
      <c r="J427" t="s">
        <v>128</v>
      </c>
      <c r="K427" t="s">
        <v>128</v>
      </c>
      <c r="L427" t="s">
        <v>128</v>
      </c>
      <c r="M427" t="s">
        <v>1081</v>
      </c>
      <c r="N427" t="b">
        <v>0</v>
      </c>
    </row>
    <row r="428" spans="1:14">
      <c r="A428">
        <v>19</v>
      </c>
      <c r="B428">
        <v>4</v>
      </c>
      <c r="C428" t="s">
        <v>128</v>
      </c>
      <c r="D428" t="s">
        <v>726</v>
      </c>
      <c r="E428" t="s">
        <v>128</v>
      </c>
      <c r="F428">
        <v>0</v>
      </c>
      <c r="G428" t="s">
        <v>128</v>
      </c>
      <c r="H428" t="s">
        <v>128</v>
      </c>
      <c r="I428" t="s">
        <v>128</v>
      </c>
      <c r="J428" t="s">
        <v>128</v>
      </c>
      <c r="K428" t="s">
        <v>128</v>
      </c>
      <c r="L428" t="s">
        <v>128</v>
      </c>
      <c r="M428" t="s">
        <v>1082</v>
      </c>
      <c r="N428" t="b">
        <v>0</v>
      </c>
    </row>
    <row r="429" spans="1:14">
      <c r="A429">
        <v>19</v>
      </c>
      <c r="B429">
        <v>5</v>
      </c>
      <c r="C429" t="s">
        <v>128</v>
      </c>
      <c r="D429" t="s">
        <v>726</v>
      </c>
      <c r="E429" t="s">
        <v>128</v>
      </c>
      <c r="F429">
        <v>0</v>
      </c>
      <c r="G429" t="s">
        <v>128</v>
      </c>
      <c r="H429" t="s">
        <v>128</v>
      </c>
      <c r="I429" t="s">
        <v>128</v>
      </c>
      <c r="J429" t="s">
        <v>128</v>
      </c>
      <c r="K429" t="s">
        <v>128</v>
      </c>
      <c r="L429" t="s">
        <v>128</v>
      </c>
      <c r="M429" t="s">
        <v>1083</v>
      </c>
      <c r="N429" t="b">
        <v>0</v>
      </c>
    </row>
    <row r="430" spans="1:14">
      <c r="A430">
        <v>19</v>
      </c>
      <c r="B430">
        <v>6</v>
      </c>
      <c r="C430" t="s">
        <v>128</v>
      </c>
      <c r="D430" t="s">
        <v>726</v>
      </c>
      <c r="E430" t="s">
        <v>128</v>
      </c>
      <c r="F430">
        <v>0</v>
      </c>
      <c r="G430" t="s">
        <v>128</v>
      </c>
      <c r="H430" t="s">
        <v>128</v>
      </c>
      <c r="I430" t="s">
        <v>128</v>
      </c>
      <c r="J430" t="s">
        <v>128</v>
      </c>
      <c r="K430" t="s">
        <v>128</v>
      </c>
      <c r="L430" t="s">
        <v>128</v>
      </c>
      <c r="M430" t="s">
        <v>1084</v>
      </c>
      <c r="N430" t="b">
        <v>0</v>
      </c>
    </row>
    <row r="431" spans="1:14">
      <c r="A431">
        <v>19</v>
      </c>
      <c r="B431">
        <v>7</v>
      </c>
      <c r="C431" t="s">
        <v>128</v>
      </c>
      <c r="D431" t="s">
        <v>726</v>
      </c>
      <c r="E431" t="s">
        <v>128</v>
      </c>
      <c r="F431">
        <v>0</v>
      </c>
      <c r="G431" t="s">
        <v>128</v>
      </c>
      <c r="H431" t="s">
        <v>128</v>
      </c>
      <c r="I431" t="s">
        <v>128</v>
      </c>
      <c r="J431" t="s">
        <v>128</v>
      </c>
      <c r="K431" t="s">
        <v>128</v>
      </c>
      <c r="L431" t="s">
        <v>128</v>
      </c>
      <c r="M431" t="s">
        <v>1085</v>
      </c>
      <c r="N431" t="b">
        <v>0</v>
      </c>
    </row>
    <row r="432" spans="1:14">
      <c r="A432">
        <v>19</v>
      </c>
      <c r="B432">
        <v>8</v>
      </c>
      <c r="C432" t="s">
        <v>128</v>
      </c>
      <c r="D432" t="s">
        <v>726</v>
      </c>
      <c r="E432" t="s">
        <v>128</v>
      </c>
      <c r="F432">
        <v>0</v>
      </c>
      <c r="G432" t="s">
        <v>128</v>
      </c>
      <c r="H432" t="s">
        <v>128</v>
      </c>
      <c r="I432" t="s">
        <v>128</v>
      </c>
      <c r="J432" t="s">
        <v>128</v>
      </c>
      <c r="K432" t="s">
        <v>128</v>
      </c>
      <c r="L432" t="s">
        <v>128</v>
      </c>
      <c r="M432" t="s">
        <v>1086</v>
      </c>
      <c r="N432" t="b">
        <v>0</v>
      </c>
    </row>
    <row r="433" spans="1:14">
      <c r="A433">
        <v>19</v>
      </c>
      <c r="B433">
        <v>9</v>
      </c>
      <c r="C433" t="s">
        <v>128</v>
      </c>
      <c r="D433" t="s">
        <v>726</v>
      </c>
      <c r="E433" t="s">
        <v>128</v>
      </c>
      <c r="F433">
        <v>0</v>
      </c>
      <c r="G433" t="s">
        <v>128</v>
      </c>
      <c r="H433" t="s">
        <v>128</v>
      </c>
      <c r="I433" t="s">
        <v>128</v>
      </c>
      <c r="J433" t="s">
        <v>128</v>
      </c>
      <c r="K433" t="s">
        <v>128</v>
      </c>
      <c r="L433" t="s">
        <v>128</v>
      </c>
      <c r="M433" t="s">
        <v>1087</v>
      </c>
      <c r="N433" t="b">
        <v>0</v>
      </c>
    </row>
    <row r="434" spans="1:14">
      <c r="A434">
        <v>19</v>
      </c>
      <c r="B434">
        <v>10</v>
      </c>
      <c r="C434" t="s">
        <v>128</v>
      </c>
      <c r="D434" t="s">
        <v>726</v>
      </c>
      <c r="E434" t="s">
        <v>128</v>
      </c>
      <c r="F434">
        <v>0</v>
      </c>
      <c r="G434" t="s">
        <v>128</v>
      </c>
      <c r="H434" t="s">
        <v>128</v>
      </c>
      <c r="I434" t="s">
        <v>128</v>
      </c>
      <c r="J434" t="s">
        <v>128</v>
      </c>
      <c r="K434" t="s">
        <v>128</v>
      </c>
      <c r="L434" t="s">
        <v>128</v>
      </c>
      <c r="M434" t="s">
        <v>1088</v>
      </c>
      <c r="N434" t="b">
        <v>0</v>
      </c>
    </row>
    <row r="435" spans="1:14">
      <c r="A435">
        <v>19</v>
      </c>
      <c r="B435">
        <v>11</v>
      </c>
      <c r="C435" t="s">
        <v>128</v>
      </c>
      <c r="D435" t="s">
        <v>726</v>
      </c>
      <c r="E435" t="s">
        <v>128</v>
      </c>
      <c r="F435">
        <v>0</v>
      </c>
      <c r="G435" t="s">
        <v>128</v>
      </c>
      <c r="H435" t="s">
        <v>128</v>
      </c>
      <c r="I435" t="s">
        <v>128</v>
      </c>
      <c r="J435" t="s">
        <v>128</v>
      </c>
      <c r="K435" t="s">
        <v>128</v>
      </c>
      <c r="L435" t="s">
        <v>128</v>
      </c>
      <c r="M435" t="s">
        <v>1089</v>
      </c>
      <c r="N435" t="b">
        <v>0</v>
      </c>
    </row>
    <row r="436" spans="1:14">
      <c r="A436">
        <v>19</v>
      </c>
      <c r="B436">
        <v>12</v>
      </c>
      <c r="C436" t="s">
        <v>128</v>
      </c>
      <c r="D436" t="s">
        <v>726</v>
      </c>
      <c r="E436" t="s">
        <v>128</v>
      </c>
      <c r="F436">
        <v>0</v>
      </c>
      <c r="G436" t="s">
        <v>128</v>
      </c>
      <c r="H436" t="s">
        <v>128</v>
      </c>
      <c r="I436" t="s">
        <v>128</v>
      </c>
      <c r="J436" t="s">
        <v>128</v>
      </c>
      <c r="K436" t="s">
        <v>128</v>
      </c>
      <c r="L436" t="s">
        <v>128</v>
      </c>
      <c r="M436" t="s">
        <v>1090</v>
      </c>
      <c r="N436" t="b">
        <v>0</v>
      </c>
    </row>
    <row r="437" spans="1:14">
      <c r="A437">
        <v>19</v>
      </c>
      <c r="B437">
        <v>13</v>
      </c>
      <c r="C437" t="s">
        <v>128</v>
      </c>
      <c r="D437" t="s">
        <v>726</v>
      </c>
      <c r="E437" t="s">
        <v>128</v>
      </c>
      <c r="F437">
        <v>0</v>
      </c>
      <c r="G437" t="s">
        <v>128</v>
      </c>
      <c r="H437" t="s">
        <v>128</v>
      </c>
      <c r="I437" t="s">
        <v>128</v>
      </c>
      <c r="J437" t="s">
        <v>128</v>
      </c>
      <c r="K437" t="s">
        <v>128</v>
      </c>
      <c r="L437" t="s">
        <v>128</v>
      </c>
      <c r="M437" t="s">
        <v>1091</v>
      </c>
      <c r="N437" t="b">
        <v>0</v>
      </c>
    </row>
    <row r="438" spans="1:14">
      <c r="A438">
        <v>19</v>
      </c>
      <c r="B438">
        <v>14</v>
      </c>
      <c r="C438" t="s">
        <v>128</v>
      </c>
      <c r="D438" t="s">
        <v>726</v>
      </c>
      <c r="E438" t="s">
        <v>128</v>
      </c>
      <c r="F438">
        <v>0</v>
      </c>
      <c r="G438" t="s">
        <v>128</v>
      </c>
      <c r="H438" t="s">
        <v>128</v>
      </c>
      <c r="I438" t="s">
        <v>128</v>
      </c>
      <c r="J438" t="s">
        <v>128</v>
      </c>
      <c r="K438" t="s">
        <v>128</v>
      </c>
      <c r="L438" t="s">
        <v>128</v>
      </c>
      <c r="M438" t="s">
        <v>1092</v>
      </c>
      <c r="N438" t="b">
        <v>0</v>
      </c>
    </row>
    <row r="439" spans="1:14">
      <c r="A439">
        <v>19</v>
      </c>
      <c r="B439">
        <v>15</v>
      </c>
      <c r="C439" t="s">
        <v>128</v>
      </c>
      <c r="D439" t="s">
        <v>726</v>
      </c>
      <c r="E439" t="s">
        <v>128</v>
      </c>
      <c r="F439">
        <v>0</v>
      </c>
      <c r="G439" t="s">
        <v>128</v>
      </c>
      <c r="H439" t="s">
        <v>128</v>
      </c>
      <c r="I439" t="s">
        <v>128</v>
      </c>
      <c r="J439" t="s">
        <v>128</v>
      </c>
      <c r="K439" t="s">
        <v>128</v>
      </c>
      <c r="L439" t="s">
        <v>128</v>
      </c>
      <c r="M439" t="s">
        <v>1093</v>
      </c>
      <c r="N439" t="b">
        <v>0</v>
      </c>
    </row>
    <row r="440" spans="1:14">
      <c r="A440">
        <v>19</v>
      </c>
      <c r="B440">
        <v>16</v>
      </c>
      <c r="C440" t="s">
        <v>199</v>
      </c>
      <c r="D440" t="s">
        <v>743</v>
      </c>
      <c r="E440" t="s">
        <v>87</v>
      </c>
      <c r="F440">
        <v>50</v>
      </c>
      <c r="G440" t="s">
        <v>128</v>
      </c>
      <c r="H440" t="s">
        <v>128</v>
      </c>
      <c r="I440" t="s">
        <v>87</v>
      </c>
      <c r="J440" t="s">
        <v>128</v>
      </c>
      <c r="K440" t="s">
        <v>128</v>
      </c>
      <c r="L440" t="s">
        <v>128</v>
      </c>
      <c r="M440" t="s">
        <v>1094</v>
      </c>
      <c r="N440" t="b">
        <v>0</v>
      </c>
    </row>
    <row r="441" spans="1:14">
      <c r="A441">
        <v>19</v>
      </c>
      <c r="B441">
        <v>17</v>
      </c>
      <c r="C441" t="s">
        <v>229</v>
      </c>
      <c r="D441" t="s">
        <v>743</v>
      </c>
      <c r="E441" t="s">
        <v>93</v>
      </c>
      <c r="F441">
        <v>60</v>
      </c>
      <c r="G441" t="s">
        <v>128</v>
      </c>
      <c r="H441" t="s">
        <v>128</v>
      </c>
      <c r="I441" t="s">
        <v>93</v>
      </c>
      <c r="J441" t="s">
        <v>128</v>
      </c>
      <c r="K441" t="s">
        <v>128</v>
      </c>
      <c r="L441" t="s">
        <v>128</v>
      </c>
      <c r="M441" t="s">
        <v>681</v>
      </c>
      <c r="N441" t="b">
        <v>0</v>
      </c>
    </row>
    <row r="442" spans="1:14">
      <c r="A442">
        <v>19</v>
      </c>
      <c r="B442">
        <v>18</v>
      </c>
      <c r="C442" t="s">
        <v>161</v>
      </c>
      <c r="D442" t="s">
        <v>743</v>
      </c>
      <c r="E442" t="s">
        <v>299</v>
      </c>
      <c r="F442">
        <v>50</v>
      </c>
      <c r="G442" t="s">
        <v>762</v>
      </c>
      <c r="H442" t="s">
        <v>128</v>
      </c>
      <c r="I442" t="s">
        <v>128</v>
      </c>
      <c r="J442" t="s">
        <v>763</v>
      </c>
      <c r="K442" t="s">
        <v>764</v>
      </c>
      <c r="L442" t="s">
        <v>765</v>
      </c>
      <c r="M442" t="s">
        <v>1095</v>
      </c>
      <c r="N442" t="b">
        <v>0</v>
      </c>
    </row>
    <row r="443" spans="1:14">
      <c r="A443">
        <v>19</v>
      </c>
      <c r="B443">
        <v>19</v>
      </c>
      <c r="C443" t="s">
        <v>257</v>
      </c>
      <c r="D443" t="s">
        <v>743</v>
      </c>
      <c r="E443" t="s">
        <v>61</v>
      </c>
      <c r="F443">
        <v>50</v>
      </c>
      <c r="G443" t="s">
        <v>128</v>
      </c>
      <c r="H443" t="s">
        <v>128</v>
      </c>
      <c r="I443" t="s">
        <v>61</v>
      </c>
      <c r="J443" t="s">
        <v>128</v>
      </c>
      <c r="K443" t="s">
        <v>128</v>
      </c>
      <c r="L443" t="s">
        <v>128</v>
      </c>
      <c r="M443" t="s">
        <v>1096</v>
      </c>
      <c r="N443" t="b">
        <v>0</v>
      </c>
    </row>
    <row r="444" spans="1:14">
      <c r="A444">
        <v>19</v>
      </c>
      <c r="B444">
        <v>20</v>
      </c>
      <c r="C444" t="s">
        <v>201</v>
      </c>
      <c r="D444" t="s">
        <v>743</v>
      </c>
      <c r="E444" t="s">
        <v>84</v>
      </c>
      <c r="F444">
        <v>50</v>
      </c>
      <c r="G444" t="s">
        <v>128</v>
      </c>
      <c r="H444" t="s">
        <v>128</v>
      </c>
      <c r="I444" t="s">
        <v>84</v>
      </c>
      <c r="J444" t="s">
        <v>128</v>
      </c>
      <c r="K444" t="s">
        <v>128</v>
      </c>
      <c r="L444" t="s">
        <v>128</v>
      </c>
      <c r="M444" t="s">
        <v>1097</v>
      </c>
      <c r="N444" t="b">
        <v>0</v>
      </c>
    </row>
    <row r="445" spans="1:14">
      <c r="A445">
        <v>19</v>
      </c>
      <c r="B445">
        <v>21</v>
      </c>
      <c r="C445" t="s">
        <v>128</v>
      </c>
      <c r="D445" t="s">
        <v>743</v>
      </c>
      <c r="E445" t="s">
        <v>128</v>
      </c>
      <c r="F445">
        <v>0</v>
      </c>
      <c r="G445" t="s">
        <v>128</v>
      </c>
      <c r="H445" t="s">
        <v>128</v>
      </c>
      <c r="I445" t="s">
        <v>128</v>
      </c>
      <c r="J445" t="s">
        <v>128</v>
      </c>
      <c r="K445" t="s">
        <v>128</v>
      </c>
      <c r="L445" t="s">
        <v>128</v>
      </c>
      <c r="M445" t="s">
        <v>1098</v>
      </c>
      <c r="N445" t="b">
        <v>0</v>
      </c>
    </row>
    <row r="446" spans="1:14">
      <c r="A446">
        <v>19</v>
      </c>
      <c r="B446">
        <v>22</v>
      </c>
      <c r="C446" t="s">
        <v>128</v>
      </c>
      <c r="D446" t="s">
        <v>743</v>
      </c>
      <c r="E446" t="s">
        <v>128</v>
      </c>
      <c r="F446">
        <v>0</v>
      </c>
      <c r="G446" t="s">
        <v>128</v>
      </c>
      <c r="H446" t="s">
        <v>128</v>
      </c>
      <c r="I446" t="s">
        <v>128</v>
      </c>
      <c r="J446" t="s">
        <v>128</v>
      </c>
      <c r="K446" t="s">
        <v>128</v>
      </c>
      <c r="L446" t="s">
        <v>128</v>
      </c>
      <c r="M446" t="s">
        <v>1099</v>
      </c>
      <c r="N446" t="b">
        <v>0</v>
      </c>
    </row>
    <row r="447" spans="1:14">
      <c r="A447">
        <v>19</v>
      </c>
      <c r="B447">
        <v>23</v>
      </c>
      <c r="C447" t="s">
        <v>128</v>
      </c>
      <c r="D447" t="s">
        <v>743</v>
      </c>
      <c r="E447" t="s">
        <v>128</v>
      </c>
      <c r="F447">
        <v>0</v>
      </c>
      <c r="G447" t="s">
        <v>128</v>
      </c>
      <c r="H447" t="s">
        <v>128</v>
      </c>
      <c r="I447" t="s">
        <v>128</v>
      </c>
      <c r="J447" t="s">
        <v>128</v>
      </c>
      <c r="K447" t="s">
        <v>128</v>
      </c>
      <c r="L447" t="s">
        <v>128</v>
      </c>
      <c r="M447" t="s">
        <v>1100</v>
      </c>
      <c r="N447" t="b">
        <v>0</v>
      </c>
    </row>
    <row r="448" spans="1:14">
      <c r="A448">
        <v>19</v>
      </c>
      <c r="B448">
        <v>24</v>
      </c>
      <c r="C448" t="s">
        <v>128</v>
      </c>
      <c r="D448" t="s">
        <v>743</v>
      </c>
      <c r="E448" t="s">
        <v>128</v>
      </c>
      <c r="F448">
        <v>0</v>
      </c>
      <c r="G448" t="s">
        <v>128</v>
      </c>
      <c r="H448" t="s">
        <v>128</v>
      </c>
      <c r="I448" t="s">
        <v>128</v>
      </c>
      <c r="J448" t="s">
        <v>128</v>
      </c>
      <c r="K448" t="s">
        <v>128</v>
      </c>
      <c r="L448" t="s">
        <v>128</v>
      </c>
      <c r="M448" t="s">
        <v>1101</v>
      </c>
      <c r="N448" t="b">
        <v>0</v>
      </c>
    </row>
    <row r="449" spans="1:14">
      <c r="A449">
        <v>19</v>
      </c>
      <c r="B449">
        <v>25</v>
      </c>
      <c r="C449" t="s">
        <v>128</v>
      </c>
      <c r="D449" t="s">
        <v>743</v>
      </c>
      <c r="E449" t="s">
        <v>128</v>
      </c>
      <c r="F449">
        <v>0</v>
      </c>
      <c r="G449" t="s">
        <v>128</v>
      </c>
      <c r="H449" t="s">
        <v>128</v>
      </c>
      <c r="I449" t="s">
        <v>128</v>
      </c>
      <c r="J449" t="s">
        <v>128</v>
      </c>
      <c r="K449" t="s">
        <v>128</v>
      </c>
      <c r="L449" t="s">
        <v>128</v>
      </c>
      <c r="M449" t="s">
        <v>1102</v>
      </c>
      <c r="N449" t="b">
        <v>0</v>
      </c>
    </row>
    <row r="450" spans="1:14">
      <c r="A450">
        <v>19</v>
      </c>
      <c r="B450">
        <v>26</v>
      </c>
      <c r="C450" t="s">
        <v>128</v>
      </c>
      <c r="D450" t="s">
        <v>743</v>
      </c>
      <c r="E450" t="s">
        <v>128</v>
      </c>
      <c r="F450">
        <v>0</v>
      </c>
      <c r="G450" t="s">
        <v>128</v>
      </c>
      <c r="H450" t="s">
        <v>128</v>
      </c>
      <c r="I450" t="s">
        <v>128</v>
      </c>
      <c r="J450" t="s">
        <v>128</v>
      </c>
      <c r="K450" t="s">
        <v>128</v>
      </c>
      <c r="L450" t="s">
        <v>128</v>
      </c>
      <c r="M450" t="s">
        <v>1103</v>
      </c>
      <c r="N450" t="b">
        <v>0</v>
      </c>
    </row>
    <row r="451" spans="1:14">
      <c r="A451">
        <v>20</v>
      </c>
      <c r="B451">
        <v>0</v>
      </c>
      <c r="C451" t="s">
        <v>259</v>
      </c>
      <c r="D451" t="s">
        <v>755</v>
      </c>
      <c r="E451" t="s">
        <v>545</v>
      </c>
      <c r="F451">
        <v>60</v>
      </c>
      <c r="G451" t="s">
        <v>762</v>
      </c>
      <c r="H451" t="s">
        <v>128</v>
      </c>
      <c r="I451" t="s">
        <v>128</v>
      </c>
      <c r="J451" t="s">
        <v>1104</v>
      </c>
      <c r="K451" t="s">
        <v>1105</v>
      </c>
      <c r="L451" t="s">
        <v>1058</v>
      </c>
      <c r="M451" t="s">
        <v>1106</v>
      </c>
      <c r="N451" t="b">
        <v>0</v>
      </c>
    </row>
    <row r="452" spans="1:14">
      <c r="A452">
        <v>20</v>
      </c>
      <c r="B452">
        <v>1</v>
      </c>
      <c r="C452" t="s">
        <v>248</v>
      </c>
      <c r="D452" t="s">
        <v>726</v>
      </c>
      <c r="E452" t="s">
        <v>114</v>
      </c>
      <c r="F452">
        <v>40</v>
      </c>
      <c r="G452" t="s">
        <v>128</v>
      </c>
      <c r="H452" t="s">
        <v>128</v>
      </c>
      <c r="I452" t="s">
        <v>114</v>
      </c>
      <c r="J452" t="s">
        <v>128</v>
      </c>
      <c r="K452" t="s">
        <v>128</v>
      </c>
      <c r="L452" t="s">
        <v>128</v>
      </c>
      <c r="M452" t="s">
        <v>1107</v>
      </c>
      <c r="N452" t="b">
        <v>0</v>
      </c>
    </row>
    <row r="453" spans="1:14">
      <c r="A453">
        <v>20</v>
      </c>
      <c r="B453">
        <v>2</v>
      </c>
      <c r="C453" t="s">
        <v>256</v>
      </c>
      <c r="D453" t="s">
        <v>726</v>
      </c>
      <c r="E453" t="s">
        <v>115</v>
      </c>
      <c r="F453">
        <v>40</v>
      </c>
      <c r="G453" t="s">
        <v>128</v>
      </c>
      <c r="H453" t="s">
        <v>128</v>
      </c>
      <c r="I453" t="s">
        <v>115</v>
      </c>
      <c r="J453" t="s">
        <v>128</v>
      </c>
      <c r="K453" t="s">
        <v>128</v>
      </c>
      <c r="L453" t="s">
        <v>128</v>
      </c>
      <c r="M453" t="s">
        <v>1108</v>
      </c>
      <c r="N453" t="b">
        <v>0</v>
      </c>
    </row>
    <row r="454" spans="1:14">
      <c r="A454">
        <v>20</v>
      </c>
      <c r="B454">
        <v>3</v>
      </c>
      <c r="C454" t="s">
        <v>195</v>
      </c>
      <c r="D454" t="s">
        <v>726</v>
      </c>
      <c r="E454" t="s">
        <v>78</v>
      </c>
      <c r="F454">
        <v>50</v>
      </c>
      <c r="G454" t="s">
        <v>128</v>
      </c>
      <c r="H454" t="s">
        <v>128</v>
      </c>
      <c r="I454" t="s">
        <v>78</v>
      </c>
      <c r="J454" t="s">
        <v>128</v>
      </c>
      <c r="K454" t="s">
        <v>128</v>
      </c>
      <c r="L454" t="s">
        <v>128</v>
      </c>
      <c r="M454" t="s">
        <v>1109</v>
      </c>
      <c r="N454" t="b">
        <v>0</v>
      </c>
    </row>
    <row r="455" spans="1:14">
      <c r="A455">
        <v>20</v>
      </c>
      <c r="B455">
        <v>4</v>
      </c>
      <c r="C455" t="s">
        <v>128</v>
      </c>
      <c r="D455" t="s">
        <v>726</v>
      </c>
      <c r="E455" t="s">
        <v>128</v>
      </c>
      <c r="F455">
        <v>0</v>
      </c>
      <c r="G455" t="s">
        <v>128</v>
      </c>
      <c r="H455" t="s">
        <v>128</v>
      </c>
      <c r="I455" t="s">
        <v>128</v>
      </c>
      <c r="J455" t="s">
        <v>128</v>
      </c>
      <c r="K455" t="s">
        <v>128</v>
      </c>
      <c r="L455" t="s">
        <v>128</v>
      </c>
      <c r="M455" t="s">
        <v>1110</v>
      </c>
      <c r="N455" t="b">
        <v>0</v>
      </c>
    </row>
    <row r="456" spans="1:14">
      <c r="A456">
        <v>20</v>
      </c>
      <c r="B456">
        <v>5</v>
      </c>
      <c r="C456" t="s">
        <v>128</v>
      </c>
      <c r="D456" t="s">
        <v>726</v>
      </c>
      <c r="E456" t="s">
        <v>128</v>
      </c>
      <c r="F456">
        <v>0</v>
      </c>
      <c r="G456" t="s">
        <v>128</v>
      </c>
      <c r="H456" t="s">
        <v>128</v>
      </c>
      <c r="I456" t="s">
        <v>128</v>
      </c>
      <c r="J456" t="s">
        <v>128</v>
      </c>
      <c r="K456" t="s">
        <v>128</v>
      </c>
      <c r="L456" t="s">
        <v>128</v>
      </c>
      <c r="M456" t="s">
        <v>1111</v>
      </c>
      <c r="N456" t="b">
        <v>0</v>
      </c>
    </row>
    <row r="457" spans="1:14">
      <c r="A457">
        <v>20</v>
      </c>
      <c r="B457">
        <v>6</v>
      </c>
      <c r="C457" t="s">
        <v>128</v>
      </c>
      <c r="D457" t="s">
        <v>726</v>
      </c>
      <c r="E457" t="s">
        <v>128</v>
      </c>
      <c r="F457">
        <v>0</v>
      </c>
      <c r="G457" t="s">
        <v>128</v>
      </c>
      <c r="H457" t="s">
        <v>128</v>
      </c>
      <c r="I457" t="s">
        <v>128</v>
      </c>
      <c r="J457" t="s">
        <v>128</v>
      </c>
      <c r="K457" t="s">
        <v>128</v>
      </c>
      <c r="L457" t="s">
        <v>128</v>
      </c>
      <c r="M457" t="s">
        <v>1112</v>
      </c>
      <c r="N457" t="b">
        <v>0</v>
      </c>
    </row>
    <row r="458" spans="1:14">
      <c r="A458">
        <v>20</v>
      </c>
      <c r="B458">
        <v>7</v>
      </c>
      <c r="C458" t="s">
        <v>128</v>
      </c>
      <c r="D458" t="s">
        <v>726</v>
      </c>
      <c r="E458" t="s">
        <v>128</v>
      </c>
      <c r="F458">
        <v>0</v>
      </c>
      <c r="G458" t="s">
        <v>128</v>
      </c>
      <c r="H458" t="s">
        <v>128</v>
      </c>
      <c r="I458" t="s">
        <v>128</v>
      </c>
      <c r="J458" t="s">
        <v>128</v>
      </c>
      <c r="K458" t="s">
        <v>128</v>
      </c>
      <c r="L458" t="s">
        <v>128</v>
      </c>
      <c r="M458" t="s">
        <v>1113</v>
      </c>
      <c r="N458" t="b">
        <v>0</v>
      </c>
    </row>
    <row r="459" spans="1:14">
      <c r="A459">
        <v>20</v>
      </c>
      <c r="B459">
        <v>8</v>
      </c>
      <c r="C459" t="s">
        <v>128</v>
      </c>
      <c r="D459" t="s">
        <v>726</v>
      </c>
      <c r="E459" t="s">
        <v>128</v>
      </c>
      <c r="F459">
        <v>0</v>
      </c>
      <c r="G459" t="s">
        <v>128</v>
      </c>
      <c r="H459" t="s">
        <v>128</v>
      </c>
      <c r="I459" t="s">
        <v>128</v>
      </c>
      <c r="J459" t="s">
        <v>128</v>
      </c>
      <c r="K459" t="s">
        <v>128</v>
      </c>
      <c r="L459" t="s">
        <v>128</v>
      </c>
      <c r="M459" t="s">
        <v>1114</v>
      </c>
      <c r="N459" t="b">
        <v>0</v>
      </c>
    </row>
    <row r="460" spans="1:14">
      <c r="A460">
        <v>20</v>
      </c>
      <c r="B460">
        <v>9</v>
      </c>
      <c r="C460" t="s">
        <v>128</v>
      </c>
      <c r="D460" t="s">
        <v>726</v>
      </c>
      <c r="E460" t="s">
        <v>128</v>
      </c>
      <c r="F460">
        <v>0</v>
      </c>
      <c r="G460" t="s">
        <v>128</v>
      </c>
      <c r="H460" t="s">
        <v>128</v>
      </c>
      <c r="I460" t="s">
        <v>128</v>
      </c>
      <c r="J460" t="s">
        <v>128</v>
      </c>
      <c r="K460" t="s">
        <v>128</v>
      </c>
      <c r="L460" t="s">
        <v>128</v>
      </c>
      <c r="M460" t="s">
        <v>1115</v>
      </c>
      <c r="N460" t="b">
        <v>0</v>
      </c>
    </row>
    <row r="461" spans="1:14">
      <c r="A461">
        <v>20</v>
      </c>
      <c r="B461">
        <v>10</v>
      </c>
      <c r="C461" t="s">
        <v>128</v>
      </c>
      <c r="D461" t="s">
        <v>726</v>
      </c>
      <c r="E461" t="s">
        <v>128</v>
      </c>
      <c r="F461">
        <v>0</v>
      </c>
      <c r="G461" t="s">
        <v>128</v>
      </c>
      <c r="H461" t="s">
        <v>128</v>
      </c>
      <c r="I461" t="s">
        <v>128</v>
      </c>
      <c r="J461" t="s">
        <v>128</v>
      </c>
      <c r="K461" t="s">
        <v>128</v>
      </c>
      <c r="L461" t="s">
        <v>128</v>
      </c>
      <c r="M461" t="s">
        <v>1116</v>
      </c>
      <c r="N461" t="b">
        <v>0</v>
      </c>
    </row>
    <row r="462" spans="1:14">
      <c r="A462">
        <v>20</v>
      </c>
      <c r="B462">
        <v>11</v>
      </c>
      <c r="C462" t="s">
        <v>128</v>
      </c>
      <c r="D462" t="s">
        <v>726</v>
      </c>
      <c r="E462" t="s">
        <v>128</v>
      </c>
      <c r="F462">
        <v>0</v>
      </c>
      <c r="G462" t="s">
        <v>128</v>
      </c>
      <c r="H462" t="s">
        <v>128</v>
      </c>
      <c r="I462" t="s">
        <v>128</v>
      </c>
      <c r="J462" t="s">
        <v>128</v>
      </c>
      <c r="K462" t="s">
        <v>128</v>
      </c>
      <c r="L462" t="s">
        <v>128</v>
      </c>
      <c r="M462" t="s">
        <v>1117</v>
      </c>
      <c r="N462" t="b">
        <v>0</v>
      </c>
    </row>
    <row r="463" spans="1:14">
      <c r="A463">
        <v>20</v>
      </c>
      <c r="B463">
        <v>12</v>
      </c>
      <c r="C463" t="s">
        <v>128</v>
      </c>
      <c r="D463" t="s">
        <v>726</v>
      </c>
      <c r="E463" t="s">
        <v>128</v>
      </c>
      <c r="F463">
        <v>0</v>
      </c>
      <c r="G463" t="s">
        <v>128</v>
      </c>
      <c r="H463" t="s">
        <v>128</v>
      </c>
      <c r="I463" t="s">
        <v>128</v>
      </c>
      <c r="J463" t="s">
        <v>128</v>
      </c>
      <c r="K463" t="s">
        <v>128</v>
      </c>
      <c r="L463" t="s">
        <v>128</v>
      </c>
      <c r="M463" t="s">
        <v>1118</v>
      </c>
      <c r="N463" t="b">
        <v>0</v>
      </c>
    </row>
    <row r="464" spans="1:14">
      <c r="A464">
        <v>20</v>
      </c>
      <c r="B464">
        <v>13</v>
      </c>
      <c r="C464" t="s">
        <v>128</v>
      </c>
      <c r="D464" t="s">
        <v>726</v>
      </c>
      <c r="E464" t="s">
        <v>128</v>
      </c>
      <c r="F464">
        <v>0</v>
      </c>
      <c r="G464" t="s">
        <v>128</v>
      </c>
      <c r="H464" t="s">
        <v>128</v>
      </c>
      <c r="I464" t="s">
        <v>128</v>
      </c>
      <c r="J464" t="s">
        <v>128</v>
      </c>
      <c r="K464" t="s">
        <v>128</v>
      </c>
      <c r="L464" t="s">
        <v>128</v>
      </c>
      <c r="M464" t="s">
        <v>1119</v>
      </c>
      <c r="N464" t="b">
        <v>0</v>
      </c>
    </row>
    <row r="465" spans="1:14">
      <c r="A465">
        <v>20</v>
      </c>
      <c r="B465">
        <v>14</v>
      </c>
      <c r="C465" t="s">
        <v>128</v>
      </c>
      <c r="D465" t="s">
        <v>726</v>
      </c>
      <c r="E465" t="s">
        <v>128</v>
      </c>
      <c r="F465">
        <v>0</v>
      </c>
      <c r="G465" t="s">
        <v>128</v>
      </c>
      <c r="H465" t="s">
        <v>128</v>
      </c>
      <c r="I465" t="s">
        <v>128</v>
      </c>
      <c r="J465" t="s">
        <v>128</v>
      </c>
      <c r="K465" t="s">
        <v>128</v>
      </c>
      <c r="L465" t="s">
        <v>128</v>
      </c>
      <c r="M465" t="s">
        <v>1120</v>
      </c>
      <c r="N465" t="b">
        <v>0</v>
      </c>
    </row>
    <row r="466" spans="1:14">
      <c r="A466">
        <v>20</v>
      </c>
      <c r="B466">
        <v>15</v>
      </c>
      <c r="C466" t="s">
        <v>128</v>
      </c>
      <c r="D466" t="s">
        <v>726</v>
      </c>
      <c r="E466" t="s">
        <v>128</v>
      </c>
      <c r="F466">
        <v>0</v>
      </c>
      <c r="G466" t="s">
        <v>128</v>
      </c>
      <c r="H466" t="s">
        <v>128</v>
      </c>
      <c r="I466" t="s">
        <v>128</v>
      </c>
      <c r="J466" t="s">
        <v>128</v>
      </c>
      <c r="K466" t="s">
        <v>128</v>
      </c>
      <c r="L466" t="s">
        <v>128</v>
      </c>
      <c r="M466" t="s">
        <v>1121</v>
      </c>
      <c r="N466" t="b">
        <v>0</v>
      </c>
    </row>
    <row r="467" spans="1:14">
      <c r="A467">
        <v>20</v>
      </c>
      <c r="B467">
        <v>16</v>
      </c>
      <c r="C467" t="s">
        <v>166</v>
      </c>
      <c r="D467" t="s">
        <v>743</v>
      </c>
      <c r="E467" t="s">
        <v>67</v>
      </c>
      <c r="F467">
        <v>40</v>
      </c>
      <c r="G467" t="s">
        <v>128</v>
      </c>
      <c r="H467" t="s">
        <v>128</v>
      </c>
      <c r="I467" t="s">
        <v>67</v>
      </c>
      <c r="J467" t="s">
        <v>128</v>
      </c>
      <c r="K467" t="s">
        <v>128</v>
      </c>
      <c r="L467" t="s">
        <v>128</v>
      </c>
      <c r="M467" t="s">
        <v>1122</v>
      </c>
      <c r="N467" t="b">
        <v>0</v>
      </c>
    </row>
    <row r="468" spans="1:14">
      <c r="A468">
        <v>20</v>
      </c>
      <c r="B468">
        <v>17</v>
      </c>
      <c r="C468" t="s">
        <v>167</v>
      </c>
      <c r="D468" t="s">
        <v>743</v>
      </c>
      <c r="E468" t="s">
        <v>70</v>
      </c>
      <c r="F468">
        <v>40</v>
      </c>
      <c r="G468" t="s">
        <v>128</v>
      </c>
      <c r="H468" t="s">
        <v>128</v>
      </c>
      <c r="I468" t="s">
        <v>70</v>
      </c>
      <c r="J468" t="s">
        <v>128</v>
      </c>
      <c r="K468" t="s">
        <v>128</v>
      </c>
      <c r="L468" t="s">
        <v>128</v>
      </c>
      <c r="M468" t="s">
        <v>683</v>
      </c>
      <c r="N468" t="b">
        <v>0</v>
      </c>
    </row>
    <row r="469" spans="1:14">
      <c r="A469">
        <v>20</v>
      </c>
      <c r="B469">
        <v>18</v>
      </c>
      <c r="C469" t="s">
        <v>260</v>
      </c>
      <c r="D469" t="s">
        <v>743</v>
      </c>
      <c r="E469" t="s">
        <v>545</v>
      </c>
      <c r="F469">
        <v>40</v>
      </c>
      <c r="G469" t="s">
        <v>762</v>
      </c>
      <c r="H469" t="s">
        <v>128</v>
      </c>
      <c r="I469" t="s">
        <v>128</v>
      </c>
      <c r="J469" t="s">
        <v>1104</v>
      </c>
      <c r="K469" t="s">
        <v>1123</v>
      </c>
      <c r="L469" t="s">
        <v>1084</v>
      </c>
      <c r="M469" t="s">
        <v>1124</v>
      </c>
      <c r="N469" t="b">
        <v>0</v>
      </c>
    </row>
    <row r="470" spans="1:14">
      <c r="A470">
        <v>20</v>
      </c>
      <c r="B470">
        <v>19</v>
      </c>
      <c r="C470" t="s">
        <v>181</v>
      </c>
      <c r="D470" t="s">
        <v>743</v>
      </c>
      <c r="E470" t="s">
        <v>83</v>
      </c>
      <c r="F470">
        <v>50</v>
      </c>
      <c r="G470" t="s">
        <v>128</v>
      </c>
      <c r="H470" t="s">
        <v>128</v>
      </c>
      <c r="I470" t="s">
        <v>83</v>
      </c>
      <c r="J470" t="s">
        <v>128</v>
      </c>
      <c r="K470" t="s">
        <v>128</v>
      </c>
      <c r="L470" t="s">
        <v>128</v>
      </c>
      <c r="M470" t="s">
        <v>1125</v>
      </c>
      <c r="N470" t="b">
        <v>0</v>
      </c>
    </row>
    <row r="471" spans="1:14">
      <c r="A471">
        <v>20</v>
      </c>
      <c r="B471">
        <v>20</v>
      </c>
      <c r="C471" t="s">
        <v>212</v>
      </c>
      <c r="D471" t="s">
        <v>743</v>
      </c>
      <c r="E471" t="s">
        <v>87</v>
      </c>
      <c r="F471">
        <v>40</v>
      </c>
      <c r="G471" t="s">
        <v>128</v>
      </c>
      <c r="H471" t="s">
        <v>128</v>
      </c>
      <c r="I471" t="s">
        <v>87</v>
      </c>
      <c r="J471" t="s">
        <v>128</v>
      </c>
      <c r="K471" t="s">
        <v>128</v>
      </c>
      <c r="L471" t="s">
        <v>128</v>
      </c>
      <c r="M471" t="s">
        <v>1126</v>
      </c>
      <c r="N471" t="b">
        <v>0</v>
      </c>
    </row>
    <row r="472" spans="1:14">
      <c r="A472">
        <v>20</v>
      </c>
      <c r="B472">
        <v>21</v>
      </c>
      <c r="C472" t="s">
        <v>189</v>
      </c>
      <c r="D472" t="s">
        <v>743</v>
      </c>
      <c r="E472" t="s">
        <v>93</v>
      </c>
      <c r="F472">
        <v>50</v>
      </c>
      <c r="G472" t="s">
        <v>128</v>
      </c>
      <c r="H472" t="s">
        <v>128</v>
      </c>
      <c r="I472" t="s">
        <v>93</v>
      </c>
      <c r="J472" t="s">
        <v>128</v>
      </c>
      <c r="K472" t="s">
        <v>128</v>
      </c>
      <c r="L472" t="s">
        <v>128</v>
      </c>
      <c r="M472" t="s">
        <v>1127</v>
      </c>
      <c r="N472" t="b">
        <v>0</v>
      </c>
    </row>
    <row r="473" spans="1:14">
      <c r="A473">
        <v>20</v>
      </c>
      <c r="B473">
        <v>22</v>
      </c>
      <c r="C473" t="s">
        <v>162</v>
      </c>
      <c r="D473" t="s">
        <v>743</v>
      </c>
      <c r="E473" t="s">
        <v>299</v>
      </c>
      <c r="F473">
        <v>40</v>
      </c>
      <c r="G473" t="s">
        <v>762</v>
      </c>
      <c r="H473" t="s">
        <v>128</v>
      </c>
      <c r="I473" t="s">
        <v>128</v>
      </c>
      <c r="J473" t="s">
        <v>763</v>
      </c>
      <c r="K473" t="s">
        <v>764</v>
      </c>
      <c r="L473" t="s">
        <v>765</v>
      </c>
      <c r="M473" t="s">
        <v>1128</v>
      </c>
      <c r="N473" t="b">
        <v>0</v>
      </c>
    </row>
    <row r="474" spans="1:14">
      <c r="A474">
        <v>20</v>
      </c>
      <c r="B474">
        <v>23</v>
      </c>
      <c r="C474" t="s">
        <v>184</v>
      </c>
      <c r="D474" t="s">
        <v>743</v>
      </c>
      <c r="E474" t="s">
        <v>61</v>
      </c>
      <c r="F474">
        <v>40</v>
      </c>
      <c r="G474" t="s">
        <v>128</v>
      </c>
      <c r="H474" t="s">
        <v>128</v>
      </c>
      <c r="I474" t="s">
        <v>61</v>
      </c>
      <c r="J474" t="s">
        <v>128</v>
      </c>
      <c r="K474" t="s">
        <v>128</v>
      </c>
      <c r="L474" t="s">
        <v>128</v>
      </c>
      <c r="M474" t="s">
        <v>1129</v>
      </c>
      <c r="N474" t="b">
        <v>0</v>
      </c>
    </row>
    <row r="475" spans="1:14">
      <c r="A475">
        <v>20</v>
      </c>
      <c r="B475">
        <v>24</v>
      </c>
      <c r="C475" t="s">
        <v>261</v>
      </c>
      <c r="D475" t="s">
        <v>743</v>
      </c>
      <c r="E475" t="s">
        <v>333</v>
      </c>
      <c r="F475">
        <v>40</v>
      </c>
      <c r="G475" t="s">
        <v>762</v>
      </c>
      <c r="H475" t="s">
        <v>128</v>
      </c>
      <c r="I475" t="s">
        <v>128</v>
      </c>
      <c r="J475" t="s">
        <v>1130</v>
      </c>
      <c r="K475" t="s">
        <v>923</v>
      </c>
      <c r="L475" t="s">
        <v>924</v>
      </c>
      <c r="M475" t="s">
        <v>1131</v>
      </c>
      <c r="N475" t="b">
        <v>0</v>
      </c>
    </row>
    <row r="476" spans="1:14">
      <c r="A476">
        <v>20</v>
      </c>
      <c r="B476">
        <v>25</v>
      </c>
      <c r="C476" t="s">
        <v>237</v>
      </c>
      <c r="D476" t="s">
        <v>743</v>
      </c>
      <c r="E476" t="s">
        <v>76</v>
      </c>
      <c r="F476">
        <v>50</v>
      </c>
      <c r="G476" t="s">
        <v>128</v>
      </c>
      <c r="H476" t="s">
        <v>128</v>
      </c>
      <c r="I476" t="s">
        <v>76</v>
      </c>
      <c r="J476" t="s">
        <v>128</v>
      </c>
      <c r="K476" t="s">
        <v>128</v>
      </c>
      <c r="L476" t="s">
        <v>128</v>
      </c>
      <c r="M476" t="s">
        <v>1132</v>
      </c>
      <c r="N476" t="b">
        <v>0</v>
      </c>
    </row>
    <row r="477" spans="1:14">
      <c r="A477">
        <v>20</v>
      </c>
      <c r="B477">
        <v>26</v>
      </c>
      <c r="C477" t="s">
        <v>185</v>
      </c>
      <c r="D477" t="s">
        <v>743</v>
      </c>
      <c r="E477" t="s">
        <v>547</v>
      </c>
      <c r="F477">
        <v>40</v>
      </c>
      <c r="G477" t="s">
        <v>762</v>
      </c>
      <c r="H477" t="s">
        <v>128</v>
      </c>
      <c r="I477" t="s">
        <v>128</v>
      </c>
      <c r="J477" t="s">
        <v>826</v>
      </c>
      <c r="K477" t="s">
        <v>803</v>
      </c>
      <c r="L477" t="s">
        <v>804</v>
      </c>
      <c r="M477" t="s">
        <v>1133</v>
      </c>
      <c r="N477" t="b">
        <v>0</v>
      </c>
    </row>
    <row r="478" spans="1:14">
      <c r="A478">
        <v>21</v>
      </c>
      <c r="B478">
        <v>0</v>
      </c>
      <c r="C478" t="s">
        <v>263</v>
      </c>
      <c r="D478" t="s">
        <v>726</v>
      </c>
      <c r="E478" t="s">
        <v>65</v>
      </c>
      <c r="F478">
        <v>40</v>
      </c>
      <c r="G478" t="s">
        <v>128</v>
      </c>
      <c r="H478" t="s">
        <v>128</v>
      </c>
      <c r="I478" t="s">
        <v>65</v>
      </c>
      <c r="J478" t="s">
        <v>128</v>
      </c>
      <c r="K478" t="s">
        <v>128</v>
      </c>
      <c r="L478" t="s">
        <v>128</v>
      </c>
      <c r="M478" t="s">
        <v>1134</v>
      </c>
      <c r="N478" t="b">
        <v>0</v>
      </c>
    </row>
    <row r="479" spans="1:14">
      <c r="A479">
        <v>21</v>
      </c>
      <c r="B479">
        <v>1</v>
      </c>
      <c r="C479" t="s">
        <v>160</v>
      </c>
      <c r="D479" t="s">
        <v>726</v>
      </c>
      <c r="E479" t="s">
        <v>83</v>
      </c>
      <c r="F479">
        <v>40</v>
      </c>
      <c r="G479" t="s">
        <v>128</v>
      </c>
      <c r="H479" t="s">
        <v>128</v>
      </c>
      <c r="I479" t="s">
        <v>83</v>
      </c>
      <c r="J479" t="s">
        <v>128</v>
      </c>
      <c r="K479" t="s">
        <v>128</v>
      </c>
      <c r="L479" t="s">
        <v>128</v>
      </c>
      <c r="M479" t="s">
        <v>1135</v>
      </c>
      <c r="N479" t="b">
        <v>0</v>
      </c>
    </row>
    <row r="480" spans="1:14">
      <c r="A480">
        <v>21</v>
      </c>
      <c r="B480">
        <v>2</v>
      </c>
      <c r="C480" t="s">
        <v>204</v>
      </c>
      <c r="D480" t="s">
        <v>726</v>
      </c>
      <c r="E480" t="s">
        <v>103</v>
      </c>
      <c r="F480">
        <v>60</v>
      </c>
      <c r="G480" t="s">
        <v>128</v>
      </c>
      <c r="H480" t="s">
        <v>128</v>
      </c>
      <c r="I480" t="s">
        <v>103</v>
      </c>
      <c r="J480" t="s">
        <v>128</v>
      </c>
      <c r="K480" t="s">
        <v>128</v>
      </c>
      <c r="L480" t="s">
        <v>128</v>
      </c>
      <c r="M480" t="s">
        <v>1136</v>
      </c>
      <c r="N480" t="b">
        <v>0</v>
      </c>
    </row>
    <row r="481" spans="1:14">
      <c r="A481">
        <v>21</v>
      </c>
      <c r="B481">
        <v>3</v>
      </c>
      <c r="C481" t="s">
        <v>256</v>
      </c>
      <c r="D481" t="s">
        <v>726</v>
      </c>
      <c r="E481" t="s">
        <v>115</v>
      </c>
      <c r="F481">
        <v>40</v>
      </c>
      <c r="G481" t="s">
        <v>128</v>
      </c>
      <c r="H481" t="s">
        <v>128</v>
      </c>
      <c r="I481" t="s">
        <v>115</v>
      </c>
      <c r="J481" t="s">
        <v>128</v>
      </c>
      <c r="K481" t="s">
        <v>128</v>
      </c>
      <c r="L481" t="s">
        <v>128</v>
      </c>
      <c r="M481" t="s">
        <v>1137</v>
      </c>
      <c r="N481" t="b">
        <v>0</v>
      </c>
    </row>
    <row r="482" spans="1:14">
      <c r="A482">
        <v>21</v>
      </c>
      <c r="B482">
        <v>4</v>
      </c>
      <c r="C482" t="s">
        <v>264</v>
      </c>
      <c r="D482" t="s">
        <v>726</v>
      </c>
      <c r="E482" t="s">
        <v>66</v>
      </c>
      <c r="F482">
        <v>40</v>
      </c>
      <c r="G482" t="s">
        <v>128</v>
      </c>
      <c r="H482" t="s">
        <v>128</v>
      </c>
      <c r="I482" t="s">
        <v>66</v>
      </c>
      <c r="J482" t="s">
        <v>128</v>
      </c>
      <c r="K482" t="s">
        <v>128</v>
      </c>
      <c r="L482" t="s">
        <v>128</v>
      </c>
      <c r="M482" t="s">
        <v>1138</v>
      </c>
      <c r="N482" t="b">
        <v>0</v>
      </c>
    </row>
    <row r="483" spans="1:14">
      <c r="A483">
        <v>21</v>
      </c>
      <c r="B483">
        <v>5</v>
      </c>
      <c r="C483" t="s">
        <v>165</v>
      </c>
      <c r="D483" t="s">
        <v>726</v>
      </c>
      <c r="E483" t="s">
        <v>78</v>
      </c>
      <c r="F483">
        <v>40</v>
      </c>
      <c r="G483" t="s">
        <v>128</v>
      </c>
      <c r="H483" t="s">
        <v>128</v>
      </c>
      <c r="I483" t="s">
        <v>78</v>
      </c>
      <c r="J483" t="s">
        <v>128</v>
      </c>
      <c r="K483" t="s">
        <v>128</v>
      </c>
      <c r="L483" t="s">
        <v>128</v>
      </c>
      <c r="M483" t="s">
        <v>1139</v>
      </c>
      <c r="N483" t="b">
        <v>0</v>
      </c>
    </row>
    <row r="484" spans="1:14">
      <c r="A484">
        <v>21</v>
      </c>
      <c r="B484">
        <v>6</v>
      </c>
      <c r="C484" t="s">
        <v>215</v>
      </c>
      <c r="D484" t="s">
        <v>726</v>
      </c>
      <c r="E484" t="s">
        <v>84</v>
      </c>
      <c r="F484">
        <v>40</v>
      </c>
      <c r="G484" t="s">
        <v>128</v>
      </c>
      <c r="H484" t="s">
        <v>128</v>
      </c>
      <c r="I484" t="s">
        <v>84</v>
      </c>
      <c r="J484" t="s">
        <v>128</v>
      </c>
      <c r="K484" t="s">
        <v>128</v>
      </c>
      <c r="L484" t="s">
        <v>128</v>
      </c>
      <c r="M484" t="s">
        <v>1140</v>
      </c>
      <c r="N484" t="b">
        <v>0</v>
      </c>
    </row>
    <row r="485" spans="1:14">
      <c r="A485">
        <v>21</v>
      </c>
      <c r="B485">
        <v>7</v>
      </c>
      <c r="C485" t="s">
        <v>265</v>
      </c>
      <c r="D485" t="s">
        <v>726</v>
      </c>
      <c r="E485" t="s">
        <v>547</v>
      </c>
      <c r="F485">
        <v>40</v>
      </c>
      <c r="G485" t="s">
        <v>128</v>
      </c>
      <c r="H485" t="s">
        <v>557</v>
      </c>
      <c r="I485" t="s">
        <v>334</v>
      </c>
      <c r="J485" t="s">
        <v>128</v>
      </c>
      <c r="K485" t="s">
        <v>803</v>
      </c>
      <c r="L485" t="s">
        <v>804</v>
      </c>
      <c r="M485" t="s">
        <v>1141</v>
      </c>
      <c r="N485" t="b">
        <v>0</v>
      </c>
    </row>
    <row r="486" spans="1:14">
      <c r="A486">
        <v>21</v>
      </c>
      <c r="B486">
        <v>8</v>
      </c>
      <c r="C486" t="s">
        <v>128</v>
      </c>
      <c r="D486" t="s">
        <v>726</v>
      </c>
      <c r="E486" t="s">
        <v>128</v>
      </c>
      <c r="F486">
        <v>0</v>
      </c>
      <c r="G486" t="s">
        <v>128</v>
      </c>
      <c r="H486" t="s">
        <v>128</v>
      </c>
      <c r="I486" t="s">
        <v>128</v>
      </c>
      <c r="J486" t="s">
        <v>128</v>
      </c>
      <c r="K486" t="s">
        <v>128</v>
      </c>
      <c r="L486" t="s">
        <v>128</v>
      </c>
      <c r="M486" t="s">
        <v>1142</v>
      </c>
      <c r="N486" t="b">
        <v>0</v>
      </c>
    </row>
    <row r="487" spans="1:14">
      <c r="A487">
        <v>21</v>
      </c>
      <c r="B487">
        <v>9</v>
      </c>
      <c r="C487" t="s">
        <v>128</v>
      </c>
      <c r="D487" t="s">
        <v>726</v>
      </c>
      <c r="E487" t="s">
        <v>128</v>
      </c>
      <c r="F487">
        <v>0</v>
      </c>
      <c r="G487" t="s">
        <v>128</v>
      </c>
      <c r="H487" t="s">
        <v>128</v>
      </c>
      <c r="I487" t="s">
        <v>128</v>
      </c>
      <c r="J487" t="s">
        <v>128</v>
      </c>
      <c r="K487" t="s">
        <v>128</v>
      </c>
      <c r="L487" t="s">
        <v>128</v>
      </c>
      <c r="M487" t="s">
        <v>1143</v>
      </c>
      <c r="N487" t="b">
        <v>0</v>
      </c>
    </row>
    <row r="488" spans="1:14">
      <c r="A488">
        <v>21</v>
      </c>
      <c r="B488">
        <v>10</v>
      </c>
      <c r="C488" t="s">
        <v>128</v>
      </c>
      <c r="D488" t="s">
        <v>726</v>
      </c>
      <c r="E488" t="s">
        <v>128</v>
      </c>
      <c r="F488">
        <v>0</v>
      </c>
      <c r="G488" t="s">
        <v>128</v>
      </c>
      <c r="H488" t="s">
        <v>128</v>
      </c>
      <c r="I488" t="s">
        <v>128</v>
      </c>
      <c r="J488" t="s">
        <v>128</v>
      </c>
      <c r="K488" t="s">
        <v>128</v>
      </c>
      <c r="L488" t="s">
        <v>128</v>
      </c>
      <c r="M488" t="s">
        <v>1144</v>
      </c>
      <c r="N488" t="b">
        <v>0</v>
      </c>
    </row>
    <row r="489" spans="1:14">
      <c r="A489">
        <v>21</v>
      </c>
      <c r="B489">
        <v>11</v>
      </c>
      <c r="C489" t="s">
        <v>128</v>
      </c>
      <c r="D489" t="s">
        <v>726</v>
      </c>
      <c r="E489" t="s">
        <v>128</v>
      </c>
      <c r="F489">
        <v>0</v>
      </c>
      <c r="G489" t="s">
        <v>128</v>
      </c>
      <c r="H489" t="s">
        <v>128</v>
      </c>
      <c r="I489" t="s">
        <v>128</v>
      </c>
      <c r="J489" t="s">
        <v>128</v>
      </c>
      <c r="K489" t="s">
        <v>128</v>
      </c>
      <c r="L489" t="s">
        <v>128</v>
      </c>
      <c r="M489" t="s">
        <v>1145</v>
      </c>
      <c r="N489" t="b">
        <v>0</v>
      </c>
    </row>
    <row r="490" spans="1:14">
      <c r="A490">
        <v>21</v>
      </c>
      <c r="B490">
        <v>12</v>
      </c>
      <c r="C490" t="s">
        <v>128</v>
      </c>
      <c r="D490" t="s">
        <v>726</v>
      </c>
      <c r="E490" t="s">
        <v>128</v>
      </c>
      <c r="F490">
        <v>0</v>
      </c>
      <c r="G490" t="s">
        <v>128</v>
      </c>
      <c r="H490" t="s">
        <v>128</v>
      </c>
      <c r="I490" t="s">
        <v>128</v>
      </c>
      <c r="J490" t="s">
        <v>128</v>
      </c>
      <c r="K490" t="s">
        <v>128</v>
      </c>
      <c r="L490" t="s">
        <v>128</v>
      </c>
      <c r="M490" t="s">
        <v>1146</v>
      </c>
      <c r="N490" t="b">
        <v>0</v>
      </c>
    </row>
    <row r="491" spans="1:14">
      <c r="A491">
        <v>21</v>
      </c>
      <c r="B491">
        <v>13</v>
      </c>
      <c r="C491" t="s">
        <v>128</v>
      </c>
      <c r="D491" t="s">
        <v>726</v>
      </c>
      <c r="E491" t="s">
        <v>128</v>
      </c>
      <c r="F491">
        <v>0</v>
      </c>
      <c r="G491" t="s">
        <v>128</v>
      </c>
      <c r="H491" t="s">
        <v>128</v>
      </c>
      <c r="I491" t="s">
        <v>128</v>
      </c>
      <c r="J491" t="s">
        <v>128</v>
      </c>
      <c r="K491" t="s">
        <v>128</v>
      </c>
      <c r="L491" t="s">
        <v>128</v>
      </c>
      <c r="M491" t="s">
        <v>1147</v>
      </c>
      <c r="N491" t="b">
        <v>0</v>
      </c>
    </row>
    <row r="492" spans="1:14">
      <c r="A492">
        <v>21</v>
      </c>
      <c r="B492">
        <v>14</v>
      </c>
      <c r="C492" t="s">
        <v>128</v>
      </c>
      <c r="D492" t="s">
        <v>726</v>
      </c>
      <c r="E492" t="s">
        <v>128</v>
      </c>
      <c r="F492">
        <v>0</v>
      </c>
      <c r="G492" t="s">
        <v>128</v>
      </c>
      <c r="H492" t="s">
        <v>128</v>
      </c>
      <c r="I492" t="s">
        <v>128</v>
      </c>
      <c r="J492" t="s">
        <v>128</v>
      </c>
      <c r="K492" t="s">
        <v>128</v>
      </c>
      <c r="L492" t="s">
        <v>128</v>
      </c>
      <c r="M492" t="s">
        <v>1148</v>
      </c>
      <c r="N492" t="b">
        <v>0</v>
      </c>
    </row>
    <row r="493" spans="1:14">
      <c r="A493">
        <v>21</v>
      </c>
      <c r="B493">
        <v>15</v>
      </c>
      <c r="C493" t="s">
        <v>128</v>
      </c>
      <c r="D493" t="s">
        <v>726</v>
      </c>
      <c r="E493" t="s">
        <v>128</v>
      </c>
      <c r="F493">
        <v>0</v>
      </c>
      <c r="G493" t="s">
        <v>128</v>
      </c>
      <c r="H493" t="s">
        <v>128</v>
      </c>
      <c r="I493" t="s">
        <v>128</v>
      </c>
      <c r="J493" t="s">
        <v>128</v>
      </c>
      <c r="K493" t="s">
        <v>128</v>
      </c>
      <c r="L493" t="s">
        <v>128</v>
      </c>
      <c r="M493" t="s">
        <v>1149</v>
      </c>
      <c r="N493" t="b">
        <v>0</v>
      </c>
    </row>
    <row r="494" spans="1:14">
      <c r="A494">
        <v>21</v>
      </c>
      <c r="B494">
        <v>16</v>
      </c>
      <c r="C494" t="s">
        <v>266</v>
      </c>
      <c r="D494" t="s">
        <v>743</v>
      </c>
      <c r="E494" t="s">
        <v>99</v>
      </c>
      <c r="F494">
        <v>60</v>
      </c>
      <c r="G494" t="s">
        <v>128</v>
      </c>
      <c r="H494" t="s">
        <v>128</v>
      </c>
      <c r="I494" t="s">
        <v>99</v>
      </c>
      <c r="J494" t="s">
        <v>128</v>
      </c>
      <c r="K494" t="s">
        <v>128</v>
      </c>
      <c r="L494" t="s">
        <v>128</v>
      </c>
      <c r="M494" t="s">
        <v>1150</v>
      </c>
      <c r="N494" t="b">
        <v>0</v>
      </c>
    </row>
    <row r="495" spans="1:14">
      <c r="A495">
        <v>21</v>
      </c>
      <c r="B495">
        <v>17</v>
      </c>
      <c r="C495" t="s">
        <v>214</v>
      </c>
      <c r="D495" t="s">
        <v>743</v>
      </c>
      <c r="E495" t="s">
        <v>109</v>
      </c>
      <c r="F495">
        <v>40</v>
      </c>
      <c r="G495" t="s">
        <v>128</v>
      </c>
      <c r="H495" t="s">
        <v>128</v>
      </c>
      <c r="I495" t="s">
        <v>109</v>
      </c>
      <c r="J495" t="s">
        <v>128</v>
      </c>
      <c r="K495" t="s">
        <v>128</v>
      </c>
      <c r="L495" t="s">
        <v>128</v>
      </c>
      <c r="M495" t="s">
        <v>685</v>
      </c>
      <c r="N495" t="b">
        <v>0</v>
      </c>
    </row>
    <row r="496" spans="1:14">
      <c r="A496">
        <v>21</v>
      </c>
      <c r="B496">
        <v>18</v>
      </c>
      <c r="C496" t="s">
        <v>169</v>
      </c>
      <c r="D496" t="s">
        <v>743</v>
      </c>
      <c r="E496" t="s">
        <v>74</v>
      </c>
      <c r="F496">
        <v>50</v>
      </c>
      <c r="G496" t="s">
        <v>128</v>
      </c>
      <c r="H496" t="s">
        <v>128</v>
      </c>
      <c r="I496" t="s">
        <v>74</v>
      </c>
      <c r="J496" t="s">
        <v>128</v>
      </c>
      <c r="K496" t="s">
        <v>128</v>
      </c>
      <c r="L496" t="s">
        <v>128</v>
      </c>
      <c r="M496" t="s">
        <v>1151</v>
      </c>
      <c r="N496" t="b">
        <v>0</v>
      </c>
    </row>
    <row r="497" spans="1:14">
      <c r="A497">
        <v>21</v>
      </c>
      <c r="B497">
        <v>19</v>
      </c>
      <c r="C497" t="s">
        <v>267</v>
      </c>
      <c r="D497" t="s">
        <v>743</v>
      </c>
      <c r="E497" t="s">
        <v>91</v>
      </c>
      <c r="F497">
        <v>50</v>
      </c>
      <c r="G497" t="s">
        <v>128</v>
      </c>
      <c r="H497" t="s">
        <v>128</v>
      </c>
      <c r="I497" t="s">
        <v>91</v>
      </c>
      <c r="J497" t="s">
        <v>128</v>
      </c>
      <c r="K497" t="s">
        <v>128</v>
      </c>
      <c r="L497" t="s">
        <v>128</v>
      </c>
      <c r="M497" t="s">
        <v>1152</v>
      </c>
      <c r="N497" t="b">
        <v>0</v>
      </c>
    </row>
    <row r="498" spans="1:14">
      <c r="A498">
        <v>21</v>
      </c>
      <c r="B498">
        <v>20</v>
      </c>
      <c r="C498" t="s">
        <v>171</v>
      </c>
      <c r="D498" t="s">
        <v>743</v>
      </c>
      <c r="E498" t="s">
        <v>98</v>
      </c>
      <c r="F498">
        <v>60</v>
      </c>
      <c r="G498" t="s">
        <v>128</v>
      </c>
      <c r="H498" t="s">
        <v>128</v>
      </c>
      <c r="I498" t="s">
        <v>98</v>
      </c>
      <c r="J498" t="s">
        <v>128</v>
      </c>
      <c r="K498" t="s">
        <v>128</v>
      </c>
      <c r="L498" t="s">
        <v>128</v>
      </c>
      <c r="M498" t="s">
        <v>1153</v>
      </c>
      <c r="N498" t="b">
        <v>0</v>
      </c>
    </row>
    <row r="499" spans="1:14">
      <c r="A499">
        <v>21</v>
      </c>
      <c r="B499">
        <v>21</v>
      </c>
      <c r="C499" t="s">
        <v>128</v>
      </c>
      <c r="D499" t="s">
        <v>743</v>
      </c>
      <c r="E499" t="s">
        <v>128</v>
      </c>
      <c r="F499">
        <v>0</v>
      </c>
      <c r="G499" t="s">
        <v>128</v>
      </c>
      <c r="H499" t="s">
        <v>128</v>
      </c>
      <c r="I499" t="s">
        <v>128</v>
      </c>
      <c r="J499" t="s">
        <v>128</v>
      </c>
      <c r="K499" t="s">
        <v>128</v>
      </c>
      <c r="L499" t="s">
        <v>128</v>
      </c>
      <c r="M499" t="s">
        <v>1154</v>
      </c>
      <c r="N499" t="b">
        <v>0</v>
      </c>
    </row>
    <row r="500" spans="1:14">
      <c r="A500">
        <v>21</v>
      </c>
      <c r="B500">
        <v>22</v>
      </c>
      <c r="C500" t="s">
        <v>128</v>
      </c>
      <c r="D500" t="s">
        <v>743</v>
      </c>
      <c r="E500" t="s">
        <v>128</v>
      </c>
      <c r="F500">
        <v>0</v>
      </c>
      <c r="G500" t="s">
        <v>128</v>
      </c>
      <c r="H500" t="s">
        <v>128</v>
      </c>
      <c r="I500" t="s">
        <v>128</v>
      </c>
      <c r="J500" t="s">
        <v>128</v>
      </c>
      <c r="K500" t="s">
        <v>128</v>
      </c>
      <c r="L500" t="s">
        <v>128</v>
      </c>
      <c r="M500" t="s">
        <v>1155</v>
      </c>
      <c r="N500" t="b">
        <v>0</v>
      </c>
    </row>
    <row r="501" spans="1:14">
      <c r="A501">
        <v>21</v>
      </c>
      <c r="B501">
        <v>23</v>
      </c>
      <c r="C501" t="s">
        <v>128</v>
      </c>
      <c r="D501" t="s">
        <v>743</v>
      </c>
      <c r="E501" t="s">
        <v>128</v>
      </c>
      <c r="F501">
        <v>0</v>
      </c>
      <c r="G501" t="s">
        <v>128</v>
      </c>
      <c r="H501" t="s">
        <v>128</v>
      </c>
      <c r="I501" t="s">
        <v>128</v>
      </c>
      <c r="J501" t="s">
        <v>128</v>
      </c>
      <c r="K501" t="s">
        <v>128</v>
      </c>
      <c r="L501" t="s">
        <v>128</v>
      </c>
      <c r="M501" t="s">
        <v>1156</v>
      </c>
      <c r="N501" t="b">
        <v>0</v>
      </c>
    </row>
    <row r="502" spans="1:14">
      <c r="A502">
        <v>21</v>
      </c>
      <c r="B502">
        <v>24</v>
      </c>
      <c r="C502" t="s">
        <v>128</v>
      </c>
      <c r="D502" t="s">
        <v>743</v>
      </c>
      <c r="E502" t="s">
        <v>128</v>
      </c>
      <c r="F502">
        <v>0</v>
      </c>
      <c r="G502" t="s">
        <v>128</v>
      </c>
      <c r="H502" t="s">
        <v>128</v>
      </c>
      <c r="I502" t="s">
        <v>128</v>
      </c>
      <c r="J502" t="s">
        <v>128</v>
      </c>
      <c r="K502" t="s">
        <v>128</v>
      </c>
      <c r="L502" t="s">
        <v>128</v>
      </c>
      <c r="M502" t="s">
        <v>1157</v>
      </c>
      <c r="N502" t="b">
        <v>0</v>
      </c>
    </row>
    <row r="503" spans="1:14">
      <c r="A503">
        <v>21</v>
      </c>
      <c r="B503">
        <v>25</v>
      </c>
      <c r="C503" t="s">
        <v>128</v>
      </c>
      <c r="D503" t="s">
        <v>743</v>
      </c>
      <c r="E503" t="s">
        <v>128</v>
      </c>
      <c r="F503">
        <v>0</v>
      </c>
      <c r="G503" t="s">
        <v>128</v>
      </c>
      <c r="H503" t="s">
        <v>128</v>
      </c>
      <c r="I503" t="s">
        <v>128</v>
      </c>
      <c r="J503" t="s">
        <v>128</v>
      </c>
      <c r="K503" t="s">
        <v>128</v>
      </c>
      <c r="L503" t="s">
        <v>128</v>
      </c>
      <c r="M503" t="s">
        <v>1158</v>
      </c>
      <c r="N503" t="b">
        <v>0</v>
      </c>
    </row>
    <row r="504" spans="1:14">
      <c r="A504">
        <v>21</v>
      </c>
      <c r="B504">
        <v>26</v>
      </c>
      <c r="C504" t="s">
        <v>128</v>
      </c>
      <c r="D504" t="s">
        <v>743</v>
      </c>
      <c r="E504" t="s">
        <v>128</v>
      </c>
      <c r="F504">
        <v>0</v>
      </c>
      <c r="G504" t="s">
        <v>128</v>
      </c>
      <c r="H504" t="s">
        <v>128</v>
      </c>
      <c r="I504" t="s">
        <v>128</v>
      </c>
      <c r="J504" t="s">
        <v>128</v>
      </c>
      <c r="K504" t="s">
        <v>128</v>
      </c>
      <c r="L504" t="s">
        <v>128</v>
      </c>
      <c r="M504" t="s">
        <v>1159</v>
      </c>
      <c r="N504" t="b">
        <v>0</v>
      </c>
    </row>
    <row r="505" spans="1:14">
      <c r="A505">
        <v>22</v>
      </c>
      <c r="B505">
        <v>0</v>
      </c>
      <c r="C505" t="s">
        <v>218</v>
      </c>
      <c r="D505" t="s">
        <v>726</v>
      </c>
      <c r="E505" t="s">
        <v>65</v>
      </c>
      <c r="F505">
        <v>60</v>
      </c>
      <c r="G505" t="s">
        <v>128</v>
      </c>
      <c r="H505" t="s">
        <v>128</v>
      </c>
      <c r="I505" t="s">
        <v>65</v>
      </c>
      <c r="J505" t="s">
        <v>128</v>
      </c>
      <c r="K505" t="s">
        <v>128</v>
      </c>
      <c r="L505" t="s">
        <v>128</v>
      </c>
      <c r="M505" t="s">
        <v>1160</v>
      </c>
      <c r="N505" t="b">
        <v>0</v>
      </c>
    </row>
    <row r="506" spans="1:14">
      <c r="A506">
        <v>22</v>
      </c>
      <c r="B506">
        <v>1</v>
      </c>
      <c r="C506" t="s">
        <v>270</v>
      </c>
      <c r="D506" t="s">
        <v>726</v>
      </c>
      <c r="E506" t="s">
        <v>83</v>
      </c>
      <c r="F506">
        <v>30</v>
      </c>
      <c r="G506" t="s">
        <v>128</v>
      </c>
      <c r="H506" t="s">
        <v>128</v>
      </c>
      <c r="I506" t="s">
        <v>83</v>
      </c>
      <c r="J506" t="s">
        <v>128</v>
      </c>
      <c r="K506" t="s">
        <v>128</v>
      </c>
      <c r="L506" t="s">
        <v>128</v>
      </c>
      <c r="M506" t="s">
        <v>1161</v>
      </c>
      <c r="N506" t="b">
        <v>0</v>
      </c>
    </row>
    <row r="507" spans="1:14">
      <c r="A507">
        <v>22</v>
      </c>
      <c r="B507">
        <v>2</v>
      </c>
      <c r="C507" t="s">
        <v>240</v>
      </c>
      <c r="D507" t="s">
        <v>726</v>
      </c>
      <c r="E507" t="s">
        <v>546</v>
      </c>
      <c r="F507">
        <v>40</v>
      </c>
      <c r="G507" t="s">
        <v>128</v>
      </c>
      <c r="H507" t="s">
        <v>549</v>
      </c>
      <c r="I507" t="s">
        <v>510</v>
      </c>
      <c r="J507" t="s">
        <v>128</v>
      </c>
      <c r="K507" t="s">
        <v>794</v>
      </c>
      <c r="L507" t="s">
        <v>795</v>
      </c>
      <c r="M507" t="s">
        <v>1162</v>
      </c>
      <c r="N507" t="b">
        <v>0</v>
      </c>
    </row>
    <row r="508" spans="1:14">
      <c r="A508">
        <v>22</v>
      </c>
      <c r="B508">
        <v>3</v>
      </c>
      <c r="C508" t="s">
        <v>241</v>
      </c>
      <c r="D508" t="s">
        <v>726</v>
      </c>
      <c r="E508" t="s">
        <v>546</v>
      </c>
      <c r="F508">
        <v>40</v>
      </c>
      <c r="G508" t="s">
        <v>128</v>
      </c>
      <c r="H508" t="s">
        <v>559</v>
      </c>
      <c r="I508" t="s">
        <v>488</v>
      </c>
      <c r="J508" t="s">
        <v>128</v>
      </c>
      <c r="K508" t="s">
        <v>797</v>
      </c>
      <c r="L508" t="s">
        <v>798</v>
      </c>
      <c r="M508" t="s">
        <v>1163</v>
      </c>
      <c r="N508" t="b">
        <v>0</v>
      </c>
    </row>
    <row r="509" spans="1:14">
      <c r="A509">
        <v>22</v>
      </c>
      <c r="B509">
        <v>4</v>
      </c>
      <c r="C509" t="s">
        <v>169</v>
      </c>
      <c r="D509" t="s">
        <v>726</v>
      </c>
      <c r="E509" t="s">
        <v>74</v>
      </c>
      <c r="F509">
        <v>50</v>
      </c>
      <c r="G509" t="s">
        <v>128</v>
      </c>
      <c r="H509" t="s">
        <v>128</v>
      </c>
      <c r="I509" t="s">
        <v>74</v>
      </c>
      <c r="J509" t="s">
        <v>128</v>
      </c>
      <c r="K509" t="s">
        <v>128</v>
      </c>
      <c r="L509" t="s">
        <v>128</v>
      </c>
      <c r="M509" t="s">
        <v>1164</v>
      </c>
      <c r="N509" t="b">
        <v>0</v>
      </c>
    </row>
    <row r="510" spans="1:14">
      <c r="A510">
        <v>22</v>
      </c>
      <c r="B510">
        <v>5</v>
      </c>
      <c r="C510" t="s">
        <v>271</v>
      </c>
      <c r="D510" t="s">
        <v>755</v>
      </c>
      <c r="E510" t="s">
        <v>360</v>
      </c>
      <c r="F510">
        <v>60</v>
      </c>
      <c r="G510" t="s">
        <v>762</v>
      </c>
      <c r="H510" t="s">
        <v>128</v>
      </c>
      <c r="I510" t="s">
        <v>128</v>
      </c>
      <c r="J510" t="s">
        <v>1165</v>
      </c>
      <c r="K510" t="s">
        <v>1166</v>
      </c>
      <c r="L510" t="s">
        <v>1167</v>
      </c>
      <c r="M510" t="s">
        <v>1168</v>
      </c>
      <c r="N510" t="b">
        <v>0</v>
      </c>
    </row>
    <row r="511" spans="1:14">
      <c r="A511">
        <v>22</v>
      </c>
      <c r="B511">
        <v>6</v>
      </c>
      <c r="C511" t="s">
        <v>272</v>
      </c>
      <c r="D511" t="s">
        <v>726</v>
      </c>
      <c r="E511" t="s">
        <v>547</v>
      </c>
      <c r="F511">
        <v>40</v>
      </c>
      <c r="G511" t="s">
        <v>128</v>
      </c>
      <c r="H511" t="s">
        <v>585</v>
      </c>
      <c r="I511" t="s">
        <v>498</v>
      </c>
      <c r="J511" t="s">
        <v>128</v>
      </c>
      <c r="K511" t="s">
        <v>803</v>
      </c>
      <c r="L511" t="s">
        <v>804</v>
      </c>
      <c r="M511" t="s">
        <v>1169</v>
      </c>
      <c r="N511" t="b">
        <v>0</v>
      </c>
    </row>
    <row r="512" spans="1:14">
      <c r="A512">
        <v>22</v>
      </c>
      <c r="B512">
        <v>7</v>
      </c>
      <c r="C512" t="s">
        <v>273</v>
      </c>
      <c r="D512" t="s">
        <v>726</v>
      </c>
      <c r="E512" t="s">
        <v>107</v>
      </c>
      <c r="F512">
        <v>40</v>
      </c>
      <c r="G512" t="s">
        <v>128</v>
      </c>
      <c r="H512" t="s">
        <v>128</v>
      </c>
      <c r="I512" t="s">
        <v>107</v>
      </c>
      <c r="J512" t="s">
        <v>128</v>
      </c>
      <c r="K512" t="s">
        <v>128</v>
      </c>
      <c r="L512" t="s">
        <v>128</v>
      </c>
      <c r="M512" t="s">
        <v>1170</v>
      </c>
      <c r="N512" t="b">
        <v>0</v>
      </c>
    </row>
    <row r="513" spans="1:14">
      <c r="A513">
        <v>22</v>
      </c>
      <c r="B513">
        <v>8</v>
      </c>
      <c r="C513" t="s">
        <v>128</v>
      </c>
      <c r="D513" t="s">
        <v>726</v>
      </c>
      <c r="E513" t="s">
        <v>128</v>
      </c>
      <c r="F513">
        <v>0</v>
      </c>
      <c r="G513" t="s">
        <v>128</v>
      </c>
      <c r="H513" t="s">
        <v>128</v>
      </c>
      <c r="I513" t="s">
        <v>128</v>
      </c>
      <c r="J513" t="s">
        <v>128</v>
      </c>
      <c r="K513" t="s">
        <v>128</v>
      </c>
      <c r="L513" t="s">
        <v>128</v>
      </c>
      <c r="M513" t="s">
        <v>1171</v>
      </c>
      <c r="N513" t="b">
        <v>0</v>
      </c>
    </row>
    <row r="514" spans="1:14">
      <c r="A514">
        <v>22</v>
      </c>
      <c r="B514">
        <v>9</v>
      </c>
      <c r="C514" t="s">
        <v>128</v>
      </c>
      <c r="D514" t="s">
        <v>726</v>
      </c>
      <c r="E514" t="s">
        <v>128</v>
      </c>
      <c r="F514">
        <v>0</v>
      </c>
      <c r="G514" t="s">
        <v>128</v>
      </c>
      <c r="H514" t="s">
        <v>128</v>
      </c>
      <c r="I514" t="s">
        <v>128</v>
      </c>
      <c r="J514" t="s">
        <v>128</v>
      </c>
      <c r="K514" t="s">
        <v>128</v>
      </c>
      <c r="L514" t="s">
        <v>128</v>
      </c>
      <c r="M514" t="s">
        <v>1172</v>
      </c>
      <c r="N514" t="b">
        <v>0</v>
      </c>
    </row>
    <row r="515" spans="1:14">
      <c r="A515">
        <v>22</v>
      </c>
      <c r="B515">
        <v>10</v>
      </c>
      <c r="C515" t="s">
        <v>128</v>
      </c>
      <c r="D515" t="s">
        <v>726</v>
      </c>
      <c r="E515" t="s">
        <v>128</v>
      </c>
      <c r="F515">
        <v>0</v>
      </c>
      <c r="G515" t="s">
        <v>128</v>
      </c>
      <c r="H515" t="s">
        <v>128</v>
      </c>
      <c r="I515" t="s">
        <v>128</v>
      </c>
      <c r="J515" t="s">
        <v>128</v>
      </c>
      <c r="K515" t="s">
        <v>128</v>
      </c>
      <c r="L515" t="s">
        <v>128</v>
      </c>
      <c r="M515" t="s">
        <v>1173</v>
      </c>
      <c r="N515" t="b">
        <v>0</v>
      </c>
    </row>
    <row r="516" spans="1:14">
      <c r="A516">
        <v>22</v>
      </c>
      <c r="B516">
        <v>11</v>
      </c>
      <c r="C516" t="s">
        <v>128</v>
      </c>
      <c r="D516" t="s">
        <v>726</v>
      </c>
      <c r="E516" t="s">
        <v>128</v>
      </c>
      <c r="F516">
        <v>0</v>
      </c>
      <c r="G516" t="s">
        <v>128</v>
      </c>
      <c r="H516" t="s">
        <v>128</v>
      </c>
      <c r="I516" t="s">
        <v>128</v>
      </c>
      <c r="J516" t="s">
        <v>128</v>
      </c>
      <c r="K516" t="s">
        <v>128</v>
      </c>
      <c r="L516" t="s">
        <v>128</v>
      </c>
      <c r="M516" t="s">
        <v>1174</v>
      </c>
      <c r="N516" t="b">
        <v>0</v>
      </c>
    </row>
    <row r="517" spans="1:14">
      <c r="A517">
        <v>22</v>
      </c>
      <c r="B517">
        <v>12</v>
      </c>
      <c r="C517" t="s">
        <v>128</v>
      </c>
      <c r="D517" t="s">
        <v>726</v>
      </c>
      <c r="E517" t="s">
        <v>128</v>
      </c>
      <c r="F517">
        <v>0</v>
      </c>
      <c r="G517" t="s">
        <v>128</v>
      </c>
      <c r="H517" t="s">
        <v>128</v>
      </c>
      <c r="I517" t="s">
        <v>128</v>
      </c>
      <c r="J517" t="s">
        <v>128</v>
      </c>
      <c r="K517" t="s">
        <v>128</v>
      </c>
      <c r="L517" t="s">
        <v>128</v>
      </c>
      <c r="M517" t="s">
        <v>1175</v>
      </c>
      <c r="N517" t="b">
        <v>0</v>
      </c>
    </row>
    <row r="518" spans="1:14">
      <c r="A518">
        <v>22</v>
      </c>
      <c r="B518">
        <v>13</v>
      </c>
      <c r="C518" t="s">
        <v>128</v>
      </c>
      <c r="D518" t="s">
        <v>726</v>
      </c>
      <c r="E518" t="s">
        <v>128</v>
      </c>
      <c r="F518">
        <v>0</v>
      </c>
      <c r="G518" t="s">
        <v>128</v>
      </c>
      <c r="H518" t="s">
        <v>128</v>
      </c>
      <c r="I518" t="s">
        <v>128</v>
      </c>
      <c r="J518" t="s">
        <v>128</v>
      </c>
      <c r="K518" t="s">
        <v>128</v>
      </c>
      <c r="L518" t="s">
        <v>128</v>
      </c>
      <c r="M518" t="s">
        <v>1176</v>
      </c>
      <c r="N518" t="b">
        <v>0</v>
      </c>
    </row>
    <row r="519" spans="1:14">
      <c r="A519">
        <v>22</v>
      </c>
      <c r="B519">
        <v>14</v>
      </c>
      <c r="C519" t="s">
        <v>128</v>
      </c>
      <c r="D519" t="s">
        <v>726</v>
      </c>
      <c r="E519" t="s">
        <v>128</v>
      </c>
      <c r="F519">
        <v>0</v>
      </c>
      <c r="G519" t="s">
        <v>128</v>
      </c>
      <c r="H519" t="s">
        <v>128</v>
      </c>
      <c r="I519" t="s">
        <v>128</v>
      </c>
      <c r="J519" t="s">
        <v>128</v>
      </c>
      <c r="K519" t="s">
        <v>128</v>
      </c>
      <c r="L519" t="s">
        <v>128</v>
      </c>
      <c r="M519" t="s">
        <v>1177</v>
      </c>
      <c r="N519" t="b">
        <v>0</v>
      </c>
    </row>
    <row r="520" spans="1:14">
      <c r="A520">
        <v>22</v>
      </c>
      <c r="B520">
        <v>15</v>
      </c>
      <c r="C520" t="s">
        <v>128</v>
      </c>
      <c r="D520" t="s">
        <v>726</v>
      </c>
      <c r="E520" t="s">
        <v>128</v>
      </c>
      <c r="F520">
        <v>0</v>
      </c>
      <c r="G520" t="s">
        <v>128</v>
      </c>
      <c r="H520" t="s">
        <v>128</v>
      </c>
      <c r="I520" t="s">
        <v>128</v>
      </c>
      <c r="J520" t="s">
        <v>128</v>
      </c>
      <c r="K520" t="s">
        <v>128</v>
      </c>
      <c r="L520" t="s">
        <v>128</v>
      </c>
      <c r="M520" t="s">
        <v>1178</v>
      </c>
      <c r="N520" t="b">
        <v>0</v>
      </c>
    </row>
    <row r="521" spans="1:14">
      <c r="A521">
        <v>22</v>
      </c>
      <c r="B521">
        <v>16</v>
      </c>
      <c r="C521" t="s">
        <v>161</v>
      </c>
      <c r="D521" t="s">
        <v>743</v>
      </c>
      <c r="E521" t="s">
        <v>299</v>
      </c>
      <c r="F521">
        <v>50</v>
      </c>
      <c r="G521" t="s">
        <v>762</v>
      </c>
      <c r="H521" t="s">
        <v>128</v>
      </c>
      <c r="I521" t="s">
        <v>128</v>
      </c>
      <c r="J521" t="s">
        <v>763</v>
      </c>
      <c r="K521" t="s">
        <v>764</v>
      </c>
      <c r="L521" t="s">
        <v>765</v>
      </c>
      <c r="M521" t="s">
        <v>1179</v>
      </c>
      <c r="N521" t="b">
        <v>0</v>
      </c>
    </row>
    <row r="522" spans="1:14">
      <c r="A522">
        <v>22</v>
      </c>
      <c r="B522">
        <v>17</v>
      </c>
      <c r="C522" t="s">
        <v>274</v>
      </c>
      <c r="D522" t="s">
        <v>743</v>
      </c>
      <c r="E522" t="s">
        <v>360</v>
      </c>
      <c r="F522">
        <v>50</v>
      </c>
      <c r="G522" t="s">
        <v>762</v>
      </c>
      <c r="H522" t="s">
        <v>128</v>
      </c>
      <c r="I522" t="s">
        <v>128</v>
      </c>
      <c r="J522" t="s">
        <v>1165</v>
      </c>
      <c r="K522" t="s">
        <v>1180</v>
      </c>
      <c r="L522" t="s">
        <v>1181</v>
      </c>
      <c r="M522" t="s">
        <v>687</v>
      </c>
      <c r="N522" t="b">
        <v>0</v>
      </c>
    </row>
    <row r="523" spans="1:14">
      <c r="A523">
        <v>22</v>
      </c>
      <c r="B523">
        <v>18</v>
      </c>
      <c r="C523" t="s">
        <v>200</v>
      </c>
      <c r="D523" t="s">
        <v>743</v>
      </c>
      <c r="E523" t="s">
        <v>113</v>
      </c>
      <c r="F523">
        <v>50</v>
      </c>
      <c r="G523" t="s">
        <v>128</v>
      </c>
      <c r="H523" t="s">
        <v>128</v>
      </c>
      <c r="I523" t="s">
        <v>113</v>
      </c>
      <c r="J523" t="s">
        <v>128</v>
      </c>
      <c r="K523" t="s">
        <v>128</v>
      </c>
      <c r="L523" t="s">
        <v>128</v>
      </c>
      <c r="M523" t="s">
        <v>1182</v>
      </c>
      <c r="N523" t="b">
        <v>0</v>
      </c>
    </row>
    <row r="524" spans="1:14">
      <c r="A524">
        <v>22</v>
      </c>
      <c r="B524">
        <v>19</v>
      </c>
      <c r="C524" t="s">
        <v>275</v>
      </c>
      <c r="D524" t="s">
        <v>743</v>
      </c>
      <c r="E524" t="s">
        <v>333</v>
      </c>
      <c r="F524">
        <v>50</v>
      </c>
      <c r="G524" t="s">
        <v>762</v>
      </c>
      <c r="H524" t="s">
        <v>128</v>
      </c>
      <c r="I524" t="s">
        <v>128</v>
      </c>
      <c r="J524" t="s">
        <v>1130</v>
      </c>
      <c r="K524" t="s">
        <v>923</v>
      </c>
      <c r="L524" t="s">
        <v>924</v>
      </c>
      <c r="M524" t="s">
        <v>1183</v>
      </c>
      <c r="N524" t="b">
        <v>0</v>
      </c>
    </row>
    <row r="525" spans="1:14">
      <c r="A525">
        <v>22</v>
      </c>
      <c r="B525">
        <v>20</v>
      </c>
      <c r="C525" t="s">
        <v>128</v>
      </c>
      <c r="D525" t="s">
        <v>743</v>
      </c>
      <c r="E525" t="s">
        <v>128</v>
      </c>
      <c r="F525">
        <v>0</v>
      </c>
      <c r="G525" t="s">
        <v>128</v>
      </c>
      <c r="H525" t="s">
        <v>128</v>
      </c>
      <c r="I525" t="s">
        <v>128</v>
      </c>
      <c r="J525" t="s">
        <v>128</v>
      </c>
      <c r="K525" t="s">
        <v>128</v>
      </c>
      <c r="L525" t="s">
        <v>128</v>
      </c>
      <c r="M525" t="s">
        <v>1184</v>
      </c>
      <c r="N525" t="b">
        <v>0</v>
      </c>
    </row>
    <row r="526" spans="1:14">
      <c r="A526">
        <v>22</v>
      </c>
      <c r="B526">
        <v>21</v>
      </c>
      <c r="C526" t="s">
        <v>128</v>
      </c>
      <c r="D526" t="s">
        <v>743</v>
      </c>
      <c r="E526" t="s">
        <v>128</v>
      </c>
      <c r="F526">
        <v>0</v>
      </c>
      <c r="G526" t="s">
        <v>128</v>
      </c>
      <c r="H526" t="s">
        <v>128</v>
      </c>
      <c r="I526" t="s">
        <v>128</v>
      </c>
      <c r="J526" t="s">
        <v>128</v>
      </c>
      <c r="K526" t="s">
        <v>128</v>
      </c>
      <c r="L526" t="s">
        <v>128</v>
      </c>
      <c r="M526" t="s">
        <v>1185</v>
      </c>
      <c r="N526" t="b">
        <v>0</v>
      </c>
    </row>
    <row r="527" spans="1:14">
      <c r="A527">
        <v>22</v>
      </c>
      <c r="B527">
        <v>22</v>
      </c>
      <c r="C527" t="s">
        <v>128</v>
      </c>
      <c r="D527" t="s">
        <v>743</v>
      </c>
      <c r="E527" t="s">
        <v>128</v>
      </c>
      <c r="F527">
        <v>0</v>
      </c>
      <c r="G527" t="s">
        <v>128</v>
      </c>
      <c r="H527" t="s">
        <v>128</v>
      </c>
      <c r="I527" t="s">
        <v>128</v>
      </c>
      <c r="J527" t="s">
        <v>128</v>
      </c>
      <c r="K527" t="s">
        <v>128</v>
      </c>
      <c r="L527" t="s">
        <v>128</v>
      </c>
      <c r="M527" t="s">
        <v>1186</v>
      </c>
      <c r="N527" t="b">
        <v>0</v>
      </c>
    </row>
    <row r="528" spans="1:14">
      <c r="A528">
        <v>22</v>
      </c>
      <c r="B528">
        <v>23</v>
      </c>
      <c r="C528" t="s">
        <v>128</v>
      </c>
      <c r="D528" t="s">
        <v>743</v>
      </c>
      <c r="E528" t="s">
        <v>128</v>
      </c>
      <c r="F528">
        <v>0</v>
      </c>
      <c r="G528" t="s">
        <v>128</v>
      </c>
      <c r="H528" t="s">
        <v>128</v>
      </c>
      <c r="I528" t="s">
        <v>128</v>
      </c>
      <c r="J528" t="s">
        <v>128</v>
      </c>
      <c r="K528" t="s">
        <v>128</v>
      </c>
      <c r="L528" t="s">
        <v>128</v>
      </c>
      <c r="M528" t="s">
        <v>1187</v>
      </c>
      <c r="N528" t="b">
        <v>0</v>
      </c>
    </row>
    <row r="529" spans="1:14">
      <c r="A529">
        <v>22</v>
      </c>
      <c r="B529">
        <v>24</v>
      </c>
      <c r="C529" t="s">
        <v>128</v>
      </c>
      <c r="D529" t="s">
        <v>743</v>
      </c>
      <c r="E529" t="s">
        <v>128</v>
      </c>
      <c r="F529">
        <v>0</v>
      </c>
      <c r="G529" t="s">
        <v>128</v>
      </c>
      <c r="H529" t="s">
        <v>128</v>
      </c>
      <c r="I529" t="s">
        <v>128</v>
      </c>
      <c r="J529" t="s">
        <v>128</v>
      </c>
      <c r="K529" t="s">
        <v>128</v>
      </c>
      <c r="L529" t="s">
        <v>128</v>
      </c>
      <c r="M529" t="s">
        <v>1188</v>
      </c>
      <c r="N529" t="b">
        <v>0</v>
      </c>
    </row>
    <row r="530" spans="1:14">
      <c r="A530">
        <v>22</v>
      </c>
      <c r="B530">
        <v>25</v>
      </c>
      <c r="C530" t="s">
        <v>128</v>
      </c>
      <c r="D530" t="s">
        <v>743</v>
      </c>
      <c r="E530" t="s">
        <v>128</v>
      </c>
      <c r="F530">
        <v>0</v>
      </c>
      <c r="G530" t="s">
        <v>128</v>
      </c>
      <c r="H530" t="s">
        <v>128</v>
      </c>
      <c r="I530" t="s">
        <v>128</v>
      </c>
      <c r="J530" t="s">
        <v>128</v>
      </c>
      <c r="K530" t="s">
        <v>128</v>
      </c>
      <c r="L530" t="s">
        <v>128</v>
      </c>
      <c r="M530" t="s">
        <v>1189</v>
      </c>
      <c r="N530" t="b">
        <v>0</v>
      </c>
    </row>
    <row r="531" spans="1:14">
      <c r="A531">
        <v>22</v>
      </c>
      <c r="B531">
        <v>26</v>
      </c>
      <c r="C531" t="s">
        <v>128</v>
      </c>
      <c r="D531" t="s">
        <v>743</v>
      </c>
      <c r="E531" t="s">
        <v>128</v>
      </c>
      <c r="F531">
        <v>0</v>
      </c>
      <c r="G531" t="s">
        <v>128</v>
      </c>
      <c r="H531" t="s">
        <v>128</v>
      </c>
      <c r="I531" t="s">
        <v>128</v>
      </c>
      <c r="J531" t="s">
        <v>128</v>
      </c>
      <c r="K531" t="s">
        <v>128</v>
      </c>
      <c r="L531" t="s">
        <v>128</v>
      </c>
      <c r="M531" t="s">
        <v>1190</v>
      </c>
      <c r="N531" t="b">
        <v>0</v>
      </c>
    </row>
    <row r="532" spans="1:14">
      <c r="A532">
        <v>23</v>
      </c>
      <c r="B532">
        <v>0</v>
      </c>
      <c r="C532" t="s">
        <v>218</v>
      </c>
      <c r="D532" t="s">
        <v>726</v>
      </c>
      <c r="E532" t="s">
        <v>65</v>
      </c>
      <c r="F532">
        <v>60</v>
      </c>
      <c r="G532" t="s">
        <v>128</v>
      </c>
      <c r="H532" t="s">
        <v>128</v>
      </c>
      <c r="I532" t="s">
        <v>65</v>
      </c>
      <c r="J532" t="s">
        <v>128</v>
      </c>
      <c r="K532" t="s">
        <v>128</v>
      </c>
      <c r="L532" t="s">
        <v>128</v>
      </c>
      <c r="M532" t="s">
        <v>1191</v>
      </c>
      <c r="N532" t="b">
        <v>0</v>
      </c>
    </row>
    <row r="533" spans="1:14">
      <c r="A533">
        <v>23</v>
      </c>
      <c r="B533">
        <v>1</v>
      </c>
      <c r="C533" t="s">
        <v>160</v>
      </c>
      <c r="D533" t="s">
        <v>726</v>
      </c>
      <c r="E533" t="s">
        <v>83</v>
      </c>
      <c r="F533">
        <v>40</v>
      </c>
      <c r="G533" t="s">
        <v>128</v>
      </c>
      <c r="H533" t="s">
        <v>128</v>
      </c>
      <c r="I533" t="s">
        <v>83</v>
      </c>
      <c r="J533" t="s">
        <v>128</v>
      </c>
      <c r="K533" t="s">
        <v>128</v>
      </c>
      <c r="L533" t="s">
        <v>128</v>
      </c>
      <c r="M533" t="s">
        <v>1192</v>
      </c>
      <c r="N533" t="b">
        <v>0</v>
      </c>
    </row>
    <row r="534" spans="1:14">
      <c r="A534">
        <v>23</v>
      </c>
      <c r="B534">
        <v>2</v>
      </c>
      <c r="C534" t="s">
        <v>250</v>
      </c>
      <c r="D534" t="s">
        <v>726</v>
      </c>
      <c r="E534" t="s">
        <v>93</v>
      </c>
      <c r="F534">
        <v>40</v>
      </c>
      <c r="G534" t="s">
        <v>128</v>
      </c>
      <c r="H534" t="s">
        <v>128</v>
      </c>
      <c r="I534" t="s">
        <v>93</v>
      </c>
      <c r="J534" t="s">
        <v>128</v>
      </c>
      <c r="K534" t="s">
        <v>128</v>
      </c>
      <c r="L534" t="s">
        <v>128</v>
      </c>
      <c r="M534" t="s">
        <v>1193</v>
      </c>
      <c r="N534" t="b">
        <v>0</v>
      </c>
    </row>
    <row r="535" spans="1:14">
      <c r="A535">
        <v>23</v>
      </c>
      <c r="B535">
        <v>3</v>
      </c>
      <c r="C535" t="s">
        <v>190</v>
      </c>
      <c r="D535" t="s">
        <v>726</v>
      </c>
      <c r="E535" t="s">
        <v>99</v>
      </c>
      <c r="F535">
        <v>50</v>
      </c>
      <c r="G535" t="s">
        <v>128</v>
      </c>
      <c r="H535" t="s">
        <v>128</v>
      </c>
      <c r="I535" t="s">
        <v>99</v>
      </c>
      <c r="J535" t="s">
        <v>128</v>
      </c>
      <c r="K535" t="s">
        <v>128</v>
      </c>
      <c r="L535" t="s">
        <v>128</v>
      </c>
      <c r="M535" t="s">
        <v>1194</v>
      </c>
      <c r="N535" t="b">
        <v>0</v>
      </c>
    </row>
    <row r="536" spans="1:14">
      <c r="A536">
        <v>23</v>
      </c>
      <c r="B536">
        <v>4</v>
      </c>
      <c r="C536" t="s">
        <v>231</v>
      </c>
      <c r="D536" t="s">
        <v>726</v>
      </c>
      <c r="E536" t="s">
        <v>101</v>
      </c>
      <c r="F536">
        <v>40</v>
      </c>
      <c r="G536" t="s">
        <v>128</v>
      </c>
      <c r="H536" t="s">
        <v>128</v>
      </c>
      <c r="I536" t="s">
        <v>101</v>
      </c>
      <c r="J536" t="s">
        <v>128</v>
      </c>
      <c r="K536" t="s">
        <v>128</v>
      </c>
      <c r="L536" t="s">
        <v>128</v>
      </c>
      <c r="M536" t="s">
        <v>1195</v>
      </c>
      <c r="N536" t="b">
        <v>0</v>
      </c>
    </row>
    <row r="537" spans="1:14">
      <c r="A537">
        <v>23</v>
      </c>
      <c r="B537">
        <v>5</v>
      </c>
      <c r="C537" t="s">
        <v>277</v>
      </c>
      <c r="D537" t="s">
        <v>726</v>
      </c>
      <c r="E537" t="s">
        <v>103</v>
      </c>
      <c r="F537">
        <v>30</v>
      </c>
      <c r="G537" t="s">
        <v>128</v>
      </c>
      <c r="H537" t="s">
        <v>128</v>
      </c>
      <c r="I537" t="s">
        <v>103</v>
      </c>
      <c r="J537" t="s">
        <v>128</v>
      </c>
      <c r="K537" t="s">
        <v>128</v>
      </c>
      <c r="L537" t="s">
        <v>128</v>
      </c>
      <c r="M537" t="s">
        <v>1196</v>
      </c>
      <c r="N537" t="b">
        <v>0</v>
      </c>
    </row>
    <row r="538" spans="1:14">
      <c r="A538">
        <v>23</v>
      </c>
      <c r="B538">
        <v>6</v>
      </c>
      <c r="C538" t="s">
        <v>168</v>
      </c>
      <c r="D538" t="s">
        <v>726</v>
      </c>
      <c r="E538" t="s">
        <v>115</v>
      </c>
      <c r="F538">
        <v>50</v>
      </c>
      <c r="G538" t="s">
        <v>128</v>
      </c>
      <c r="H538" t="s">
        <v>128</v>
      </c>
      <c r="I538" t="s">
        <v>115</v>
      </c>
      <c r="J538" t="s">
        <v>128</v>
      </c>
      <c r="K538" t="s">
        <v>128</v>
      </c>
      <c r="L538" t="s">
        <v>128</v>
      </c>
      <c r="M538" t="s">
        <v>1197</v>
      </c>
      <c r="N538" t="b">
        <v>0</v>
      </c>
    </row>
    <row r="539" spans="1:14">
      <c r="A539">
        <v>23</v>
      </c>
      <c r="B539">
        <v>7</v>
      </c>
      <c r="C539" t="s">
        <v>194</v>
      </c>
      <c r="D539" t="s">
        <v>726</v>
      </c>
      <c r="E539" t="s">
        <v>61</v>
      </c>
      <c r="F539">
        <v>30</v>
      </c>
      <c r="G539" t="s">
        <v>128</v>
      </c>
      <c r="H539" t="s">
        <v>128</v>
      </c>
      <c r="I539" t="s">
        <v>61</v>
      </c>
      <c r="J539" t="s">
        <v>128</v>
      </c>
      <c r="K539" t="s">
        <v>128</v>
      </c>
      <c r="L539" t="s">
        <v>128</v>
      </c>
      <c r="M539" t="s">
        <v>1198</v>
      </c>
      <c r="N539" t="b">
        <v>0</v>
      </c>
    </row>
    <row r="540" spans="1:14">
      <c r="A540">
        <v>23</v>
      </c>
      <c r="B540">
        <v>8</v>
      </c>
      <c r="C540" t="s">
        <v>222</v>
      </c>
      <c r="D540" t="s">
        <v>726</v>
      </c>
      <c r="E540" t="s">
        <v>68</v>
      </c>
      <c r="F540">
        <v>50</v>
      </c>
      <c r="G540" t="s">
        <v>128</v>
      </c>
      <c r="H540" t="s">
        <v>128</v>
      </c>
      <c r="I540" t="s">
        <v>68</v>
      </c>
      <c r="J540" t="s">
        <v>128</v>
      </c>
      <c r="K540" t="s">
        <v>128</v>
      </c>
      <c r="L540" t="s">
        <v>128</v>
      </c>
      <c r="M540" t="s">
        <v>1199</v>
      </c>
      <c r="N540" t="b">
        <v>0</v>
      </c>
    </row>
    <row r="541" spans="1:14">
      <c r="A541">
        <v>23</v>
      </c>
      <c r="B541">
        <v>9</v>
      </c>
      <c r="C541" t="s">
        <v>278</v>
      </c>
      <c r="D541" t="s">
        <v>726</v>
      </c>
      <c r="E541" t="s">
        <v>74</v>
      </c>
      <c r="F541">
        <v>40</v>
      </c>
      <c r="G541" t="s">
        <v>128</v>
      </c>
      <c r="H541" t="s">
        <v>128</v>
      </c>
      <c r="I541" t="s">
        <v>74</v>
      </c>
      <c r="J541" t="s">
        <v>128</v>
      </c>
      <c r="K541" t="s">
        <v>128</v>
      </c>
      <c r="L541" t="s">
        <v>128</v>
      </c>
      <c r="M541" t="s">
        <v>1200</v>
      </c>
      <c r="N541" t="b">
        <v>0</v>
      </c>
    </row>
    <row r="542" spans="1:14">
      <c r="A542">
        <v>23</v>
      </c>
      <c r="B542">
        <v>10</v>
      </c>
      <c r="C542" t="s">
        <v>165</v>
      </c>
      <c r="D542" t="s">
        <v>726</v>
      </c>
      <c r="E542" t="s">
        <v>78</v>
      </c>
      <c r="F542">
        <v>40</v>
      </c>
      <c r="G542" t="s">
        <v>128</v>
      </c>
      <c r="H542" t="s">
        <v>128</v>
      </c>
      <c r="I542" t="s">
        <v>78</v>
      </c>
      <c r="J542" t="s">
        <v>128</v>
      </c>
      <c r="K542" t="s">
        <v>128</v>
      </c>
      <c r="L542" t="s">
        <v>128</v>
      </c>
      <c r="M542" t="s">
        <v>1201</v>
      </c>
      <c r="N542" t="b">
        <v>0</v>
      </c>
    </row>
    <row r="543" spans="1:14">
      <c r="A543">
        <v>23</v>
      </c>
      <c r="B543">
        <v>11</v>
      </c>
      <c r="C543" t="s">
        <v>207</v>
      </c>
      <c r="D543" t="s">
        <v>726</v>
      </c>
      <c r="E543" t="s">
        <v>98</v>
      </c>
      <c r="F543">
        <v>40</v>
      </c>
      <c r="G543" t="s">
        <v>128</v>
      </c>
      <c r="H543" t="s">
        <v>128</v>
      </c>
      <c r="I543" t="s">
        <v>98</v>
      </c>
      <c r="J543" t="s">
        <v>128</v>
      </c>
      <c r="K543" t="s">
        <v>128</v>
      </c>
      <c r="L543" t="s">
        <v>128</v>
      </c>
      <c r="M543" t="s">
        <v>1202</v>
      </c>
      <c r="N543" t="b">
        <v>0</v>
      </c>
    </row>
    <row r="544" spans="1:14">
      <c r="A544">
        <v>23</v>
      </c>
      <c r="B544">
        <v>12</v>
      </c>
      <c r="C544" t="s">
        <v>197</v>
      </c>
      <c r="D544" t="s">
        <v>726</v>
      </c>
      <c r="E544" t="s">
        <v>108</v>
      </c>
      <c r="F544">
        <v>60</v>
      </c>
      <c r="G544" t="s">
        <v>128</v>
      </c>
      <c r="H544" t="s">
        <v>128</v>
      </c>
      <c r="I544" t="s">
        <v>108</v>
      </c>
      <c r="J544" t="s">
        <v>128</v>
      </c>
      <c r="K544" t="s">
        <v>128</v>
      </c>
      <c r="L544" t="s">
        <v>128</v>
      </c>
      <c r="M544" t="s">
        <v>1203</v>
      </c>
      <c r="N544" t="b">
        <v>0</v>
      </c>
    </row>
    <row r="545" spans="1:14">
      <c r="A545">
        <v>23</v>
      </c>
      <c r="B545">
        <v>13</v>
      </c>
      <c r="C545" t="s">
        <v>128</v>
      </c>
      <c r="D545" t="s">
        <v>726</v>
      </c>
      <c r="E545" t="s">
        <v>128</v>
      </c>
      <c r="F545">
        <v>0</v>
      </c>
      <c r="G545" t="s">
        <v>128</v>
      </c>
      <c r="H545" t="s">
        <v>128</v>
      </c>
      <c r="I545" t="s">
        <v>128</v>
      </c>
      <c r="J545" t="s">
        <v>128</v>
      </c>
      <c r="K545" t="s">
        <v>128</v>
      </c>
      <c r="L545" t="s">
        <v>128</v>
      </c>
      <c r="M545" t="s">
        <v>1204</v>
      </c>
      <c r="N545" t="b">
        <v>0</v>
      </c>
    </row>
    <row r="546" spans="1:14">
      <c r="A546">
        <v>23</v>
      </c>
      <c r="B546">
        <v>14</v>
      </c>
      <c r="C546" t="s">
        <v>128</v>
      </c>
      <c r="D546" t="s">
        <v>726</v>
      </c>
      <c r="E546" t="s">
        <v>128</v>
      </c>
      <c r="F546">
        <v>0</v>
      </c>
      <c r="G546" t="s">
        <v>128</v>
      </c>
      <c r="H546" t="s">
        <v>128</v>
      </c>
      <c r="I546" t="s">
        <v>128</v>
      </c>
      <c r="J546" t="s">
        <v>128</v>
      </c>
      <c r="K546" t="s">
        <v>128</v>
      </c>
      <c r="L546" t="s">
        <v>128</v>
      </c>
      <c r="M546" t="s">
        <v>1205</v>
      </c>
      <c r="N546" t="b">
        <v>0</v>
      </c>
    </row>
    <row r="547" spans="1:14">
      <c r="A547">
        <v>23</v>
      </c>
      <c r="B547">
        <v>15</v>
      </c>
      <c r="C547" t="s">
        <v>128</v>
      </c>
      <c r="D547" t="s">
        <v>726</v>
      </c>
      <c r="E547" t="s">
        <v>128</v>
      </c>
      <c r="F547">
        <v>0</v>
      </c>
      <c r="G547" t="s">
        <v>128</v>
      </c>
      <c r="H547" t="s">
        <v>128</v>
      </c>
      <c r="I547" t="s">
        <v>128</v>
      </c>
      <c r="J547" t="s">
        <v>128</v>
      </c>
      <c r="K547" t="s">
        <v>128</v>
      </c>
      <c r="L547" t="s">
        <v>128</v>
      </c>
      <c r="M547" t="s">
        <v>1206</v>
      </c>
      <c r="N547" t="b">
        <v>0</v>
      </c>
    </row>
    <row r="548" spans="1:14">
      <c r="A548">
        <v>23</v>
      </c>
      <c r="B548">
        <v>16</v>
      </c>
      <c r="C548" t="s">
        <v>208</v>
      </c>
      <c r="D548" t="s">
        <v>743</v>
      </c>
      <c r="E548" t="s">
        <v>109</v>
      </c>
      <c r="F548">
        <v>50</v>
      </c>
      <c r="G548" t="s">
        <v>128</v>
      </c>
      <c r="H548" t="s">
        <v>128</v>
      </c>
      <c r="I548" t="s">
        <v>109</v>
      </c>
      <c r="J548" t="s">
        <v>128</v>
      </c>
      <c r="K548" t="s">
        <v>128</v>
      </c>
      <c r="L548" t="s">
        <v>128</v>
      </c>
      <c r="M548" t="s">
        <v>1207</v>
      </c>
      <c r="N548" t="b">
        <v>0</v>
      </c>
    </row>
    <row r="549" spans="1:14">
      <c r="A549">
        <v>23</v>
      </c>
      <c r="B549">
        <v>17</v>
      </c>
      <c r="C549" t="s">
        <v>279</v>
      </c>
      <c r="D549" t="s">
        <v>743</v>
      </c>
      <c r="E549" t="s">
        <v>112</v>
      </c>
      <c r="F549">
        <v>60</v>
      </c>
      <c r="G549" t="s">
        <v>128</v>
      </c>
      <c r="H549" t="s">
        <v>128</v>
      </c>
      <c r="I549" t="s">
        <v>112</v>
      </c>
      <c r="J549" t="s">
        <v>128</v>
      </c>
      <c r="K549" t="s">
        <v>128</v>
      </c>
      <c r="L549" t="s">
        <v>128</v>
      </c>
      <c r="M549" t="s">
        <v>689</v>
      </c>
      <c r="N549" t="b">
        <v>0</v>
      </c>
    </row>
    <row r="550" spans="1:14">
      <c r="A550">
        <v>23</v>
      </c>
      <c r="B550">
        <v>18</v>
      </c>
      <c r="C550" t="s">
        <v>200</v>
      </c>
      <c r="D550" t="s">
        <v>743</v>
      </c>
      <c r="E550" t="s">
        <v>113</v>
      </c>
      <c r="F550">
        <v>50</v>
      </c>
      <c r="G550" t="s">
        <v>128</v>
      </c>
      <c r="H550" t="s">
        <v>128</v>
      </c>
      <c r="I550" t="s">
        <v>113</v>
      </c>
      <c r="J550" t="s">
        <v>128</v>
      </c>
      <c r="K550" t="s">
        <v>128</v>
      </c>
      <c r="L550" t="s">
        <v>128</v>
      </c>
      <c r="M550" t="s">
        <v>1208</v>
      </c>
      <c r="N550" t="b">
        <v>0</v>
      </c>
    </row>
    <row r="551" spans="1:14">
      <c r="A551">
        <v>23</v>
      </c>
      <c r="B551">
        <v>19</v>
      </c>
      <c r="C551" t="s">
        <v>280</v>
      </c>
      <c r="D551" t="s">
        <v>743</v>
      </c>
      <c r="E551" t="s">
        <v>92</v>
      </c>
      <c r="F551">
        <v>60</v>
      </c>
      <c r="G551" t="s">
        <v>128</v>
      </c>
      <c r="H551" t="s">
        <v>128</v>
      </c>
      <c r="I551" t="s">
        <v>92</v>
      </c>
      <c r="J551" t="s">
        <v>128</v>
      </c>
      <c r="K551" t="s">
        <v>128</v>
      </c>
      <c r="L551" t="s">
        <v>128</v>
      </c>
      <c r="M551" t="s">
        <v>1209</v>
      </c>
      <c r="N551" t="b">
        <v>0</v>
      </c>
    </row>
    <row r="552" spans="1:14">
      <c r="A552">
        <v>23</v>
      </c>
      <c r="B552">
        <v>20</v>
      </c>
      <c r="C552" t="s">
        <v>128</v>
      </c>
      <c r="D552" t="s">
        <v>743</v>
      </c>
      <c r="E552" t="s">
        <v>128</v>
      </c>
      <c r="F552">
        <v>0</v>
      </c>
      <c r="G552" t="s">
        <v>128</v>
      </c>
      <c r="H552" t="s">
        <v>128</v>
      </c>
      <c r="I552" t="s">
        <v>128</v>
      </c>
      <c r="J552" t="s">
        <v>128</v>
      </c>
      <c r="K552" t="s">
        <v>128</v>
      </c>
      <c r="L552" t="s">
        <v>128</v>
      </c>
      <c r="M552" t="s">
        <v>1210</v>
      </c>
      <c r="N552" t="b">
        <v>0</v>
      </c>
    </row>
    <row r="553" spans="1:14">
      <c r="A553">
        <v>23</v>
      </c>
      <c r="B553">
        <v>21</v>
      </c>
      <c r="C553" t="s">
        <v>128</v>
      </c>
      <c r="D553" t="s">
        <v>743</v>
      </c>
      <c r="E553" t="s">
        <v>128</v>
      </c>
      <c r="F553">
        <v>0</v>
      </c>
      <c r="G553" t="s">
        <v>128</v>
      </c>
      <c r="H553" t="s">
        <v>128</v>
      </c>
      <c r="I553" t="s">
        <v>128</v>
      </c>
      <c r="J553" t="s">
        <v>128</v>
      </c>
      <c r="K553" t="s">
        <v>128</v>
      </c>
      <c r="L553" t="s">
        <v>128</v>
      </c>
      <c r="M553" t="s">
        <v>1211</v>
      </c>
      <c r="N553" t="b">
        <v>0</v>
      </c>
    </row>
    <row r="554" spans="1:14">
      <c r="A554">
        <v>23</v>
      </c>
      <c r="B554">
        <v>22</v>
      </c>
      <c r="C554" t="s">
        <v>128</v>
      </c>
      <c r="D554" t="s">
        <v>743</v>
      </c>
      <c r="E554" t="s">
        <v>128</v>
      </c>
      <c r="F554">
        <v>0</v>
      </c>
      <c r="G554" t="s">
        <v>128</v>
      </c>
      <c r="H554" t="s">
        <v>128</v>
      </c>
      <c r="I554" t="s">
        <v>128</v>
      </c>
      <c r="J554" t="s">
        <v>128</v>
      </c>
      <c r="K554" t="s">
        <v>128</v>
      </c>
      <c r="L554" t="s">
        <v>128</v>
      </c>
      <c r="M554" t="s">
        <v>1212</v>
      </c>
      <c r="N554" t="b">
        <v>0</v>
      </c>
    </row>
    <row r="555" spans="1:14">
      <c r="A555">
        <v>23</v>
      </c>
      <c r="B555">
        <v>23</v>
      </c>
      <c r="C555" t="s">
        <v>128</v>
      </c>
      <c r="D555" t="s">
        <v>743</v>
      </c>
      <c r="E555" t="s">
        <v>128</v>
      </c>
      <c r="F555">
        <v>0</v>
      </c>
      <c r="G555" t="s">
        <v>128</v>
      </c>
      <c r="H555" t="s">
        <v>128</v>
      </c>
      <c r="I555" t="s">
        <v>128</v>
      </c>
      <c r="J555" t="s">
        <v>128</v>
      </c>
      <c r="K555" t="s">
        <v>128</v>
      </c>
      <c r="L555" t="s">
        <v>128</v>
      </c>
      <c r="M555" t="s">
        <v>1213</v>
      </c>
      <c r="N555" t="b">
        <v>0</v>
      </c>
    </row>
    <row r="556" spans="1:14">
      <c r="A556">
        <v>23</v>
      </c>
      <c r="B556">
        <v>24</v>
      </c>
      <c r="C556" t="s">
        <v>128</v>
      </c>
      <c r="D556" t="s">
        <v>743</v>
      </c>
      <c r="E556" t="s">
        <v>128</v>
      </c>
      <c r="F556">
        <v>0</v>
      </c>
      <c r="G556" t="s">
        <v>128</v>
      </c>
      <c r="H556" t="s">
        <v>128</v>
      </c>
      <c r="I556" t="s">
        <v>128</v>
      </c>
      <c r="J556" t="s">
        <v>128</v>
      </c>
      <c r="K556" t="s">
        <v>128</v>
      </c>
      <c r="L556" t="s">
        <v>128</v>
      </c>
      <c r="M556" t="s">
        <v>1214</v>
      </c>
      <c r="N556" t="b">
        <v>0</v>
      </c>
    </row>
    <row r="557" spans="1:14">
      <c r="A557">
        <v>23</v>
      </c>
      <c r="B557">
        <v>25</v>
      </c>
      <c r="C557" t="s">
        <v>128</v>
      </c>
      <c r="D557" t="s">
        <v>743</v>
      </c>
      <c r="E557" t="s">
        <v>128</v>
      </c>
      <c r="F557">
        <v>0</v>
      </c>
      <c r="G557" t="s">
        <v>128</v>
      </c>
      <c r="H557" t="s">
        <v>128</v>
      </c>
      <c r="I557" t="s">
        <v>128</v>
      </c>
      <c r="J557" t="s">
        <v>128</v>
      </c>
      <c r="K557" t="s">
        <v>128</v>
      </c>
      <c r="L557" t="s">
        <v>128</v>
      </c>
      <c r="M557" t="s">
        <v>1215</v>
      </c>
      <c r="N557" t="b">
        <v>0</v>
      </c>
    </row>
    <row r="558" spans="1:14">
      <c r="A558">
        <v>23</v>
      </c>
      <c r="B558">
        <v>26</v>
      </c>
      <c r="C558" t="s">
        <v>128</v>
      </c>
      <c r="D558" t="s">
        <v>743</v>
      </c>
      <c r="E558" t="s">
        <v>128</v>
      </c>
      <c r="F558">
        <v>0</v>
      </c>
      <c r="G558" t="s">
        <v>128</v>
      </c>
      <c r="H558" t="s">
        <v>128</v>
      </c>
      <c r="I558" t="s">
        <v>128</v>
      </c>
      <c r="J558" t="s">
        <v>128</v>
      </c>
      <c r="K558" t="s">
        <v>128</v>
      </c>
      <c r="L558" t="s">
        <v>128</v>
      </c>
      <c r="M558" t="s">
        <v>1216</v>
      </c>
      <c r="N558" t="b">
        <v>0</v>
      </c>
    </row>
    <row r="559" spans="1:14">
      <c r="A559">
        <v>24</v>
      </c>
      <c r="B559">
        <v>0</v>
      </c>
      <c r="C559" t="s">
        <v>198</v>
      </c>
      <c r="D559" t="s">
        <v>726</v>
      </c>
      <c r="E559" t="s">
        <v>60</v>
      </c>
      <c r="F559">
        <v>60</v>
      </c>
      <c r="G559" t="s">
        <v>128</v>
      </c>
      <c r="H559" t="s">
        <v>128</v>
      </c>
      <c r="I559" t="s">
        <v>60</v>
      </c>
      <c r="J559" t="s">
        <v>128</v>
      </c>
      <c r="K559" t="s">
        <v>128</v>
      </c>
      <c r="L559" t="s">
        <v>128</v>
      </c>
      <c r="M559" t="s">
        <v>1217</v>
      </c>
      <c r="N559" t="b">
        <v>0</v>
      </c>
    </row>
    <row r="560" spans="1:14">
      <c r="A560">
        <v>24</v>
      </c>
      <c r="B560">
        <v>1</v>
      </c>
      <c r="C560" t="s">
        <v>247</v>
      </c>
      <c r="D560" t="s">
        <v>726</v>
      </c>
      <c r="E560" t="s">
        <v>83</v>
      </c>
      <c r="F560">
        <v>60</v>
      </c>
      <c r="G560" t="s">
        <v>128</v>
      </c>
      <c r="H560" t="s">
        <v>128</v>
      </c>
      <c r="I560" t="s">
        <v>83</v>
      </c>
      <c r="J560" t="s">
        <v>128</v>
      </c>
      <c r="K560" t="s">
        <v>128</v>
      </c>
      <c r="L560" t="s">
        <v>128</v>
      </c>
      <c r="M560" t="s">
        <v>1218</v>
      </c>
      <c r="N560" t="b">
        <v>0</v>
      </c>
    </row>
    <row r="561" spans="1:14">
      <c r="A561">
        <v>24</v>
      </c>
      <c r="B561">
        <v>2</v>
      </c>
      <c r="C561" t="s">
        <v>199</v>
      </c>
      <c r="D561" t="s">
        <v>726</v>
      </c>
      <c r="E561" t="s">
        <v>87</v>
      </c>
      <c r="F561">
        <v>50</v>
      </c>
      <c r="G561" t="s">
        <v>128</v>
      </c>
      <c r="H561" t="s">
        <v>128</v>
      </c>
      <c r="I561" t="s">
        <v>87</v>
      </c>
      <c r="J561" t="s">
        <v>128</v>
      </c>
      <c r="K561" t="s">
        <v>128</v>
      </c>
      <c r="L561" t="s">
        <v>128</v>
      </c>
      <c r="M561" t="s">
        <v>1219</v>
      </c>
      <c r="N561" t="b">
        <v>0</v>
      </c>
    </row>
    <row r="562" spans="1:14">
      <c r="A562">
        <v>24</v>
      </c>
      <c r="B562">
        <v>3</v>
      </c>
      <c r="C562" t="s">
        <v>282</v>
      </c>
      <c r="D562" t="s">
        <v>726</v>
      </c>
      <c r="E562" t="s">
        <v>93</v>
      </c>
      <c r="F562">
        <v>30</v>
      </c>
      <c r="G562" t="s">
        <v>128</v>
      </c>
      <c r="H562" t="s">
        <v>128</v>
      </c>
      <c r="I562" t="s">
        <v>93</v>
      </c>
      <c r="J562" t="s">
        <v>128</v>
      </c>
      <c r="K562" t="s">
        <v>128</v>
      </c>
      <c r="L562" t="s">
        <v>128</v>
      </c>
      <c r="M562" t="s">
        <v>1220</v>
      </c>
      <c r="N562" t="b">
        <v>0</v>
      </c>
    </row>
    <row r="563" spans="1:14">
      <c r="A563">
        <v>24</v>
      </c>
      <c r="B563">
        <v>4</v>
      </c>
      <c r="C563" t="s">
        <v>161</v>
      </c>
      <c r="D563" t="s">
        <v>755</v>
      </c>
      <c r="E563" t="s">
        <v>299</v>
      </c>
      <c r="F563">
        <v>50</v>
      </c>
      <c r="G563" t="s">
        <v>762</v>
      </c>
      <c r="H563" t="s">
        <v>128</v>
      </c>
      <c r="I563" t="s">
        <v>128</v>
      </c>
      <c r="J563" t="s">
        <v>763</v>
      </c>
      <c r="K563" t="s">
        <v>764</v>
      </c>
      <c r="L563" t="s">
        <v>765</v>
      </c>
      <c r="M563" t="s">
        <v>1221</v>
      </c>
      <c r="N563" t="b">
        <v>0</v>
      </c>
    </row>
    <row r="564" spans="1:14">
      <c r="A564">
        <v>24</v>
      </c>
      <c r="B564">
        <v>5</v>
      </c>
      <c r="C564" t="s">
        <v>248</v>
      </c>
      <c r="D564" t="s">
        <v>726</v>
      </c>
      <c r="E564" t="s">
        <v>114</v>
      </c>
      <c r="F564">
        <v>40</v>
      </c>
      <c r="G564" t="s">
        <v>128</v>
      </c>
      <c r="H564" t="s">
        <v>128</v>
      </c>
      <c r="I564" t="s">
        <v>114</v>
      </c>
      <c r="J564" t="s">
        <v>128</v>
      </c>
      <c r="K564" t="s">
        <v>128</v>
      </c>
      <c r="L564" t="s">
        <v>128</v>
      </c>
      <c r="M564" t="s">
        <v>1222</v>
      </c>
      <c r="N564" t="b">
        <v>0</v>
      </c>
    </row>
    <row r="565" spans="1:14">
      <c r="A565">
        <v>24</v>
      </c>
      <c r="B565">
        <v>6</v>
      </c>
      <c r="C565" t="s">
        <v>184</v>
      </c>
      <c r="D565" t="s">
        <v>726</v>
      </c>
      <c r="E565" t="s">
        <v>61</v>
      </c>
      <c r="F565">
        <v>40</v>
      </c>
      <c r="G565" t="s">
        <v>128</v>
      </c>
      <c r="H565" t="s">
        <v>128</v>
      </c>
      <c r="I565" t="s">
        <v>61</v>
      </c>
      <c r="J565" t="s">
        <v>128</v>
      </c>
      <c r="K565" t="s">
        <v>128</v>
      </c>
      <c r="L565" t="s">
        <v>128</v>
      </c>
      <c r="M565" t="s">
        <v>1223</v>
      </c>
      <c r="N565" t="b">
        <v>0</v>
      </c>
    </row>
    <row r="566" spans="1:14">
      <c r="A566">
        <v>24</v>
      </c>
      <c r="B566">
        <v>7</v>
      </c>
      <c r="C566" t="s">
        <v>195</v>
      </c>
      <c r="D566" t="s">
        <v>726</v>
      </c>
      <c r="E566" t="s">
        <v>78</v>
      </c>
      <c r="F566">
        <v>50</v>
      </c>
      <c r="G566" t="s">
        <v>128</v>
      </c>
      <c r="H566" t="s">
        <v>128</v>
      </c>
      <c r="I566" t="s">
        <v>78</v>
      </c>
      <c r="J566" t="s">
        <v>128</v>
      </c>
      <c r="K566" t="s">
        <v>128</v>
      </c>
      <c r="L566" t="s">
        <v>128</v>
      </c>
      <c r="M566" t="s">
        <v>1224</v>
      </c>
      <c r="N566" t="b">
        <v>0</v>
      </c>
    </row>
    <row r="567" spans="1:14">
      <c r="A567">
        <v>24</v>
      </c>
      <c r="B567">
        <v>8</v>
      </c>
      <c r="C567" t="s">
        <v>128</v>
      </c>
      <c r="D567" t="s">
        <v>726</v>
      </c>
      <c r="E567" t="s">
        <v>128</v>
      </c>
      <c r="F567">
        <v>0</v>
      </c>
      <c r="G567" t="s">
        <v>128</v>
      </c>
      <c r="H567" t="s">
        <v>128</v>
      </c>
      <c r="I567" t="s">
        <v>128</v>
      </c>
      <c r="J567" t="s">
        <v>128</v>
      </c>
      <c r="K567" t="s">
        <v>128</v>
      </c>
      <c r="L567" t="s">
        <v>128</v>
      </c>
      <c r="M567" t="s">
        <v>1225</v>
      </c>
      <c r="N567" t="b">
        <v>0</v>
      </c>
    </row>
    <row r="568" spans="1:14">
      <c r="A568">
        <v>24</v>
      </c>
      <c r="B568">
        <v>9</v>
      </c>
      <c r="C568" t="s">
        <v>128</v>
      </c>
      <c r="D568" t="s">
        <v>726</v>
      </c>
      <c r="E568" t="s">
        <v>128</v>
      </c>
      <c r="F568">
        <v>0</v>
      </c>
      <c r="G568" t="s">
        <v>128</v>
      </c>
      <c r="H568" t="s">
        <v>128</v>
      </c>
      <c r="I568" t="s">
        <v>128</v>
      </c>
      <c r="J568" t="s">
        <v>128</v>
      </c>
      <c r="K568" t="s">
        <v>128</v>
      </c>
      <c r="L568" t="s">
        <v>128</v>
      </c>
      <c r="M568" t="s">
        <v>1226</v>
      </c>
      <c r="N568" t="b">
        <v>0</v>
      </c>
    </row>
    <row r="569" spans="1:14">
      <c r="A569">
        <v>24</v>
      </c>
      <c r="B569">
        <v>10</v>
      </c>
      <c r="C569" t="s">
        <v>128</v>
      </c>
      <c r="D569" t="s">
        <v>726</v>
      </c>
      <c r="E569" t="s">
        <v>128</v>
      </c>
      <c r="F569">
        <v>0</v>
      </c>
      <c r="G569" t="s">
        <v>128</v>
      </c>
      <c r="H569" t="s">
        <v>128</v>
      </c>
      <c r="I569" t="s">
        <v>128</v>
      </c>
      <c r="J569" t="s">
        <v>128</v>
      </c>
      <c r="K569" t="s">
        <v>128</v>
      </c>
      <c r="L569" t="s">
        <v>128</v>
      </c>
      <c r="M569" t="s">
        <v>1227</v>
      </c>
      <c r="N569" t="b">
        <v>0</v>
      </c>
    </row>
    <row r="570" spans="1:14">
      <c r="A570">
        <v>24</v>
      </c>
      <c r="B570">
        <v>11</v>
      </c>
      <c r="C570" t="s">
        <v>128</v>
      </c>
      <c r="D570" t="s">
        <v>726</v>
      </c>
      <c r="E570" t="s">
        <v>128</v>
      </c>
      <c r="F570">
        <v>0</v>
      </c>
      <c r="G570" t="s">
        <v>128</v>
      </c>
      <c r="H570" t="s">
        <v>128</v>
      </c>
      <c r="I570" t="s">
        <v>128</v>
      </c>
      <c r="J570" t="s">
        <v>128</v>
      </c>
      <c r="K570" t="s">
        <v>128</v>
      </c>
      <c r="L570" t="s">
        <v>128</v>
      </c>
      <c r="M570" t="s">
        <v>1228</v>
      </c>
      <c r="N570" t="b">
        <v>0</v>
      </c>
    </row>
    <row r="571" spans="1:14">
      <c r="A571">
        <v>24</v>
      </c>
      <c r="B571">
        <v>12</v>
      </c>
      <c r="C571" t="s">
        <v>128</v>
      </c>
      <c r="D571" t="s">
        <v>726</v>
      </c>
      <c r="E571" t="s">
        <v>128</v>
      </c>
      <c r="F571">
        <v>0</v>
      </c>
      <c r="G571" t="s">
        <v>128</v>
      </c>
      <c r="H571" t="s">
        <v>128</v>
      </c>
      <c r="I571" t="s">
        <v>128</v>
      </c>
      <c r="J571" t="s">
        <v>128</v>
      </c>
      <c r="K571" t="s">
        <v>128</v>
      </c>
      <c r="L571" t="s">
        <v>128</v>
      </c>
      <c r="M571" t="s">
        <v>1229</v>
      </c>
      <c r="N571" t="b">
        <v>0</v>
      </c>
    </row>
    <row r="572" spans="1:14">
      <c r="A572">
        <v>24</v>
      </c>
      <c r="B572">
        <v>13</v>
      </c>
      <c r="C572" t="s">
        <v>128</v>
      </c>
      <c r="D572" t="s">
        <v>726</v>
      </c>
      <c r="E572" t="s">
        <v>128</v>
      </c>
      <c r="F572">
        <v>0</v>
      </c>
      <c r="G572" t="s">
        <v>128</v>
      </c>
      <c r="H572" t="s">
        <v>128</v>
      </c>
      <c r="I572" t="s">
        <v>128</v>
      </c>
      <c r="J572" t="s">
        <v>128</v>
      </c>
      <c r="K572" t="s">
        <v>128</v>
      </c>
      <c r="L572" t="s">
        <v>128</v>
      </c>
      <c r="M572" t="s">
        <v>1230</v>
      </c>
      <c r="N572" t="b">
        <v>0</v>
      </c>
    </row>
    <row r="573" spans="1:14">
      <c r="A573">
        <v>24</v>
      </c>
      <c r="B573">
        <v>14</v>
      </c>
      <c r="C573" t="s">
        <v>128</v>
      </c>
      <c r="D573" t="s">
        <v>726</v>
      </c>
      <c r="E573" t="s">
        <v>128</v>
      </c>
      <c r="F573">
        <v>0</v>
      </c>
      <c r="G573" t="s">
        <v>128</v>
      </c>
      <c r="H573" t="s">
        <v>128</v>
      </c>
      <c r="I573" t="s">
        <v>128</v>
      </c>
      <c r="J573" t="s">
        <v>128</v>
      </c>
      <c r="K573" t="s">
        <v>128</v>
      </c>
      <c r="L573" t="s">
        <v>128</v>
      </c>
      <c r="M573" t="s">
        <v>1231</v>
      </c>
      <c r="N573" t="b">
        <v>0</v>
      </c>
    </row>
    <row r="574" spans="1:14">
      <c r="A574">
        <v>24</v>
      </c>
      <c r="B574">
        <v>15</v>
      </c>
      <c r="C574" t="s">
        <v>128</v>
      </c>
      <c r="D574" t="s">
        <v>726</v>
      </c>
      <c r="E574" t="s">
        <v>128</v>
      </c>
      <c r="F574">
        <v>0</v>
      </c>
      <c r="G574" t="s">
        <v>128</v>
      </c>
      <c r="H574" t="s">
        <v>128</v>
      </c>
      <c r="I574" t="s">
        <v>128</v>
      </c>
      <c r="J574" t="s">
        <v>128</v>
      </c>
      <c r="K574" t="s">
        <v>128</v>
      </c>
      <c r="L574" t="s">
        <v>128</v>
      </c>
      <c r="M574" t="s">
        <v>1232</v>
      </c>
      <c r="N574" t="b">
        <v>0</v>
      </c>
    </row>
    <row r="575" spans="1:14">
      <c r="A575">
        <v>24</v>
      </c>
      <c r="B575">
        <v>16</v>
      </c>
      <c r="C575" t="s">
        <v>283</v>
      </c>
      <c r="D575" t="s">
        <v>743</v>
      </c>
      <c r="E575" t="s">
        <v>67</v>
      </c>
      <c r="F575">
        <v>30</v>
      </c>
      <c r="G575" t="s">
        <v>128</v>
      </c>
      <c r="H575" t="s">
        <v>128</v>
      </c>
      <c r="I575" t="s">
        <v>67</v>
      </c>
      <c r="J575" t="s">
        <v>128</v>
      </c>
      <c r="K575" t="s">
        <v>128</v>
      </c>
      <c r="L575" t="s">
        <v>128</v>
      </c>
      <c r="M575" t="s">
        <v>1233</v>
      </c>
      <c r="N575" t="b">
        <v>0</v>
      </c>
    </row>
    <row r="576" spans="1:14">
      <c r="A576">
        <v>24</v>
      </c>
      <c r="B576">
        <v>17</v>
      </c>
      <c r="C576" t="s">
        <v>284</v>
      </c>
      <c r="D576" t="s">
        <v>743</v>
      </c>
      <c r="E576" t="s">
        <v>545</v>
      </c>
      <c r="F576">
        <v>30</v>
      </c>
      <c r="G576" t="s">
        <v>762</v>
      </c>
      <c r="H576" t="s">
        <v>128</v>
      </c>
      <c r="I576" t="s">
        <v>128</v>
      </c>
      <c r="J576" t="s">
        <v>1104</v>
      </c>
      <c r="K576" t="s">
        <v>1105</v>
      </c>
      <c r="L576" t="s">
        <v>1058</v>
      </c>
      <c r="M576" t="s">
        <v>691</v>
      </c>
      <c r="N576" t="b">
        <v>0</v>
      </c>
    </row>
    <row r="577" spans="1:14">
      <c r="A577">
        <v>24</v>
      </c>
      <c r="B577">
        <v>18</v>
      </c>
      <c r="C577" t="s">
        <v>285</v>
      </c>
      <c r="D577" t="s">
        <v>743</v>
      </c>
      <c r="E577" t="s">
        <v>546</v>
      </c>
      <c r="F577">
        <v>30</v>
      </c>
      <c r="G577" t="s">
        <v>762</v>
      </c>
      <c r="H577" t="s">
        <v>128</v>
      </c>
      <c r="I577" t="s">
        <v>128</v>
      </c>
      <c r="J577" t="s">
        <v>819</v>
      </c>
      <c r="K577" t="s">
        <v>794</v>
      </c>
      <c r="L577" t="s">
        <v>795</v>
      </c>
      <c r="M577" t="s">
        <v>1234</v>
      </c>
      <c r="N577" t="b">
        <v>0</v>
      </c>
    </row>
    <row r="578" spans="1:14">
      <c r="A578">
        <v>24</v>
      </c>
      <c r="B578">
        <v>19</v>
      </c>
      <c r="C578" t="s">
        <v>286</v>
      </c>
      <c r="D578" t="s">
        <v>743</v>
      </c>
      <c r="E578" t="s">
        <v>547</v>
      </c>
      <c r="F578">
        <v>30</v>
      </c>
      <c r="G578" t="s">
        <v>762</v>
      </c>
      <c r="H578" t="s">
        <v>128</v>
      </c>
      <c r="I578" t="s">
        <v>128</v>
      </c>
      <c r="J578" t="s">
        <v>826</v>
      </c>
      <c r="K578" t="s">
        <v>803</v>
      </c>
      <c r="L578" t="s">
        <v>804</v>
      </c>
      <c r="M578" t="s">
        <v>1235</v>
      </c>
      <c r="N578" t="b">
        <v>0</v>
      </c>
    </row>
    <row r="579" spans="1:14">
      <c r="A579">
        <v>24</v>
      </c>
      <c r="B579">
        <v>20</v>
      </c>
      <c r="C579" t="s">
        <v>128</v>
      </c>
      <c r="D579" t="s">
        <v>743</v>
      </c>
      <c r="E579" t="s">
        <v>128</v>
      </c>
      <c r="F579">
        <v>0</v>
      </c>
      <c r="G579" t="s">
        <v>128</v>
      </c>
      <c r="H579" t="s">
        <v>128</v>
      </c>
      <c r="I579" t="s">
        <v>128</v>
      </c>
      <c r="J579" t="s">
        <v>128</v>
      </c>
      <c r="K579" t="s">
        <v>128</v>
      </c>
      <c r="L579" t="s">
        <v>128</v>
      </c>
      <c r="M579" t="s">
        <v>1236</v>
      </c>
      <c r="N579" t="b">
        <v>0</v>
      </c>
    </row>
    <row r="580" spans="1:14">
      <c r="A580">
        <v>24</v>
      </c>
      <c r="B580">
        <v>21</v>
      </c>
      <c r="C580" t="s">
        <v>128</v>
      </c>
      <c r="D580" t="s">
        <v>743</v>
      </c>
      <c r="E580" t="s">
        <v>128</v>
      </c>
      <c r="F580">
        <v>0</v>
      </c>
      <c r="G580" t="s">
        <v>128</v>
      </c>
      <c r="H580" t="s">
        <v>128</v>
      </c>
      <c r="I580" t="s">
        <v>128</v>
      </c>
      <c r="J580" t="s">
        <v>128</v>
      </c>
      <c r="K580" t="s">
        <v>128</v>
      </c>
      <c r="L580" t="s">
        <v>128</v>
      </c>
      <c r="M580" t="s">
        <v>1237</v>
      </c>
      <c r="N580" t="b">
        <v>0</v>
      </c>
    </row>
    <row r="581" spans="1:14">
      <c r="A581">
        <v>24</v>
      </c>
      <c r="B581">
        <v>22</v>
      </c>
      <c r="C581" t="s">
        <v>128</v>
      </c>
      <c r="D581" t="s">
        <v>743</v>
      </c>
      <c r="E581" t="s">
        <v>128</v>
      </c>
      <c r="F581">
        <v>0</v>
      </c>
      <c r="G581" t="s">
        <v>128</v>
      </c>
      <c r="H581" t="s">
        <v>128</v>
      </c>
      <c r="I581" t="s">
        <v>128</v>
      </c>
      <c r="J581" t="s">
        <v>128</v>
      </c>
      <c r="K581" t="s">
        <v>128</v>
      </c>
      <c r="L581" t="s">
        <v>128</v>
      </c>
      <c r="M581" t="s">
        <v>1238</v>
      </c>
      <c r="N581" t="b">
        <v>0</v>
      </c>
    </row>
    <row r="582" spans="1:14">
      <c r="A582">
        <v>24</v>
      </c>
      <c r="B582">
        <v>23</v>
      </c>
      <c r="C582" t="s">
        <v>128</v>
      </c>
      <c r="D582" t="s">
        <v>743</v>
      </c>
      <c r="E582" t="s">
        <v>128</v>
      </c>
      <c r="F582">
        <v>0</v>
      </c>
      <c r="G582" t="s">
        <v>128</v>
      </c>
      <c r="H582" t="s">
        <v>128</v>
      </c>
      <c r="I582" t="s">
        <v>128</v>
      </c>
      <c r="J582" t="s">
        <v>128</v>
      </c>
      <c r="K582" t="s">
        <v>128</v>
      </c>
      <c r="L582" t="s">
        <v>128</v>
      </c>
      <c r="M582" t="s">
        <v>1239</v>
      </c>
      <c r="N582" t="b">
        <v>0</v>
      </c>
    </row>
    <row r="583" spans="1:14">
      <c r="A583">
        <v>24</v>
      </c>
      <c r="B583">
        <v>24</v>
      </c>
      <c r="C583" t="s">
        <v>128</v>
      </c>
      <c r="D583" t="s">
        <v>743</v>
      </c>
      <c r="E583" t="s">
        <v>128</v>
      </c>
      <c r="F583">
        <v>0</v>
      </c>
      <c r="G583" t="s">
        <v>128</v>
      </c>
      <c r="H583" t="s">
        <v>128</v>
      </c>
      <c r="I583" t="s">
        <v>128</v>
      </c>
      <c r="J583" t="s">
        <v>128</v>
      </c>
      <c r="K583" t="s">
        <v>128</v>
      </c>
      <c r="L583" t="s">
        <v>128</v>
      </c>
      <c r="M583" t="s">
        <v>1240</v>
      </c>
      <c r="N583" t="b">
        <v>0</v>
      </c>
    </row>
    <row r="584" spans="1:14">
      <c r="A584">
        <v>24</v>
      </c>
      <c r="B584">
        <v>25</v>
      </c>
      <c r="C584" t="s">
        <v>128</v>
      </c>
      <c r="D584" t="s">
        <v>743</v>
      </c>
      <c r="E584" t="s">
        <v>128</v>
      </c>
      <c r="F584">
        <v>0</v>
      </c>
      <c r="G584" t="s">
        <v>128</v>
      </c>
      <c r="H584" t="s">
        <v>128</v>
      </c>
      <c r="I584" t="s">
        <v>128</v>
      </c>
      <c r="J584" t="s">
        <v>128</v>
      </c>
      <c r="K584" t="s">
        <v>128</v>
      </c>
      <c r="L584" t="s">
        <v>128</v>
      </c>
      <c r="M584" t="s">
        <v>1241</v>
      </c>
      <c r="N584" t="b">
        <v>0</v>
      </c>
    </row>
    <row r="585" spans="1:14">
      <c r="A585">
        <v>24</v>
      </c>
      <c r="B585">
        <v>26</v>
      </c>
      <c r="C585" t="s">
        <v>128</v>
      </c>
      <c r="D585" t="s">
        <v>743</v>
      </c>
      <c r="E585" t="s">
        <v>128</v>
      </c>
      <c r="F585">
        <v>0</v>
      </c>
      <c r="G585" t="s">
        <v>128</v>
      </c>
      <c r="H585" t="s">
        <v>128</v>
      </c>
      <c r="I585" t="s">
        <v>128</v>
      </c>
      <c r="J585" t="s">
        <v>128</v>
      </c>
      <c r="K585" t="s">
        <v>128</v>
      </c>
      <c r="L585" t="s">
        <v>128</v>
      </c>
      <c r="M585" t="s">
        <v>1242</v>
      </c>
      <c r="N585" t="b">
        <v>0</v>
      </c>
    </row>
    <row r="586" spans="1:14">
      <c r="A586">
        <v>25</v>
      </c>
      <c r="B586">
        <v>0</v>
      </c>
      <c r="C586" t="s">
        <v>188</v>
      </c>
      <c r="D586" t="s">
        <v>726</v>
      </c>
      <c r="E586" t="s">
        <v>65</v>
      </c>
      <c r="F586">
        <v>50</v>
      </c>
      <c r="G586" t="s">
        <v>128</v>
      </c>
      <c r="H586" t="s">
        <v>128</v>
      </c>
      <c r="I586" t="s">
        <v>65</v>
      </c>
      <c r="J586" t="s">
        <v>128</v>
      </c>
      <c r="K586" t="s">
        <v>128</v>
      </c>
      <c r="L586" t="s">
        <v>128</v>
      </c>
      <c r="M586" t="s">
        <v>1243</v>
      </c>
      <c r="N586" t="b">
        <v>0</v>
      </c>
    </row>
    <row r="587" spans="1:14">
      <c r="A587">
        <v>25</v>
      </c>
      <c r="B587">
        <v>1</v>
      </c>
      <c r="C587" t="s">
        <v>228</v>
      </c>
      <c r="D587" t="s">
        <v>726</v>
      </c>
      <c r="E587" t="s">
        <v>77</v>
      </c>
      <c r="F587">
        <v>50</v>
      </c>
      <c r="G587" t="s">
        <v>128</v>
      </c>
      <c r="H587" t="s">
        <v>128</v>
      </c>
      <c r="I587" t="s">
        <v>77</v>
      </c>
      <c r="J587" t="s">
        <v>128</v>
      </c>
      <c r="K587" t="s">
        <v>128</v>
      </c>
      <c r="L587" t="s">
        <v>128</v>
      </c>
      <c r="M587" t="s">
        <v>1244</v>
      </c>
      <c r="N587" t="b">
        <v>0</v>
      </c>
    </row>
    <row r="588" spans="1:14">
      <c r="A588">
        <v>25</v>
      </c>
      <c r="B588">
        <v>2</v>
      </c>
      <c r="C588" t="s">
        <v>270</v>
      </c>
      <c r="D588" t="s">
        <v>726</v>
      </c>
      <c r="E588" t="s">
        <v>83</v>
      </c>
      <c r="F588">
        <v>30</v>
      </c>
      <c r="G588" t="s">
        <v>128</v>
      </c>
      <c r="H588" t="s">
        <v>128</v>
      </c>
      <c r="I588" t="s">
        <v>83</v>
      </c>
      <c r="J588" t="s">
        <v>128</v>
      </c>
      <c r="K588" t="s">
        <v>128</v>
      </c>
      <c r="L588" t="s">
        <v>128</v>
      </c>
      <c r="M588" t="s">
        <v>1245</v>
      </c>
      <c r="N588" t="b">
        <v>0</v>
      </c>
    </row>
    <row r="589" spans="1:14">
      <c r="A589">
        <v>25</v>
      </c>
      <c r="B589">
        <v>3</v>
      </c>
      <c r="C589" t="s">
        <v>253</v>
      </c>
      <c r="D589" t="s">
        <v>726</v>
      </c>
      <c r="E589" t="s">
        <v>99</v>
      </c>
      <c r="F589">
        <v>40</v>
      </c>
      <c r="G589" t="s">
        <v>128</v>
      </c>
      <c r="H589" t="s">
        <v>128</v>
      </c>
      <c r="I589" t="s">
        <v>99</v>
      </c>
      <c r="J589" t="s">
        <v>128</v>
      </c>
      <c r="K589" t="s">
        <v>128</v>
      </c>
      <c r="L589" t="s">
        <v>128</v>
      </c>
      <c r="M589" t="s">
        <v>1246</v>
      </c>
      <c r="N589" t="b">
        <v>0</v>
      </c>
    </row>
    <row r="590" spans="1:14">
      <c r="A590">
        <v>25</v>
      </c>
      <c r="B590">
        <v>4</v>
      </c>
      <c r="C590" t="s">
        <v>231</v>
      </c>
      <c r="D590" t="s">
        <v>726</v>
      </c>
      <c r="E590" t="s">
        <v>101</v>
      </c>
      <c r="F590">
        <v>40</v>
      </c>
      <c r="G590" t="s">
        <v>128</v>
      </c>
      <c r="H590" t="s">
        <v>128</v>
      </c>
      <c r="I590" t="s">
        <v>101</v>
      </c>
      <c r="J590" t="s">
        <v>128</v>
      </c>
      <c r="K590" t="s">
        <v>128</v>
      </c>
      <c r="L590" t="s">
        <v>128</v>
      </c>
      <c r="M590" t="s">
        <v>1247</v>
      </c>
      <c r="N590" t="b">
        <v>0</v>
      </c>
    </row>
    <row r="591" spans="1:14">
      <c r="A591">
        <v>25</v>
      </c>
      <c r="B591">
        <v>5</v>
      </c>
      <c r="C591" t="s">
        <v>289</v>
      </c>
      <c r="D591" t="s">
        <v>726</v>
      </c>
      <c r="E591" t="s">
        <v>103</v>
      </c>
      <c r="F591">
        <v>40</v>
      </c>
      <c r="G591" t="s">
        <v>128</v>
      </c>
      <c r="H591" t="s">
        <v>128</v>
      </c>
      <c r="I591" t="s">
        <v>103</v>
      </c>
      <c r="J591" t="s">
        <v>128</v>
      </c>
      <c r="K591" t="s">
        <v>128</v>
      </c>
      <c r="L591" t="s">
        <v>128</v>
      </c>
      <c r="M591" t="s">
        <v>1248</v>
      </c>
      <c r="N591" t="b">
        <v>0</v>
      </c>
    </row>
    <row r="592" spans="1:14">
      <c r="A592">
        <v>25</v>
      </c>
      <c r="B592">
        <v>6</v>
      </c>
      <c r="C592" t="s">
        <v>290</v>
      </c>
      <c r="D592" t="s">
        <v>726</v>
      </c>
      <c r="E592" t="s">
        <v>333</v>
      </c>
      <c r="F592">
        <v>40</v>
      </c>
      <c r="G592" t="s">
        <v>128</v>
      </c>
      <c r="H592" t="s">
        <v>550</v>
      </c>
      <c r="I592" t="s">
        <v>447</v>
      </c>
      <c r="J592" t="s">
        <v>128</v>
      </c>
      <c r="K592" t="s">
        <v>923</v>
      </c>
      <c r="L592" t="s">
        <v>924</v>
      </c>
      <c r="M592" t="s">
        <v>795</v>
      </c>
      <c r="N592" t="b">
        <v>0</v>
      </c>
    </row>
    <row r="593" spans="1:14">
      <c r="A593">
        <v>25</v>
      </c>
      <c r="B593">
        <v>7</v>
      </c>
      <c r="C593" t="s">
        <v>278</v>
      </c>
      <c r="D593" t="s">
        <v>726</v>
      </c>
      <c r="E593" t="s">
        <v>74</v>
      </c>
      <c r="F593">
        <v>40</v>
      </c>
      <c r="G593" t="s">
        <v>128</v>
      </c>
      <c r="H593" t="s">
        <v>128</v>
      </c>
      <c r="I593" t="s">
        <v>74</v>
      </c>
      <c r="J593" t="s">
        <v>128</v>
      </c>
      <c r="K593" t="s">
        <v>128</v>
      </c>
      <c r="L593" t="s">
        <v>128</v>
      </c>
      <c r="M593" t="s">
        <v>1249</v>
      </c>
      <c r="N593" t="b">
        <v>0</v>
      </c>
    </row>
    <row r="594" spans="1:14">
      <c r="A594">
        <v>25</v>
      </c>
      <c r="B594">
        <v>8</v>
      </c>
      <c r="C594" t="s">
        <v>291</v>
      </c>
      <c r="D594" t="s">
        <v>726</v>
      </c>
      <c r="E594" t="s">
        <v>78</v>
      </c>
      <c r="F594">
        <v>30</v>
      </c>
      <c r="G594" t="s">
        <v>128</v>
      </c>
      <c r="H594" t="s">
        <v>128</v>
      </c>
      <c r="I594" t="s">
        <v>78</v>
      </c>
      <c r="J594" t="s">
        <v>128</v>
      </c>
      <c r="K594" t="s">
        <v>128</v>
      </c>
      <c r="L594" t="s">
        <v>128</v>
      </c>
      <c r="M594" t="s">
        <v>1250</v>
      </c>
      <c r="N594" t="b">
        <v>0</v>
      </c>
    </row>
    <row r="595" spans="1:14">
      <c r="A595">
        <v>25</v>
      </c>
      <c r="B595">
        <v>9</v>
      </c>
      <c r="C595" t="s">
        <v>234</v>
      </c>
      <c r="D595" t="s">
        <v>726</v>
      </c>
      <c r="E595" t="s">
        <v>108</v>
      </c>
      <c r="F595">
        <v>50</v>
      </c>
      <c r="G595" t="s">
        <v>128</v>
      </c>
      <c r="H595" t="s">
        <v>128</v>
      </c>
      <c r="I595" t="s">
        <v>108</v>
      </c>
      <c r="J595" t="s">
        <v>128</v>
      </c>
      <c r="K595" t="s">
        <v>128</v>
      </c>
      <c r="L595" t="s">
        <v>128</v>
      </c>
      <c r="M595" t="s">
        <v>1251</v>
      </c>
      <c r="N595" t="b">
        <v>0</v>
      </c>
    </row>
    <row r="596" spans="1:14">
      <c r="A596">
        <v>25</v>
      </c>
      <c r="B596">
        <v>10</v>
      </c>
      <c r="C596" t="s">
        <v>128</v>
      </c>
      <c r="D596" t="s">
        <v>726</v>
      </c>
      <c r="E596" t="s">
        <v>128</v>
      </c>
      <c r="F596">
        <v>0</v>
      </c>
      <c r="G596" t="s">
        <v>128</v>
      </c>
      <c r="H596" t="s">
        <v>128</v>
      </c>
      <c r="I596" t="s">
        <v>128</v>
      </c>
      <c r="J596" t="s">
        <v>128</v>
      </c>
      <c r="K596" t="s">
        <v>128</v>
      </c>
      <c r="L596" t="s">
        <v>128</v>
      </c>
      <c r="M596" t="s">
        <v>1252</v>
      </c>
      <c r="N596" t="b">
        <v>0</v>
      </c>
    </row>
    <row r="597" spans="1:14">
      <c r="A597">
        <v>25</v>
      </c>
      <c r="B597">
        <v>11</v>
      </c>
      <c r="C597" t="s">
        <v>128</v>
      </c>
      <c r="D597" t="s">
        <v>726</v>
      </c>
      <c r="E597" t="s">
        <v>128</v>
      </c>
      <c r="F597">
        <v>0</v>
      </c>
      <c r="G597" t="s">
        <v>128</v>
      </c>
      <c r="H597" t="s">
        <v>128</v>
      </c>
      <c r="I597" t="s">
        <v>128</v>
      </c>
      <c r="J597" t="s">
        <v>128</v>
      </c>
      <c r="K597" t="s">
        <v>128</v>
      </c>
      <c r="L597" t="s">
        <v>128</v>
      </c>
      <c r="M597" t="s">
        <v>1253</v>
      </c>
      <c r="N597" t="b">
        <v>0</v>
      </c>
    </row>
    <row r="598" spans="1:14">
      <c r="A598">
        <v>25</v>
      </c>
      <c r="B598">
        <v>12</v>
      </c>
      <c r="C598" t="s">
        <v>128</v>
      </c>
      <c r="D598" t="s">
        <v>726</v>
      </c>
      <c r="E598" t="s">
        <v>128</v>
      </c>
      <c r="F598">
        <v>0</v>
      </c>
      <c r="G598" t="s">
        <v>128</v>
      </c>
      <c r="H598" t="s">
        <v>128</v>
      </c>
      <c r="I598" t="s">
        <v>128</v>
      </c>
      <c r="J598" t="s">
        <v>128</v>
      </c>
      <c r="K598" t="s">
        <v>128</v>
      </c>
      <c r="L598" t="s">
        <v>128</v>
      </c>
      <c r="M598" t="s">
        <v>1254</v>
      </c>
      <c r="N598" t="b">
        <v>0</v>
      </c>
    </row>
    <row r="599" spans="1:14">
      <c r="A599">
        <v>25</v>
      </c>
      <c r="B599">
        <v>13</v>
      </c>
      <c r="C599" t="s">
        <v>128</v>
      </c>
      <c r="D599" t="s">
        <v>726</v>
      </c>
      <c r="E599" t="s">
        <v>128</v>
      </c>
      <c r="F599">
        <v>0</v>
      </c>
      <c r="G599" t="s">
        <v>128</v>
      </c>
      <c r="H599" t="s">
        <v>128</v>
      </c>
      <c r="I599" t="s">
        <v>128</v>
      </c>
      <c r="J599" t="s">
        <v>128</v>
      </c>
      <c r="K599" t="s">
        <v>128</v>
      </c>
      <c r="L599" t="s">
        <v>128</v>
      </c>
      <c r="M599" t="s">
        <v>1255</v>
      </c>
      <c r="N599" t="b">
        <v>0</v>
      </c>
    </row>
    <row r="600" spans="1:14">
      <c r="A600">
        <v>25</v>
      </c>
      <c r="B600">
        <v>14</v>
      </c>
      <c r="C600" t="s">
        <v>128</v>
      </c>
      <c r="D600" t="s">
        <v>726</v>
      </c>
      <c r="E600" t="s">
        <v>128</v>
      </c>
      <c r="F600">
        <v>0</v>
      </c>
      <c r="G600" t="s">
        <v>128</v>
      </c>
      <c r="H600" t="s">
        <v>128</v>
      </c>
      <c r="I600" t="s">
        <v>128</v>
      </c>
      <c r="J600" t="s">
        <v>128</v>
      </c>
      <c r="K600" t="s">
        <v>128</v>
      </c>
      <c r="L600" t="s">
        <v>128</v>
      </c>
      <c r="M600" t="s">
        <v>1256</v>
      </c>
      <c r="N600" t="b">
        <v>0</v>
      </c>
    </row>
    <row r="601" spans="1:14">
      <c r="A601">
        <v>25</v>
      </c>
      <c r="B601">
        <v>15</v>
      </c>
      <c r="C601" t="s">
        <v>128</v>
      </c>
      <c r="D601" t="s">
        <v>726</v>
      </c>
      <c r="E601" t="s">
        <v>128</v>
      </c>
      <c r="F601">
        <v>0</v>
      </c>
      <c r="G601" t="s">
        <v>128</v>
      </c>
      <c r="H601" t="s">
        <v>128</v>
      </c>
      <c r="I601" t="s">
        <v>128</v>
      </c>
      <c r="J601" t="s">
        <v>128</v>
      </c>
      <c r="K601" t="s">
        <v>128</v>
      </c>
      <c r="L601" t="s">
        <v>128</v>
      </c>
      <c r="M601" t="s">
        <v>1257</v>
      </c>
      <c r="N601" t="b">
        <v>0</v>
      </c>
    </row>
    <row r="602" spans="1:14">
      <c r="A602">
        <v>25</v>
      </c>
      <c r="B602">
        <v>16</v>
      </c>
      <c r="C602" t="s">
        <v>292</v>
      </c>
      <c r="D602" t="s">
        <v>743</v>
      </c>
      <c r="E602" t="s">
        <v>75</v>
      </c>
      <c r="F602">
        <v>40</v>
      </c>
      <c r="G602" t="s">
        <v>128</v>
      </c>
      <c r="H602" t="s">
        <v>128</v>
      </c>
      <c r="I602" t="s">
        <v>75</v>
      </c>
      <c r="J602" t="s">
        <v>128</v>
      </c>
      <c r="K602" t="s">
        <v>128</v>
      </c>
      <c r="L602" t="s">
        <v>128</v>
      </c>
      <c r="M602" t="s">
        <v>1258</v>
      </c>
      <c r="N602" t="b">
        <v>0</v>
      </c>
    </row>
    <row r="603" spans="1:14">
      <c r="A603">
        <v>25</v>
      </c>
      <c r="B603">
        <v>17</v>
      </c>
      <c r="C603" t="s">
        <v>212</v>
      </c>
      <c r="D603" t="s">
        <v>743</v>
      </c>
      <c r="E603" t="s">
        <v>87</v>
      </c>
      <c r="F603">
        <v>40</v>
      </c>
      <c r="G603" t="s">
        <v>128</v>
      </c>
      <c r="H603" t="s">
        <v>128</v>
      </c>
      <c r="I603" t="s">
        <v>87</v>
      </c>
      <c r="J603" t="s">
        <v>128</v>
      </c>
      <c r="K603" t="s">
        <v>128</v>
      </c>
      <c r="L603" t="s">
        <v>128</v>
      </c>
      <c r="M603" t="s">
        <v>693</v>
      </c>
      <c r="N603" t="b">
        <v>0</v>
      </c>
    </row>
    <row r="604" spans="1:14">
      <c r="A604">
        <v>25</v>
      </c>
      <c r="B604">
        <v>18</v>
      </c>
      <c r="C604" t="s">
        <v>182</v>
      </c>
      <c r="D604" t="s">
        <v>743</v>
      </c>
      <c r="E604" t="s">
        <v>546</v>
      </c>
      <c r="F604">
        <v>40</v>
      </c>
      <c r="G604" t="s">
        <v>762</v>
      </c>
      <c r="H604" t="s">
        <v>128</v>
      </c>
      <c r="I604" t="s">
        <v>128</v>
      </c>
      <c r="J604" t="s">
        <v>819</v>
      </c>
      <c r="K604" t="s">
        <v>794</v>
      </c>
      <c r="L604" t="s">
        <v>795</v>
      </c>
      <c r="M604" t="s">
        <v>1259</v>
      </c>
      <c r="N604" t="b">
        <v>0</v>
      </c>
    </row>
    <row r="605" spans="1:14">
      <c r="A605">
        <v>25</v>
      </c>
      <c r="B605">
        <v>19</v>
      </c>
      <c r="C605" t="s">
        <v>220</v>
      </c>
      <c r="D605" t="s">
        <v>743</v>
      </c>
      <c r="E605" t="s">
        <v>95</v>
      </c>
      <c r="F605">
        <v>40</v>
      </c>
      <c r="G605" t="s">
        <v>128</v>
      </c>
      <c r="H605" t="s">
        <v>128</v>
      </c>
      <c r="I605" t="s">
        <v>95</v>
      </c>
      <c r="J605" t="s">
        <v>128</v>
      </c>
      <c r="K605" t="s">
        <v>128</v>
      </c>
      <c r="L605" t="s">
        <v>128</v>
      </c>
      <c r="M605" t="s">
        <v>1260</v>
      </c>
      <c r="N605" t="b">
        <v>0</v>
      </c>
    </row>
    <row r="606" spans="1:14">
      <c r="A606">
        <v>25</v>
      </c>
      <c r="B606">
        <v>20</v>
      </c>
      <c r="C606" t="s">
        <v>162</v>
      </c>
      <c r="D606" t="s">
        <v>743</v>
      </c>
      <c r="E606" t="s">
        <v>299</v>
      </c>
      <c r="F606">
        <v>40</v>
      </c>
      <c r="G606" t="s">
        <v>762</v>
      </c>
      <c r="H606" t="s">
        <v>128</v>
      </c>
      <c r="I606" t="s">
        <v>128</v>
      </c>
      <c r="J606" t="s">
        <v>763</v>
      </c>
      <c r="K606" t="s">
        <v>764</v>
      </c>
      <c r="L606" t="s">
        <v>765</v>
      </c>
      <c r="M606" t="s">
        <v>1261</v>
      </c>
      <c r="N606" t="b">
        <v>0</v>
      </c>
    </row>
    <row r="607" spans="1:14">
      <c r="A607">
        <v>25</v>
      </c>
      <c r="B607">
        <v>21</v>
      </c>
      <c r="C607" t="s">
        <v>183</v>
      </c>
      <c r="D607" t="s">
        <v>743</v>
      </c>
      <c r="E607" t="s">
        <v>112</v>
      </c>
      <c r="F607">
        <v>50</v>
      </c>
      <c r="G607" t="s">
        <v>128</v>
      </c>
      <c r="H607" t="s">
        <v>128</v>
      </c>
      <c r="I607" t="s">
        <v>112</v>
      </c>
      <c r="J607" t="s">
        <v>128</v>
      </c>
      <c r="K607" t="s">
        <v>128</v>
      </c>
      <c r="L607" t="s">
        <v>128</v>
      </c>
      <c r="M607" t="s">
        <v>1262</v>
      </c>
      <c r="N607" t="b">
        <v>0</v>
      </c>
    </row>
    <row r="608" spans="1:14">
      <c r="A608">
        <v>25</v>
      </c>
      <c r="B608">
        <v>22</v>
      </c>
      <c r="C608" t="s">
        <v>293</v>
      </c>
      <c r="D608" t="s">
        <v>743</v>
      </c>
      <c r="E608" t="s">
        <v>113</v>
      </c>
      <c r="F608">
        <v>40</v>
      </c>
      <c r="G608" t="s">
        <v>128</v>
      </c>
      <c r="H608" t="s">
        <v>128</v>
      </c>
      <c r="I608" t="s">
        <v>113</v>
      </c>
      <c r="J608" t="s">
        <v>128</v>
      </c>
      <c r="K608" t="s">
        <v>128</v>
      </c>
      <c r="L608" t="s">
        <v>128</v>
      </c>
      <c r="M608" t="s">
        <v>1263</v>
      </c>
      <c r="N608" t="b">
        <v>0</v>
      </c>
    </row>
    <row r="609" spans="1:14">
      <c r="A609">
        <v>25</v>
      </c>
      <c r="B609">
        <v>23</v>
      </c>
      <c r="C609" t="s">
        <v>171</v>
      </c>
      <c r="D609" t="s">
        <v>743</v>
      </c>
      <c r="E609" t="s">
        <v>98</v>
      </c>
      <c r="F609">
        <v>60</v>
      </c>
      <c r="G609" t="s">
        <v>128</v>
      </c>
      <c r="H609" t="s">
        <v>128</v>
      </c>
      <c r="I609" t="s">
        <v>98</v>
      </c>
      <c r="J609" t="s">
        <v>128</v>
      </c>
      <c r="K609" t="s">
        <v>128</v>
      </c>
      <c r="L609" t="s">
        <v>128</v>
      </c>
      <c r="M609" t="s">
        <v>1264</v>
      </c>
      <c r="N609" t="b">
        <v>0</v>
      </c>
    </row>
    <row r="610" spans="1:14">
      <c r="A610">
        <v>25</v>
      </c>
      <c r="B610">
        <v>24</v>
      </c>
      <c r="C610" t="s">
        <v>179</v>
      </c>
      <c r="D610" t="s">
        <v>743</v>
      </c>
      <c r="E610" t="s">
        <v>100</v>
      </c>
      <c r="F610">
        <v>40</v>
      </c>
      <c r="G610" t="s">
        <v>128</v>
      </c>
      <c r="H610" t="s">
        <v>128</v>
      </c>
      <c r="I610" t="s">
        <v>100</v>
      </c>
      <c r="J610" t="s">
        <v>128</v>
      </c>
      <c r="K610" t="s">
        <v>128</v>
      </c>
      <c r="L610" t="s">
        <v>128</v>
      </c>
      <c r="M610" t="s">
        <v>1265</v>
      </c>
      <c r="N610" t="b">
        <v>0</v>
      </c>
    </row>
    <row r="611" spans="1:14">
      <c r="A611">
        <v>25</v>
      </c>
      <c r="B611">
        <v>25</v>
      </c>
      <c r="C611" t="s">
        <v>294</v>
      </c>
      <c r="D611" t="s">
        <v>743</v>
      </c>
      <c r="E611" t="s">
        <v>107</v>
      </c>
      <c r="F611">
        <v>60</v>
      </c>
      <c r="G611" t="s">
        <v>128</v>
      </c>
      <c r="H611" t="s">
        <v>128</v>
      </c>
      <c r="I611" t="s">
        <v>107</v>
      </c>
      <c r="J611" t="s">
        <v>128</v>
      </c>
      <c r="K611" t="s">
        <v>128</v>
      </c>
      <c r="L611" t="s">
        <v>128</v>
      </c>
      <c r="M611" t="s">
        <v>1266</v>
      </c>
      <c r="N611" t="b">
        <v>0</v>
      </c>
    </row>
    <row r="612" spans="1:14">
      <c r="A612">
        <v>25</v>
      </c>
      <c r="B612">
        <v>26</v>
      </c>
      <c r="C612" t="s">
        <v>128</v>
      </c>
      <c r="D612" t="s">
        <v>743</v>
      </c>
      <c r="E612" t="s">
        <v>128</v>
      </c>
      <c r="F612">
        <v>0</v>
      </c>
      <c r="G612" t="s">
        <v>128</v>
      </c>
      <c r="H612" t="s">
        <v>128</v>
      </c>
      <c r="I612" t="s">
        <v>128</v>
      </c>
      <c r="J612" t="s">
        <v>128</v>
      </c>
      <c r="K612" t="s">
        <v>128</v>
      </c>
      <c r="L612" t="s">
        <v>128</v>
      </c>
      <c r="M612" t="s">
        <v>1267</v>
      </c>
      <c r="N612" t="b">
        <v>0</v>
      </c>
    </row>
    <row r="613" spans="1:14">
      <c r="A613">
        <v>30</v>
      </c>
      <c r="B613">
        <v>0</v>
      </c>
      <c r="C613" t="s">
        <v>218</v>
      </c>
      <c r="D613" t="s">
        <v>726</v>
      </c>
      <c r="E613" t="s">
        <v>65</v>
      </c>
      <c r="F613">
        <v>60</v>
      </c>
      <c r="G613" t="s">
        <v>128</v>
      </c>
      <c r="H613" t="s">
        <v>128</v>
      </c>
      <c r="I613" t="s">
        <v>65</v>
      </c>
      <c r="J613" t="s">
        <v>128</v>
      </c>
      <c r="K613" t="s">
        <v>128</v>
      </c>
      <c r="L613" t="s">
        <v>128</v>
      </c>
      <c r="M613" t="s">
        <v>1268</v>
      </c>
      <c r="N613" t="b">
        <v>0</v>
      </c>
    </row>
    <row r="614" spans="1:14">
      <c r="A614">
        <v>30</v>
      </c>
      <c r="B614">
        <v>1</v>
      </c>
      <c r="C614" t="s">
        <v>219</v>
      </c>
      <c r="D614" t="s">
        <v>726</v>
      </c>
      <c r="E614" t="s">
        <v>77</v>
      </c>
      <c r="F614">
        <v>60</v>
      </c>
      <c r="G614" t="s">
        <v>128</v>
      </c>
      <c r="H614" t="s">
        <v>128</v>
      </c>
      <c r="I614" t="s">
        <v>77</v>
      </c>
      <c r="J614" t="s">
        <v>128</v>
      </c>
      <c r="K614" t="s">
        <v>128</v>
      </c>
      <c r="L614" t="s">
        <v>128</v>
      </c>
      <c r="M614" t="s">
        <v>1269</v>
      </c>
      <c r="N614" t="b">
        <v>0</v>
      </c>
    </row>
    <row r="615" spans="1:14">
      <c r="A615">
        <v>30</v>
      </c>
      <c r="B615">
        <v>2</v>
      </c>
      <c r="C615" t="s">
        <v>220</v>
      </c>
      <c r="D615" t="s">
        <v>726</v>
      </c>
      <c r="E615" t="s">
        <v>95</v>
      </c>
      <c r="F615">
        <v>40</v>
      </c>
      <c r="G615" t="s">
        <v>128</v>
      </c>
      <c r="H615" t="s">
        <v>128</v>
      </c>
      <c r="I615" t="s">
        <v>95</v>
      </c>
      <c r="J615" t="s">
        <v>128</v>
      </c>
      <c r="K615" t="s">
        <v>128</v>
      </c>
      <c r="L615" t="s">
        <v>128</v>
      </c>
      <c r="M615" t="s">
        <v>1270</v>
      </c>
      <c r="N615" t="b">
        <v>0</v>
      </c>
    </row>
    <row r="616" spans="1:14">
      <c r="A616">
        <v>30</v>
      </c>
      <c r="B616">
        <v>3</v>
      </c>
      <c r="C616" t="s">
        <v>307</v>
      </c>
      <c r="D616" t="s">
        <v>726</v>
      </c>
      <c r="E616" t="s">
        <v>97</v>
      </c>
      <c r="F616">
        <v>50</v>
      </c>
      <c r="G616" t="s">
        <v>128</v>
      </c>
      <c r="H616" t="s">
        <v>128</v>
      </c>
      <c r="I616" t="s">
        <v>97</v>
      </c>
      <c r="J616" t="s">
        <v>128</v>
      </c>
      <c r="K616" t="s">
        <v>128</v>
      </c>
      <c r="L616" t="s">
        <v>128</v>
      </c>
      <c r="M616" t="s">
        <v>1271</v>
      </c>
      <c r="N616" t="b">
        <v>0</v>
      </c>
    </row>
    <row r="617" spans="1:14">
      <c r="A617">
        <v>30</v>
      </c>
      <c r="B617">
        <v>4</v>
      </c>
      <c r="C617" t="s">
        <v>221</v>
      </c>
      <c r="D617" t="s">
        <v>726</v>
      </c>
      <c r="E617" t="s">
        <v>101</v>
      </c>
      <c r="F617">
        <v>60</v>
      </c>
      <c r="G617" t="s">
        <v>128</v>
      </c>
      <c r="H617" t="s">
        <v>128</v>
      </c>
      <c r="I617" t="s">
        <v>101</v>
      </c>
      <c r="J617" t="s">
        <v>128</v>
      </c>
      <c r="K617" t="s">
        <v>128</v>
      </c>
      <c r="L617" t="s">
        <v>128</v>
      </c>
      <c r="M617" t="s">
        <v>1272</v>
      </c>
      <c r="N617" t="b">
        <v>0</v>
      </c>
    </row>
    <row r="618" spans="1:14">
      <c r="A618">
        <v>30</v>
      </c>
      <c r="B618">
        <v>5</v>
      </c>
      <c r="C618" t="s">
        <v>192</v>
      </c>
      <c r="D618" t="s">
        <v>726</v>
      </c>
      <c r="E618" t="s">
        <v>109</v>
      </c>
      <c r="F618">
        <v>30</v>
      </c>
      <c r="G618" t="s">
        <v>128</v>
      </c>
      <c r="H618" t="s">
        <v>128</v>
      </c>
      <c r="I618" t="s">
        <v>109</v>
      </c>
      <c r="J618" t="s">
        <v>128</v>
      </c>
      <c r="K618" t="s">
        <v>128</v>
      </c>
      <c r="L618" t="s">
        <v>128</v>
      </c>
      <c r="M618" t="s">
        <v>1273</v>
      </c>
      <c r="N618" t="b">
        <v>0</v>
      </c>
    </row>
    <row r="619" spans="1:14">
      <c r="A619">
        <v>30</v>
      </c>
      <c r="B619">
        <v>6</v>
      </c>
      <c r="C619" t="s">
        <v>200</v>
      </c>
      <c r="D619" t="s">
        <v>726</v>
      </c>
      <c r="E619" t="s">
        <v>113</v>
      </c>
      <c r="F619">
        <v>50</v>
      </c>
      <c r="G619" t="s">
        <v>128</v>
      </c>
      <c r="H619" t="s">
        <v>128</v>
      </c>
      <c r="I619" t="s">
        <v>113</v>
      </c>
      <c r="J619" t="s">
        <v>128</v>
      </c>
      <c r="K619" t="s">
        <v>128</v>
      </c>
      <c r="L619" t="s">
        <v>128</v>
      </c>
      <c r="M619" t="s">
        <v>1274</v>
      </c>
      <c r="N619" t="b">
        <v>0</v>
      </c>
    </row>
    <row r="620" spans="1:14">
      <c r="A620">
        <v>30</v>
      </c>
      <c r="B620">
        <v>7</v>
      </c>
      <c r="C620" t="s">
        <v>222</v>
      </c>
      <c r="D620" t="s">
        <v>726</v>
      </c>
      <c r="E620" t="s">
        <v>68</v>
      </c>
      <c r="F620">
        <v>50</v>
      </c>
      <c r="G620" t="s">
        <v>128</v>
      </c>
      <c r="H620" t="s">
        <v>128</v>
      </c>
      <c r="I620" t="s">
        <v>68</v>
      </c>
      <c r="J620" t="s">
        <v>128</v>
      </c>
      <c r="K620" t="s">
        <v>128</v>
      </c>
      <c r="L620" t="s">
        <v>128</v>
      </c>
      <c r="M620" t="s">
        <v>1275</v>
      </c>
      <c r="N620" t="b">
        <v>0</v>
      </c>
    </row>
    <row r="621" spans="1:14">
      <c r="A621">
        <v>30</v>
      </c>
      <c r="B621">
        <v>8</v>
      </c>
      <c r="C621" t="s">
        <v>223</v>
      </c>
      <c r="D621" t="s">
        <v>726</v>
      </c>
      <c r="E621" t="s">
        <v>333</v>
      </c>
      <c r="F621">
        <v>60</v>
      </c>
      <c r="G621" t="s">
        <v>128</v>
      </c>
      <c r="H621" t="s">
        <v>550</v>
      </c>
      <c r="I621" t="s">
        <v>447</v>
      </c>
      <c r="J621" t="s">
        <v>128</v>
      </c>
      <c r="K621" t="s">
        <v>923</v>
      </c>
      <c r="L621" t="s">
        <v>924</v>
      </c>
      <c r="M621" t="s">
        <v>1276</v>
      </c>
      <c r="N621" t="b">
        <v>0</v>
      </c>
    </row>
    <row r="622" spans="1:14">
      <c r="A622">
        <v>30</v>
      </c>
      <c r="B622">
        <v>9</v>
      </c>
      <c r="C622" t="s">
        <v>169</v>
      </c>
      <c r="D622" t="s">
        <v>726</v>
      </c>
      <c r="E622" t="s">
        <v>74</v>
      </c>
      <c r="F622">
        <v>50</v>
      </c>
      <c r="G622" t="s">
        <v>128</v>
      </c>
      <c r="H622" t="s">
        <v>128</v>
      </c>
      <c r="I622" t="s">
        <v>74</v>
      </c>
      <c r="J622" t="s">
        <v>128</v>
      </c>
      <c r="K622" t="s">
        <v>128</v>
      </c>
      <c r="L622" t="s">
        <v>128</v>
      </c>
      <c r="M622" t="s">
        <v>1277</v>
      </c>
      <c r="N622" t="b">
        <v>0</v>
      </c>
    </row>
    <row r="623" spans="1:14">
      <c r="A623">
        <v>30</v>
      </c>
      <c r="B623">
        <v>10</v>
      </c>
      <c r="C623" t="s">
        <v>224</v>
      </c>
      <c r="D623" t="s">
        <v>726</v>
      </c>
      <c r="E623" t="s">
        <v>102</v>
      </c>
      <c r="F623">
        <v>50</v>
      </c>
      <c r="G623" t="s">
        <v>128</v>
      </c>
      <c r="H623" t="s">
        <v>128</v>
      </c>
      <c r="I623" t="s">
        <v>102</v>
      </c>
      <c r="J623" t="s">
        <v>128</v>
      </c>
      <c r="K623" t="s">
        <v>128</v>
      </c>
      <c r="L623" t="s">
        <v>128</v>
      </c>
      <c r="M623" t="s">
        <v>1278</v>
      </c>
      <c r="N623" t="b">
        <v>0</v>
      </c>
    </row>
    <row r="624" spans="1:14">
      <c r="A624">
        <v>30</v>
      </c>
      <c r="B624">
        <v>11</v>
      </c>
      <c r="C624" t="s">
        <v>172</v>
      </c>
      <c r="D624" t="s">
        <v>726</v>
      </c>
      <c r="E624" t="s">
        <v>106</v>
      </c>
      <c r="F624">
        <v>50</v>
      </c>
      <c r="G624" t="s">
        <v>128</v>
      </c>
      <c r="H624" t="s">
        <v>128</v>
      </c>
      <c r="I624" t="s">
        <v>106</v>
      </c>
      <c r="J624" t="s">
        <v>128</v>
      </c>
      <c r="K624" t="s">
        <v>128</v>
      </c>
      <c r="L624" t="s">
        <v>128</v>
      </c>
      <c r="M624" t="s">
        <v>1279</v>
      </c>
      <c r="N624" t="b">
        <v>0</v>
      </c>
    </row>
    <row r="625" spans="1:14">
      <c r="A625">
        <v>30</v>
      </c>
      <c r="B625">
        <v>12</v>
      </c>
      <c r="C625" t="s">
        <v>225</v>
      </c>
      <c r="D625" t="s">
        <v>726</v>
      </c>
      <c r="E625" t="s">
        <v>107</v>
      </c>
      <c r="F625">
        <v>50</v>
      </c>
      <c r="G625" t="s">
        <v>128</v>
      </c>
      <c r="H625" t="s">
        <v>128</v>
      </c>
      <c r="I625" t="s">
        <v>107</v>
      </c>
      <c r="J625" t="s">
        <v>128</v>
      </c>
      <c r="K625" t="s">
        <v>128</v>
      </c>
      <c r="L625" t="s">
        <v>128</v>
      </c>
      <c r="M625" t="s">
        <v>1280</v>
      </c>
      <c r="N625" t="b">
        <v>0</v>
      </c>
    </row>
    <row r="626" spans="1:14">
      <c r="A626">
        <v>30</v>
      </c>
      <c r="B626">
        <v>13</v>
      </c>
      <c r="C626" t="s">
        <v>197</v>
      </c>
      <c r="D626" t="s">
        <v>726</v>
      </c>
      <c r="E626" t="s">
        <v>108</v>
      </c>
      <c r="F626">
        <v>60</v>
      </c>
      <c r="G626" t="s">
        <v>128</v>
      </c>
      <c r="H626" t="s">
        <v>128</v>
      </c>
      <c r="I626" t="s">
        <v>108</v>
      </c>
      <c r="J626" t="s">
        <v>128</v>
      </c>
      <c r="K626" t="s">
        <v>128</v>
      </c>
      <c r="L626" t="s">
        <v>128</v>
      </c>
      <c r="M626" t="s">
        <v>1281</v>
      </c>
      <c r="N626" t="b">
        <v>0</v>
      </c>
    </row>
    <row r="627" spans="1:14">
      <c r="A627">
        <v>30</v>
      </c>
      <c r="B627">
        <v>14</v>
      </c>
      <c r="C627" t="s">
        <v>128</v>
      </c>
      <c r="D627" t="s">
        <v>726</v>
      </c>
      <c r="E627" t="s">
        <v>128</v>
      </c>
      <c r="F627">
        <v>0</v>
      </c>
      <c r="G627" t="s">
        <v>128</v>
      </c>
      <c r="H627" t="s">
        <v>128</v>
      </c>
      <c r="I627" t="s">
        <v>128</v>
      </c>
      <c r="J627" t="s">
        <v>128</v>
      </c>
      <c r="K627" t="s">
        <v>128</v>
      </c>
      <c r="L627" t="s">
        <v>128</v>
      </c>
      <c r="M627" t="s">
        <v>1282</v>
      </c>
      <c r="N627" t="b">
        <v>0</v>
      </c>
    </row>
    <row r="628" spans="1:14">
      <c r="A628">
        <v>30</v>
      </c>
      <c r="B628">
        <v>15</v>
      </c>
      <c r="C628" t="s">
        <v>128</v>
      </c>
      <c r="D628" t="s">
        <v>726</v>
      </c>
      <c r="E628" t="s">
        <v>128</v>
      </c>
      <c r="F628">
        <v>0</v>
      </c>
      <c r="G628" t="s">
        <v>128</v>
      </c>
      <c r="H628" t="s">
        <v>128</v>
      </c>
      <c r="I628" t="s">
        <v>128</v>
      </c>
      <c r="J628" t="s">
        <v>128</v>
      </c>
      <c r="K628" t="s">
        <v>128</v>
      </c>
      <c r="L628" t="s">
        <v>128</v>
      </c>
      <c r="M628" t="s">
        <v>1283</v>
      </c>
      <c r="N628" t="b">
        <v>0</v>
      </c>
    </row>
    <row r="629" spans="1:14">
      <c r="A629">
        <v>30</v>
      </c>
      <c r="B629">
        <v>16</v>
      </c>
      <c r="C629" t="s">
        <v>128</v>
      </c>
      <c r="D629" t="s">
        <v>743</v>
      </c>
      <c r="E629" t="s">
        <v>128</v>
      </c>
      <c r="F629">
        <v>0</v>
      </c>
      <c r="G629" t="s">
        <v>128</v>
      </c>
      <c r="H629" t="s">
        <v>128</v>
      </c>
      <c r="I629" t="s">
        <v>128</v>
      </c>
      <c r="J629" t="s">
        <v>128</v>
      </c>
      <c r="K629" t="s">
        <v>128</v>
      </c>
      <c r="L629" t="s">
        <v>128</v>
      </c>
      <c r="M629" t="s">
        <v>1284</v>
      </c>
      <c r="N629" t="b">
        <v>0</v>
      </c>
    </row>
    <row r="630" spans="1:14">
      <c r="A630">
        <v>30</v>
      </c>
      <c r="B630">
        <v>17</v>
      </c>
      <c r="C630" t="s">
        <v>128</v>
      </c>
      <c r="D630" t="s">
        <v>743</v>
      </c>
      <c r="E630" t="s">
        <v>128</v>
      </c>
      <c r="F630">
        <v>0</v>
      </c>
      <c r="G630" t="s">
        <v>128</v>
      </c>
      <c r="H630" t="s">
        <v>128</v>
      </c>
      <c r="I630" t="s">
        <v>128</v>
      </c>
      <c r="J630" t="s">
        <v>128</v>
      </c>
      <c r="K630" t="s">
        <v>128</v>
      </c>
      <c r="L630" t="s">
        <v>128</v>
      </c>
      <c r="M630" t="s">
        <v>703</v>
      </c>
      <c r="N630" t="b">
        <v>0</v>
      </c>
    </row>
    <row r="631" spans="1:14">
      <c r="A631">
        <v>30</v>
      </c>
      <c r="B631">
        <v>18</v>
      </c>
      <c r="C631" t="s">
        <v>128</v>
      </c>
      <c r="D631" t="s">
        <v>743</v>
      </c>
      <c r="E631" t="s">
        <v>128</v>
      </c>
      <c r="F631">
        <v>0</v>
      </c>
      <c r="G631" t="s">
        <v>128</v>
      </c>
      <c r="H631" t="s">
        <v>128</v>
      </c>
      <c r="I631" t="s">
        <v>128</v>
      </c>
      <c r="J631" t="s">
        <v>128</v>
      </c>
      <c r="K631" t="s">
        <v>128</v>
      </c>
      <c r="L631" t="s">
        <v>128</v>
      </c>
      <c r="M631" t="s">
        <v>1285</v>
      </c>
      <c r="N631" t="b">
        <v>0</v>
      </c>
    </row>
    <row r="632" spans="1:14">
      <c r="A632">
        <v>30</v>
      </c>
      <c r="B632">
        <v>19</v>
      </c>
      <c r="C632" t="s">
        <v>128</v>
      </c>
      <c r="D632" t="s">
        <v>743</v>
      </c>
      <c r="E632" t="s">
        <v>128</v>
      </c>
      <c r="F632">
        <v>0</v>
      </c>
      <c r="G632" t="s">
        <v>128</v>
      </c>
      <c r="H632" t="s">
        <v>128</v>
      </c>
      <c r="I632" t="s">
        <v>128</v>
      </c>
      <c r="J632" t="s">
        <v>128</v>
      </c>
      <c r="K632" t="s">
        <v>128</v>
      </c>
      <c r="L632" t="s">
        <v>128</v>
      </c>
      <c r="M632" t="s">
        <v>1286</v>
      </c>
      <c r="N632" t="b">
        <v>0</v>
      </c>
    </row>
    <row r="633" spans="1:14">
      <c r="A633">
        <v>30</v>
      </c>
      <c r="B633">
        <v>20</v>
      </c>
      <c r="C633" t="s">
        <v>128</v>
      </c>
      <c r="D633" t="s">
        <v>743</v>
      </c>
      <c r="E633" t="s">
        <v>128</v>
      </c>
      <c r="F633">
        <v>0</v>
      </c>
      <c r="G633" t="s">
        <v>128</v>
      </c>
      <c r="H633" t="s">
        <v>128</v>
      </c>
      <c r="I633" t="s">
        <v>128</v>
      </c>
      <c r="J633" t="s">
        <v>128</v>
      </c>
      <c r="K633" t="s">
        <v>128</v>
      </c>
      <c r="L633" t="s">
        <v>128</v>
      </c>
      <c r="M633" t="s">
        <v>1287</v>
      </c>
      <c r="N633" t="b">
        <v>0</v>
      </c>
    </row>
    <row r="634" spans="1:14">
      <c r="A634">
        <v>30</v>
      </c>
      <c r="B634">
        <v>21</v>
      </c>
      <c r="C634" t="s">
        <v>128</v>
      </c>
      <c r="D634" t="s">
        <v>743</v>
      </c>
      <c r="E634" t="s">
        <v>128</v>
      </c>
      <c r="F634">
        <v>0</v>
      </c>
      <c r="G634" t="s">
        <v>128</v>
      </c>
      <c r="H634" t="s">
        <v>128</v>
      </c>
      <c r="I634" t="s">
        <v>128</v>
      </c>
      <c r="J634" t="s">
        <v>128</v>
      </c>
      <c r="K634" t="s">
        <v>128</v>
      </c>
      <c r="L634" t="s">
        <v>128</v>
      </c>
      <c r="M634" t="s">
        <v>1288</v>
      </c>
      <c r="N634" t="b">
        <v>0</v>
      </c>
    </row>
    <row r="635" spans="1:14">
      <c r="A635">
        <v>30</v>
      </c>
      <c r="B635">
        <v>22</v>
      </c>
      <c r="C635" t="s">
        <v>128</v>
      </c>
      <c r="D635" t="s">
        <v>743</v>
      </c>
      <c r="E635" t="s">
        <v>128</v>
      </c>
      <c r="F635">
        <v>0</v>
      </c>
      <c r="G635" t="s">
        <v>128</v>
      </c>
      <c r="H635" t="s">
        <v>128</v>
      </c>
      <c r="I635" t="s">
        <v>128</v>
      </c>
      <c r="J635" t="s">
        <v>128</v>
      </c>
      <c r="K635" t="s">
        <v>128</v>
      </c>
      <c r="L635" t="s">
        <v>128</v>
      </c>
      <c r="M635" t="s">
        <v>1289</v>
      </c>
      <c r="N635" t="b">
        <v>0</v>
      </c>
    </row>
    <row r="636" spans="1:14">
      <c r="A636">
        <v>30</v>
      </c>
      <c r="B636">
        <v>23</v>
      </c>
      <c r="C636" t="s">
        <v>128</v>
      </c>
      <c r="D636" t="s">
        <v>743</v>
      </c>
      <c r="E636" t="s">
        <v>128</v>
      </c>
      <c r="F636">
        <v>0</v>
      </c>
      <c r="G636" t="s">
        <v>128</v>
      </c>
      <c r="H636" t="s">
        <v>128</v>
      </c>
      <c r="I636" t="s">
        <v>128</v>
      </c>
      <c r="J636" t="s">
        <v>128</v>
      </c>
      <c r="K636" t="s">
        <v>128</v>
      </c>
      <c r="L636" t="s">
        <v>128</v>
      </c>
      <c r="M636" t="s">
        <v>1290</v>
      </c>
      <c r="N636" t="b">
        <v>0</v>
      </c>
    </row>
    <row r="637" spans="1:14">
      <c r="A637">
        <v>30</v>
      </c>
      <c r="B637">
        <v>24</v>
      </c>
      <c r="C637" t="s">
        <v>128</v>
      </c>
      <c r="D637" t="s">
        <v>743</v>
      </c>
      <c r="E637" t="s">
        <v>128</v>
      </c>
      <c r="F637">
        <v>0</v>
      </c>
      <c r="G637" t="s">
        <v>128</v>
      </c>
      <c r="H637" t="s">
        <v>128</v>
      </c>
      <c r="I637" t="s">
        <v>128</v>
      </c>
      <c r="J637" t="s">
        <v>128</v>
      </c>
      <c r="K637" t="s">
        <v>128</v>
      </c>
      <c r="L637" t="s">
        <v>128</v>
      </c>
      <c r="M637" t="s">
        <v>1291</v>
      </c>
      <c r="N637" t="b">
        <v>0</v>
      </c>
    </row>
    <row r="638" spans="1:14">
      <c r="A638">
        <v>30</v>
      </c>
      <c r="B638">
        <v>25</v>
      </c>
      <c r="C638" t="s">
        <v>128</v>
      </c>
      <c r="D638" t="s">
        <v>743</v>
      </c>
      <c r="E638" t="s">
        <v>128</v>
      </c>
      <c r="F638">
        <v>0</v>
      </c>
      <c r="G638" t="s">
        <v>128</v>
      </c>
      <c r="H638" t="s">
        <v>128</v>
      </c>
      <c r="I638" t="s">
        <v>128</v>
      </c>
      <c r="J638" t="s">
        <v>128</v>
      </c>
      <c r="K638" t="s">
        <v>128</v>
      </c>
      <c r="L638" t="s">
        <v>128</v>
      </c>
      <c r="M638" t="s">
        <v>1292</v>
      </c>
      <c r="N638" t="b">
        <v>0</v>
      </c>
    </row>
    <row r="639" spans="1:14">
      <c r="A639">
        <v>30</v>
      </c>
      <c r="B639">
        <v>26</v>
      </c>
      <c r="C639" t="s">
        <v>128</v>
      </c>
      <c r="D639" t="s">
        <v>743</v>
      </c>
      <c r="E639" t="s">
        <v>128</v>
      </c>
      <c r="F639">
        <v>0</v>
      </c>
      <c r="G639" t="s">
        <v>128</v>
      </c>
      <c r="H639" t="s">
        <v>128</v>
      </c>
      <c r="I639" t="s">
        <v>128</v>
      </c>
      <c r="J639" t="s">
        <v>128</v>
      </c>
      <c r="K639" t="s">
        <v>128</v>
      </c>
      <c r="L639" t="s">
        <v>128</v>
      </c>
      <c r="M639" t="s">
        <v>1293</v>
      </c>
      <c r="N639" t="b">
        <v>0</v>
      </c>
    </row>
    <row r="640" spans="1:14">
      <c r="A640">
        <v>34</v>
      </c>
      <c r="B640">
        <v>0</v>
      </c>
      <c r="C640" t="s">
        <v>188</v>
      </c>
      <c r="D640" t="s">
        <v>726</v>
      </c>
      <c r="E640" t="s">
        <v>65</v>
      </c>
      <c r="F640">
        <v>50</v>
      </c>
      <c r="G640" t="s">
        <v>128</v>
      </c>
      <c r="H640" t="s">
        <v>128</v>
      </c>
      <c r="I640" t="s">
        <v>65</v>
      </c>
      <c r="J640" t="s">
        <v>128</v>
      </c>
      <c r="K640" t="s">
        <v>128</v>
      </c>
      <c r="L640" t="s">
        <v>128</v>
      </c>
      <c r="M640" t="s">
        <v>1294</v>
      </c>
      <c r="N640" t="b">
        <v>0</v>
      </c>
    </row>
    <row r="641" spans="1:14">
      <c r="A641">
        <v>34</v>
      </c>
      <c r="B641">
        <v>1</v>
      </c>
      <c r="C641" t="s">
        <v>160</v>
      </c>
      <c r="D641" t="s">
        <v>726</v>
      </c>
      <c r="E641" t="s">
        <v>83</v>
      </c>
      <c r="F641">
        <v>40</v>
      </c>
      <c r="G641" t="s">
        <v>128</v>
      </c>
      <c r="H641" t="s">
        <v>128</v>
      </c>
      <c r="I641" t="s">
        <v>83</v>
      </c>
      <c r="J641" t="s">
        <v>128</v>
      </c>
      <c r="K641" t="s">
        <v>128</v>
      </c>
      <c r="L641" t="s">
        <v>128</v>
      </c>
      <c r="M641" t="s">
        <v>1295</v>
      </c>
      <c r="N641" t="b">
        <v>0</v>
      </c>
    </row>
    <row r="642" spans="1:14">
      <c r="A642">
        <v>34</v>
      </c>
      <c r="B642">
        <v>2</v>
      </c>
      <c r="C642" t="s">
        <v>189</v>
      </c>
      <c r="D642" t="s">
        <v>726</v>
      </c>
      <c r="E642" t="s">
        <v>93</v>
      </c>
      <c r="F642">
        <v>50</v>
      </c>
      <c r="G642" t="s">
        <v>128</v>
      </c>
      <c r="H642" t="s">
        <v>128</v>
      </c>
      <c r="I642" t="s">
        <v>93</v>
      </c>
      <c r="J642" t="s">
        <v>128</v>
      </c>
      <c r="K642" t="s">
        <v>128</v>
      </c>
      <c r="L642" t="s">
        <v>128</v>
      </c>
      <c r="M642" t="s">
        <v>1296</v>
      </c>
      <c r="N642" t="b">
        <v>0</v>
      </c>
    </row>
    <row r="643" spans="1:14">
      <c r="A643">
        <v>34</v>
      </c>
      <c r="B643">
        <v>3</v>
      </c>
      <c r="C643" t="s">
        <v>253</v>
      </c>
      <c r="D643" t="s">
        <v>726</v>
      </c>
      <c r="E643" t="s">
        <v>99</v>
      </c>
      <c r="F643">
        <v>40</v>
      </c>
      <c r="G643" t="s">
        <v>128</v>
      </c>
      <c r="H643" t="s">
        <v>128</v>
      </c>
      <c r="I643" t="s">
        <v>99</v>
      </c>
      <c r="J643" t="s">
        <v>128</v>
      </c>
      <c r="K643" t="s">
        <v>128</v>
      </c>
      <c r="L643" t="s">
        <v>128</v>
      </c>
      <c r="M643" t="s">
        <v>1297</v>
      </c>
      <c r="N643" t="b">
        <v>0</v>
      </c>
    </row>
    <row r="644" spans="1:14">
      <c r="A644">
        <v>34</v>
      </c>
      <c r="B644">
        <v>4</v>
      </c>
      <c r="C644" t="s">
        <v>191</v>
      </c>
      <c r="D644" t="s">
        <v>726</v>
      </c>
      <c r="E644" t="s">
        <v>101</v>
      </c>
      <c r="F644">
        <v>50</v>
      </c>
      <c r="G644" t="s">
        <v>128</v>
      </c>
      <c r="H644" t="s">
        <v>128</v>
      </c>
      <c r="I644" t="s">
        <v>101</v>
      </c>
      <c r="J644" t="s">
        <v>128</v>
      </c>
      <c r="K644" t="s">
        <v>128</v>
      </c>
      <c r="L644" t="s">
        <v>128</v>
      </c>
      <c r="M644" t="s">
        <v>1298</v>
      </c>
      <c r="N644" t="b">
        <v>0</v>
      </c>
    </row>
    <row r="645" spans="1:14">
      <c r="A645">
        <v>34</v>
      </c>
      <c r="B645">
        <v>5</v>
      </c>
      <c r="C645" t="s">
        <v>317</v>
      </c>
      <c r="D645" t="s">
        <v>755</v>
      </c>
      <c r="E645" t="s">
        <v>299</v>
      </c>
      <c r="F645">
        <v>30</v>
      </c>
      <c r="G645" t="s">
        <v>762</v>
      </c>
      <c r="H645" t="s">
        <v>128</v>
      </c>
      <c r="I645" t="s">
        <v>128</v>
      </c>
      <c r="J645" t="s">
        <v>763</v>
      </c>
      <c r="K645" t="s">
        <v>764</v>
      </c>
      <c r="L645" t="s">
        <v>765</v>
      </c>
      <c r="M645" t="s">
        <v>1299</v>
      </c>
      <c r="N645" t="b">
        <v>0</v>
      </c>
    </row>
    <row r="646" spans="1:14">
      <c r="A646">
        <v>34</v>
      </c>
      <c r="B646">
        <v>6</v>
      </c>
      <c r="C646" t="s">
        <v>192</v>
      </c>
      <c r="D646" t="s">
        <v>726</v>
      </c>
      <c r="E646" t="s">
        <v>109</v>
      </c>
      <c r="F646">
        <v>30</v>
      </c>
      <c r="G646" t="s">
        <v>128</v>
      </c>
      <c r="H646" t="s">
        <v>128</v>
      </c>
      <c r="I646" t="s">
        <v>109</v>
      </c>
      <c r="J646" t="s">
        <v>128</v>
      </c>
      <c r="K646" t="s">
        <v>128</v>
      </c>
      <c r="L646" t="s">
        <v>128</v>
      </c>
      <c r="M646" t="s">
        <v>1300</v>
      </c>
      <c r="N646" t="b">
        <v>0</v>
      </c>
    </row>
    <row r="647" spans="1:14">
      <c r="A647">
        <v>34</v>
      </c>
      <c r="B647">
        <v>7</v>
      </c>
      <c r="C647" t="s">
        <v>318</v>
      </c>
      <c r="D647" t="s">
        <v>726</v>
      </c>
      <c r="E647" t="s">
        <v>113</v>
      </c>
      <c r="F647">
        <v>30</v>
      </c>
      <c r="G647" t="s">
        <v>128</v>
      </c>
      <c r="H647" t="s">
        <v>128</v>
      </c>
      <c r="I647" t="s">
        <v>113</v>
      </c>
      <c r="J647" t="s">
        <v>128</v>
      </c>
      <c r="K647" t="s">
        <v>128</v>
      </c>
      <c r="L647" t="s">
        <v>128</v>
      </c>
      <c r="M647" t="s">
        <v>1301</v>
      </c>
      <c r="N647" t="b">
        <v>0</v>
      </c>
    </row>
    <row r="648" spans="1:14">
      <c r="A648">
        <v>34</v>
      </c>
      <c r="B648">
        <v>8</v>
      </c>
      <c r="C648" t="s">
        <v>319</v>
      </c>
      <c r="D648" t="s">
        <v>726</v>
      </c>
      <c r="E648" t="s">
        <v>115</v>
      </c>
      <c r="F648">
        <v>30</v>
      </c>
      <c r="G648" t="s">
        <v>128</v>
      </c>
      <c r="H648" t="s">
        <v>128</v>
      </c>
      <c r="I648" t="s">
        <v>115</v>
      </c>
      <c r="J648" t="s">
        <v>128</v>
      </c>
      <c r="K648" t="s">
        <v>128</v>
      </c>
      <c r="L648" t="s">
        <v>128</v>
      </c>
      <c r="M648" t="s">
        <v>1302</v>
      </c>
      <c r="N648" t="b">
        <v>0</v>
      </c>
    </row>
    <row r="649" spans="1:14">
      <c r="A649">
        <v>34</v>
      </c>
      <c r="B649">
        <v>9</v>
      </c>
      <c r="C649" t="s">
        <v>194</v>
      </c>
      <c r="D649" t="s">
        <v>726</v>
      </c>
      <c r="E649" t="s">
        <v>61</v>
      </c>
      <c r="F649">
        <v>30</v>
      </c>
      <c r="G649" t="s">
        <v>128</v>
      </c>
      <c r="H649" t="s">
        <v>128</v>
      </c>
      <c r="I649" t="s">
        <v>61</v>
      </c>
      <c r="J649" t="s">
        <v>128</v>
      </c>
      <c r="K649" t="s">
        <v>128</v>
      </c>
      <c r="L649" t="s">
        <v>128</v>
      </c>
      <c r="M649" t="s">
        <v>1303</v>
      </c>
      <c r="N649" t="b">
        <v>0</v>
      </c>
    </row>
    <row r="650" spans="1:14">
      <c r="A650">
        <v>34</v>
      </c>
      <c r="B650">
        <v>10</v>
      </c>
      <c r="C650" t="s">
        <v>320</v>
      </c>
      <c r="D650" t="s">
        <v>726</v>
      </c>
      <c r="E650" t="s">
        <v>333</v>
      </c>
      <c r="F650">
        <v>30</v>
      </c>
      <c r="G650" t="s">
        <v>128</v>
      </c>
      <c r="H650" t="s">
        <v>550</v>
      </c>
      <c r="I650" t="s">
        <v>447</v>
      </c>
      <c r="J650" t="s">
        <v>128</v>
      </c>
      <c r="K650" t="s">
        <v>923</v>
      </c>
      <c r="L650" t="s">
        <v>924</v>
      </c>
      <c r="M650" t="s">
        <v>1304</v>
      </c>
      <c r="N650" t="b">
        <v>0</v>
      </c>
    </row>
    <row r="651" spans="1:14">
      <c r="A651">
        <v>34</v>
      </c>
      <c r="B651">
        <v>11</v>
      </c>
      <c r="C651" t="s">
        <v>165</v>
      </c>
      <c r="D651" t="s">
        <v>726</v>
      </c>
      <c r="E651" t="s">
        <v>78</v>
      </c>
      <c r="F651">
        <v>40</v>
      </c>
      <c r="G651" t="s">
        <v>128</v>
      </c>
      <c r="H651" t="s">
        <v>128</v>
      </c>
      <c r="I651" t="s">
        <v>78</v>
      </c>
      <c r="J651" t="s">
        <v>128</v>
      </c>
      <c r="K651" t="s">
        <v>128</v>
      </c>
      <c r="L651" t="s">
        <v>128</v>
      </c>
      <c r="M651" t="s">
        <v>1305</v>
      </c>
      <c r="N651" t="b">
        <v>0</v>
      </c>
    </row>
    <row r="652" spans="1:14">
      <c r="A652">
        <v>34</v>
      </c>
      <c r="B652">
        <v>12</v>
      </c>
      <c r="C652" t="s">
        <v>321</v>
      </c>
      <c r="D652" t="s">
        <v>726</v>
      </c>
      <c r="E652" t="s">
        <v>84</v>
      </c>
      <c r="F652">
        <v>30</v>
      </c>
      <c r="G652" t="s">
        <v>128</v>
      </c>
      <c r="H652" t="s">
        <v>128</v>
      </c>
      <c r="I652" t="s">
        <v>84</v>
      </c>
      <c r="J652" t="s">
        <v>128</v>
      </c>
      <c r="K652" t="s">
        <v>128</v>
      </c>
      <c r="L652" t="s">
        <v>128</v>
      </c>
      <c r="M652" t="s">
        <v>1306</v>
      </c>
      <c r="N652" t="b">
        <v>0</v>
      </c>
    </row>
    <row r="653" spans="1:14">
      <c r="A653">
        <v>34</v>
      </c>
      <c r="B653">
        <v>13</v>
      </c>
      <c r="C653" t="s">
        <v>196</v>
      </c>
      <c r="D653" t="s">
        <v>726</v>
      </c>
      <c r="E653" t="s">
        <v>98</v>
      </c>
      <c r="F653">
        <v>50</v>
      </c>
      <c r="G653" t="s">
        <v>128</v>
      </c>
      <c r="H653" t="s">
        <v>128</v>
      </c>
      <c r="I653" t="s">
        <v>98</v>
      </c>
      <c r="J653" t="s">
        <v>128</v>
      </c>
      <c r="K653" t="s">
        <v>128</v>
      </c>
      <c r="L653" t="s">
        <v>128</v>
      </c>
      <c r="M653" t="s">
        <v>1307</v>
      </c>
      <c r="N653" t="b">
        <v>0</v>
      </c>
    </row>
    <row r="654" spans="1:14">
      <c r="A654">
        <v>34</v>
      </c>
      <c r="B654">
        <v>14</v>
      </c>
      <c r="C654" t="s">
        <v>322</v>
      </c>
      <c r="D654" t="s">
        <v>726</v>
      </c>
      <c r="E654" t="s">
        <v>106</v>
      </c>
      <c r="F654">
        <v>30</v>
      </c>
      <c r="G654" t="s">
        <v>128</v>
      </c>
      <c r="H654" t="s">
        <v>128</v>
      </c>
      <c r="I654" t="s">
        <v>106</v>
      </c>
      <c r="J654" t="s">
        <v>128</v>
      </c>
      <c r="K654" t="s">
        <v>128</v>
      </c>
      <c r="L654" t="s">
        <v>128</v>
      </c>
      <c r="M654" t="s">
        <v>1308</v>
      </c>
      <c r="N654" t="b">
        <v>0</v>
      </c>
    </row>
    <row r="655" spans="1:14">
      <c r="A655">
        <v>34</v>
      </c>
      <c r="B655">
        <v>15</v>
      </c>
      <c r="C655" t="s">
        <v>197</v>
      </c>
      <c r="D655" t="s">
        <v>726</v>
      </c>
      <c r="E655" t="s">
        <v>108</v>
      </c>
      <c r="F655">
        <v>60</v>
      </c>
      <c r="G655" t="s">
        <v>128</v>
      </c>
      <c r="H655" t="s">
        <v>128</v>
      </c>
      <c r="I655" t="s">
        <v>108</v>
      </c>
      <c r="J655" t="s">
        <v>128</v>
      </c>
      <c r="K655" t="s">
        <v>128</v>
      </c>
      <c r="L655" t="s">
        <v>128</v>
      </c>
      <c r="M655" t="s">
        <v>1309</v>
      </c>
      <c r="N655" t="b">
        <v>0</v>
      </c>
    </row>
    <row r="656" spans="1:14">
      <c r="A656">
        <v>34</v>
      </c>
      <c r="B656">
        <v>16</v>
      </c>
      <c r="C656" t="s">
        <v>128</v>
      </c>
      <c r="D656" t="s">
        <v>743</v>
      </c>
      <c r="E656" t="s">
        <v>128</v>
      </c>
      <c r="F656">
        <v>0</v>
      </c>
      <c r="G656" t="s">
        <v>128</v>
      </c>
      <c r="H656" t="s">
        <v>128</v>
      </c>
      <c r="I656" t="s">
        <v>128</v>
      </c>
      <c r="J656" t="s">
        <v>128</v>
      </c>
      <c r="K656" t="s">
        <v>128</v>
      </c>
      <c r="L656" t="s">
        <v>128</v>
      </c>
      <c r="M656" t="s">
        <v>1310</v>
      </c>
      <c r="N656" t="b">
        <v>0</v>
      </c>
    </row>
    <row r="657" spans="1:14">
      <c r="A657">
        <v>34</v>
      </c>
      <c r="B657">
        <v>17</v>
      </c>
      <c r="C657" t="s">
        <v>128</v>
      </c>
      <c r="D657" t="s">
        <v>743</v>
      </c>
      <c r="E657" t="s">
        <v>128</v>
      </c>
      <c r="F657">
        <v>0</v>
      </c>
      <c r="G657" t="s">
        <v>128</v>
      </c>
      <c r="H657" t="s">
        <v>128</v>
      </c>
      <c r="I657" t="s">
        <v>128</v>
      </c>
      <c r="J657" t="s">
        <v>128</v>
      </c>
      <c r="K657" t="s">
        <v>128</v>
      </c>
      <c r="L657" t="s">
        <v>128</v>
      </c>
      <c r="M657" t="s">
        <v>711</v>
      </c>
      <c r="N657" t="b">
        <v>0</v>
      </c>
    </row>
    <row r="658" spans="1:14">
      <c r="A658">
        <v>34</v>
      </c>
      <c r="B658">
        <v>18</v>
      </c>
      <c r="C658" t="s">
        <v>128</v>
      </c>
      <c r="D658" t="s">
        <v>743</v>
      </c>
      <c r="E658" t="s">
        <v>128</v>
      </c>
      <c r="F658">
        <v>0</v>
      </c>
      <c r="G658" t="s">
        <v>128</v>
      </c>
      <c r="H658" t="s">
        <v>128</v>
      </c>
      <c r="I658" t="s">
        <v>128</v>
      </c>
      <c r="J658" t="s">
        <v>128</v>
      </c>
      <c r="K658" t="s">
        <v>128</v>
      </c>
      <c r="L658" t="s">
        <v>128</v>
      </c>
      <c r="M658" t="s">
        <v>1311</v>
      </c>
      <c r="N658" t="b">
        <v>0</v>
      </c>
    </row>
    <row r="659" spans="1:14">
      <c r="A659">
        <v>34</v>
      </c>
      <c r="B659">
        <v>19</v>
      </c>
      <c r="C659" t="s">
        <v>128</v>
      </c>
      <c r="D659" t="s">
        <v>743</v>
      </c>
      <c r="E659" t="s">
        <v>128</v>
      </c>
      <c r="F659">
        <v>0</v>
      </c>
      <c r="G659" t="s">
        <v>128</v>
      </c>
      <c r="H659" t="s">
        <v>128</v>
      </c>
      <c r="I659" t="s">
        <v>128</v>
      </c>
      <c r="J659" t="s">
        <v>128</v>
      </c>
      <c r="K659" t="s">
        <v>128</v>
      </c>
      <c r="L659" t="s">
        <v>128</v>
      </c>
      <c r="M659" t="s">
        <v>1312</v>
      </c>
      <c r="N659" t="b">
        <v>0</v>
      </c>
    </row>
    <row r="660" spans="1:14">
      <c r="A660">
        <v>34</v>
      </c>
      <c r="B660">
        <v>20</v>
      </c>
      <c r="C660" t="s">
        <v>128</v>
      </c>
      <c r="D660" t="s">
        <v>743</v>
      </c>
      <c r="E660" t="s">
        <v>128</v>
      </c>
      <c r="F660">
        <v>0</v>
      </c>
      <c r="G660" t="s">
        <v>128</v>
      </c>
      <c r="H660" t="s">
        <v>128</v>
      </c>
      <c r="I660" t="s">
        <v>128</v>
      </c>
      <c r="J660" t="s">
        <v>128</v>
      </c>
      <c r="K660" t="s">
        <v>128</v>
      </c>
      <c r="L660" t="s">
        <v>128</v>
      </c>
      <c r="M660" t="s">
        <v>1313</v>
      </c>
      <c r="N660" t="b">
        <v>0</v>
      </c>
    </row>
    <row r="661" spans="1:14">
      <c r="A661">
        <v>34</v>
      </c>
      <c r="B661">
        <v>21</v>
      </c>
      <c r="C661" t="s">
        <v>128</v>
      </c>
      <c r="D661" t="s">
        <v>743</v>
      </c>
      <c r="E661" t="s">
        <v>128</v>
      </c>
      <c r="F661">
        <v>0</v>
      </c>
      <c r="G661" t="s">
        <v>128</v>
      </c>
      <c r="H661" t="s">
        <v>128</v>
      </c>
      <c r="I661" t="s">
        <v>128</v>
      </c>
      <c r="J661" t="s">
        <v>128</v>
      </c>
      <c r="K661" t="s">
        <v>128</v>
      </c>
      <c r="L661" t="s">
        <v>128</v>
      </c>
      <c r="M661" t="s">
        <v>1314</v>
      </c>
      <c r="N661" t="b">
        <v>0</v>
      </c>
    </row>
    <row r="662" spans="1:14">
      <c r="A662">
        <v>34</v>
      </c>
      <c r="B662">
        <v>22</v>
      </c>
      <c r="C662" t="s">
        <v>128</v>
      </c>
      <c r="D662" t="s">
        <v>743</v>
      </c>
      <c r="E662" t="s">
        <v>128</v>
      </c>
      <c r="F662">
        <v>0</v>
      </c>
      <c r="G662" t="s">
        <v>128</v>
      </c>
      <c r="H662" t="s">
        <v>128</v>
      </c>
      <c r="I662" t="s">
        <v>128</v>
      </c>
      <c r="J662" t="s">
        <v>128</v>
      </c>
      <c r="K662" t="s">
        <v>128</v>
      </c>
      <c r="L662" t="s">
        <v>128</v>
      </c>
      <c r="M662" t="s">
        <v>1315</v>
      </c>
      <c r="N662" t="b">
        <v>0</v>
      </c>
    </row>
    <row r="663" spans="1:14">
      <c r="A663">
        <v>34</v>
      </c>
      <c r="B663">
        <v>23</v>
      </c>
      <c r="C663" t="s">
        <v>128</v>
      </c>
      <c r="D663" t="s">
        <v>743</v>
      </c>
      <c r="E663" t="s">
        <v>128</v>
      </c>
      <c r="F663">
        <v>0</v>
      </c>
      <c r="G663" t="s">
        <v>128</v>
      </c>
      <c r="H663" t="s">
        <v>128</v>
      </c>
      <c r="I663" t="s">
        <v>128</v>
      </c>
      <c r="J663" t="s">
        <v>128</v>
      </c>
      <c r="K663" t="s">
        <v>128</v>
      </c>
      <c r="L663" t="s">
        <v>128</v>
      </c>
      <c r="M663" t="s">
        <v>1316</v>
      </c>
      <c r="N663" t="b">
        <v>0</v>
      </c>
    </row>
    <row r="664" spans="1:14">
      <c r="A664">
        <v>34</v>
      </c>
      <c r="B664">
        <v>24</v>
      </c>
      <c r="C664" t="s">
        <v>128</v>
      </c>
      <c r="D664" t="s">
        <v>743</v>
      </c>
      <c r="E664" t="s">
        <v>128</v>
      </c>
      <c r="F664">
        <v>0</v>
      </c>
      <c r="G664" t="s">
        <v>128</v>
      </c>
      <c r="H664" t="s">
        <v>128</v>
      </c>
      <c r="I664" t="s">
        <v>128</v>
      </c>
      <c r="J664" t="s">
        <v>128</v>
      </c>
      <c r="K664" t="s">
        <v>128</v>
      </c>
      <c r="L664" t="s">
        <v>128</v>
      </c>
      <c r="M664" t="s">
        <v>1317</v>
      </c>
      <c r="N664" t="b">
        <v>0</v>
      </c>
    </row>
    <row r="665" spans="1:14">
      <c r="A665">
        <v>34</v>
      </c>
      <c r="B665">
        <v>25</v>
      </c>
      <c r="C665" t="s">
        <v>128</v>
      </c>
      <c r="D665" t="s">
        <v>743</v>
      </c>
      <c r="E665" t="s">
        <v>128</v>
      </c>
      <c r="F665">
        <v>0</v>
      </c>
      <c r="G665" t="s">
        <v>128</v>
      </c>
      <c r="H665" t="s">
        <v>128</v>
      </c>
      <c r="I665" t="s">
        <v>128</v>
      </c>
      <c r="J665" t="s">
        <v>128</v>
      </c>
      <c r="K665" t="s">
        <v>128</v>
      </c>
      <c r="L665" t="s">
        <v>128</v>
      </c>
      <c r="M665" t="s">
        <v>1318</v>
      </c>
      <c r="N665" t="b">
        <v>0</v>
      </c>
    </row>
    <row r="666" spans="1:14">
      <c r="A666">
        <v>34</v>
      </c>
      <c r="B666">
        <v>26</v>
      </c>
      <c r="C666" t="s">
        <v>128</v>
      </c>
      <c r="D666" t="s">
        <v>743</v>
      </c>
      <c r="E666" t="s">
        <v>128</v>
      </c>
      <c r="F666">
        <v>0</v>
      </c>
      <c r="G666" t="s">
        <v>128</v>
      </c>
      <c r="H666" t="s">
        <v>128</v>
      </c>
      <c r="I666" t="s">
        <v>128</v>
      </c>
      <c r="J666" t="s">
        <v>128</v>
      </c>
      <c r="K666" t="s">
        <v>128</v>
      </c>
      <c r="L666" t="s">
        <v>128</v>
      </c>
      <c r="M666" t="s">
        <v>1319</v>
      </c>
      <c r="N666" t="b">
        <v>0</v>
      </c>
    </row>
    <row r="667" spans="1:14">
      <c r="A667">
        <v>37</v>
      </c>
      <c r="B667">
        <v>0</v>
      </c>
      <c r="C667" t="s">
        <v>188</v>
      </c>
      <c r="D667" t="s">
        <v>726</v>
      </c>
      <c r="E667" t="s">
        <v>65</v>
      </c>
      <c r="F667">
        <v>50</v>
      </c>
      <c r="G667" t="s">
        <v>128</v>
      </c>
      <c r="H667" t="s">
        <v>128</v>
      </c>
      <c r="I667" t="s">
        <v>65</v>
      </c>
      <c r="J667" t="s">
        <v>128</v>
      </c>
      <c r="K667" t="s">
        <v>128</v>
      </c>
      <c r="L667" t="s">
        <v>128</v>
      </c>
      <c r="M667" t="s">
        <v>1320</v>
      </c>
      <c r="N667" t="b">
        <v>0</v>
      </c>
    </row>
    <row r="668" spans="1:14">
      <c r="A668">
        <v>37</v>
      </c>
      <c r="B668">
        <v>1</v>
      </c>
      <c r="C668" t="s">
        <v>160</v>
      </c>
      <c r="D668" t="s">
        <v>726</v>
      </c>
      <c r="E668" t="s">
        <v>83</v>
      </c>
      <c r="F668">
        <v>40</v>
      </c>
      <c r="G668" t="s">
        <v>128</v>
      </c>
      <c r="H668" t="s">
        <v>128</v>
      </c>
      <c r="I668" t="s">
        <v>83</v>
      </c>
      <c r="J668" t="s">
        <v>128</v>
      </c>
      <c r="K668" t="s">
        <v>128</v>
      </c>
      <c r="L668" t="s">
        <v>128</v>
      </c>
      <c r="M668" t="s">
        <v>1321</v>
      </c>
      <c r="N668" t="b">
        <v>0</v>
      </c>
    </row>
    <row r="669" spans="1:14">
      <c r="A669">
        <v>37</v>
      </c>
      <c r="B669">
        <v>2</v>
      </c>
      <c r="C669" t="s">
        <v>189</v>
      </c>
      <c r="D669" t="s">
        <v>726</v>
      </c>
      <c r="E669" t="s">
        <v>93</v>
      </c>
      <c r="F669">
        <v>50</v>
      </c>
      <c r="G669" t="s">
        <v>128</v>
      </c>
      <c r="H669" t="s">
        <v>128</v>
      </c>
      <c r="I669" t="s">
        <v>93</v>
      </c>
      <c r="J669" t="s">
        <v>128</v>
      </c>
      <c r="K669" t="s">
        <v>128</v>
      </c>
      <c r="L669" t="s">
        <v>128</v>
      </c>
      <c r="M669" t="s">
        <v>1322</v>
      </c>
      <c r="N669" t="b">
        <v>0</v>
      </c>
    </row>
    <row r="670" spans="1:14">
      <c r="A670">
        <v>37</v>
      </c>
      <c r="B670">
        <v>3</v>
      </c>
      <c r="C670" t="s">
        <v>307</v>
      </c>
      <c r="D670" t="s">
        <v>726</v>
      </c>
      <c r="E670" t="s">
        <v>97</v>
      </c>
      <c r="F670">
        <v>50</v>
      </c>
      <c r="G670" t="s">
        <v>128</v>
      </c>
      <c r="H670" t="s">
        <v>128</v>
      </c>
      <c r="I670" t="s">
        <v>97</v>
      </c>
      <c r="J670" t="s">
        <v>128</v>
      </c>
      <c r="K670" t="s">
        <v>128</v>
      </c>
      <c r="L670" t="s">
        <v>128</v>
      </c>
      <c r="M670" t="s">
        <v>1323</v>
      </c>
      <c r="N670" t="b">
        <v>0</v>
      </c>
    </row>
    <row r="671" spans="1:14">
      <c r="A671">
        <v>37</v>
      </c>
      <c r="B671">
        <v>4</v>
      </c>
      <c r="C671" t="s">
        <v>190</v>
      </c>
      <c r="D671" t="s">
        <v>726</v>
      </c>
      <c r="E671" t="s">
        <v>99</v>
      </c>
      <c r="F671">
        <v>50</v>
      </c>
      <c r="G671" t="s">
        <v>128</v>
      </c>
      <c r="H671" t="s">
        <v>128</v>
      </c>
      <c r="I671" t="s">
        <v>99</v>
      </c>
      <c r="J671" t="s">
        <v>128</v>
      </c>
      <c r="K671" t="s">
        <v>128</v>
      </c>
      <c r="L671" t="s">
        <v>128</v>
      </c>
      <c r="M671" t="s">
        <v>1324</v>
      </c>
      <c r="N671" t="b">
        <v>0</v>
      </c>
    </row>
    <row r="672" spans="1:14">
      <c r="A672">
        <v>37</v>
      </c>
      <c r="B672">
        <v>5</v>
      </c>
      <c r="C672" t="s">
        <v>191</v>
      </c>
      <c r="D672" t="s">
        <v>726</v>
      </c>
      <c r="E672" t="s">
        <v>101</v>
      </c>
      <c r="F672">
        <v>50</v>
      </c>
      <c r="G672" t="s">
        <v>128</v>
      </c>
      <c r="H672" t="s">
        <v>128</v>
      </c>
      <c r="I672" t="s">
        <v>101</v>
      </c>
      <c r="J672" t="s">
        <v>128</v>
      </c>
      <c r="K672" t="s">
        <v>128</v>
      </c>
      <c r="L672" t="s">
        <v>128</v>
      </c>
      <c r="M672" t="s">
        <v>1325</v>
      </c>
      <c r="N672" t="b">
        <v>0</v>
      </c>
    </row>
    <row r="673" spans="1:14">
      <c r="A673">
        <v>37</v>
      </c>
      <c r="B673">
        <v>6</v>
      </c>
      <c r="C673" t="s">
        <v>192</v>
      </c>
      <c r="D673" t="s">
        <v>726</v>
      </c>
      <c r="E673" t="s">
        <v>109</v>
      </c>
      <c r="F673">
        <v>30</v>
      </c>
      <c r="G673" t="s">
        <v>128</v>
      </c>
      <c r="H673" t="s">
        <v>128</v>
      </c>
      <c r="I673" t="s">
        <v>109</v>
      </c>
      <c r="J673" t="s">
        <v>128</v>
      </c>
      <c r="K673" t="s">
        <v>128</v>
      </c>
      <c r="L673" t="s">
        <v>128</v>
      </c>
      <c r="M673" t="s">
        <v>768</v>
      </c>
      <c r="N673" t="b">
        <v>0</v>
      </c>
    </row>
    <row r="674" spans="1:14">
      <c r="A674">
        <v>37</v>
      </c>
      <c r="B674">
        <v>7</v>
      </c>
      <c r="C674" t="s">
        <v>200</v>
      </c>
      <c r="D674" t="s">
        <v>726</v>
      </c>
      <c r="E674" t="s">
        <v>113</v>
      </c>
      <c r="F674">
        <v>50</v>
      </c>
      <c r="G674" t="s">
        <v>128</v>
      </c>
      <c r="H674" t="s">
        <v>128</v>
      </c>
      <c r="I674" t="s">
        <v>113</v>
      </c>
      <c r="J674" t="s">
        <v>128</v>
      </c>
      <c r="K674" t="s">
        <v>128</v>
      </c>
      <c r="L674" t="s">
        <v>128</v>
      </c>
      <c r="M674" t="s">
        <v>1326</v>
      </c>
      <c r="N674" t="b">
        <v>0</v>
      </c>
    </row>
    <row r="675" spans="1:14">
      <c r="A675">
        <v>37</v>
      </c>
      <c r="B675">
        <v>8</v>
      </c>
      <c r="C675" t="s">
        <v>193</v>
      </c>
      <c r="D675" t="s">
        <v>726</v>
      </c>
      <c r="E675" t="s">
        <v>115</v>
      </c>
      <c r="F675">
        <v>60</v>
      </c>
      <c r="G675" t="s">
        <v>128</v>
      </c>
      <c r="H675" t="s">
        <v>128</v>
      </c>
      <c r="I675" t="s">
        <v>115</v>
      </c>
      <c r="J675" t="s">
        <v>128</v>
      </c>
      <c r="K675" t="s">
        <v>128</v>
      </c>
      <c r="L675" t="s">
        <v>128</v>
      </c>
      <c r="M675" t="s">
        <v>1327</v>
      </c>
      <c r="N675" t="b">
        <v>0</v>
      </c>
    </row>
    <row r="676" spans="1:14">
      <c r="A676">
        <v>37</v>
      </c>
      <c r="B676">
        <v>9</v>
      </c>
      <c r="C676" t="s">
        <v>194</v>
      </c>
      <c r="D676" t="s">
        <v>726</v>
      </c>
      <c r="E676" t="s">
        <v>61</v>
      </c>
      <c r="F676">
        <v>30</v>
      </c>
      <c r="G676" t="s">
        <v>128</v>
      </c>
      <c r="H676" t="s">
        <v>128</v>
      </c>
      <c r="I676" t="s">
        <v>61</v>
      </c>
      <c r="J676" t="s">
        <v>128</v>
      </c>
      <c r="K676" t="s">
        <v>128</v>
      </c>
      <c r="L676" t="s">
        <v>128</v>
      </c>
      <c r="M676" t="s">
        <v>1328</v>
      </c>
      <c r="N676" t="b">
        <v>0</v>
      </c>
    </row>
    <row r="677" spans="1:14">
      <c r="A677">
        <v>37</v>
      </c>
      <c r="B677">
        <v>10</v>
      </c>
      <c r="C677" t="s">
        <v>195</v>
      </c>
      <c r="D677" t="s">
        <v>726</v>
      </c>
      <c r="E677" t="s">
        <v>78</v>
      </c>
      <c r="F677">
        <v>50</v>
      </c>
      <c r="G677" t="s">
        <v>128</v>
      </c>
      <c r="H677" t="s">
        <v>128</v>
      </c>
      <c r="I677" t="s">
        <v>78</v>
      </c>
      <c r="J677" t="s">
        <v>128</v>
      </c>
      <c r="K677" t="s">
        <v>128</v>
      </c>
      <c r="L677" t="s">
        <v>128</v>
      </c>
      <c r="M677" t="s">
        <v>1329</v>
      </c>
      <c r="N677" t="b">
        <v>0</v>
      </c>
    </row>
    <row r="678" spans="1:14">
      <c r="A678">
        <v>37</v>
      </c>
      <c r="B678">
        <v>11</v>
      </c>
      <c r="C678" t="s">
        <v>196</v>
      </c>
      <c r="D678" t="s">
        <v>726</v>
      </c>
      <c r="E678" t="s">
        <v>98</v>
      </c>
      <c r="F678">
        <v>50</v>
      </c>
      <c r="G678" t="s">
        <v>128</v>
      </c>
      <c r="H678" t="s">
        <v>128</v>
      </c>
      <c r="I678" t="s">
        <v>98</v>
      </c>
      <c r="J678" t="s">
        <v>128</v>
      </c>
      <c r="K678" t="s">
        <v>128</v>
      </c>
      <c r="L678" t="s">
        <v>128</v>
      </c>
      <c r="M678" t="s">
        <v>1330</v>
      </c>
      <c r="N678" t="b">
        <v>0</v>
      </c>
    </row>
    <row r="679" spans="1:14">
      <c r="A679">
        <v>37</v>
      </c>
      <c r="B679">
        <v>12</v>
      </c>
      <c r="C679" t="s">
        <v>327</v>
      </c>
      <c r="D679" t="s">
        <v>726</v>
      </c>
      <c r="E679" t="s">
        <v>102</v>
      </c>
      <c r="F679">
        <v>40</v>
      </c>
      <c r="G679" t="s">
        <v>128</v>
      </c>
      <c r="H679" t="s">
        <v>128</v>
      </c>
      <c r="I679" t="s">
        <v>102</v>
      </c>
      <c r="J679" t="s">
        <v>128</v>
      </c>
      <c r="K679" t="s">
        <v>128</v>
      </c>
      <c r="L679" t="s">
        <v>128</v>
      </c>
      <c r="M679" t="s">
        <v>1331</v>
      </c>
      <c r="N679" t="b">
        <v>0</v>
      </c>
    </row>
    <row r="680" spans="1:14">
      <c r="A680">
        <v>37</v>
      </c>
      <c r="B680">
        <v>13</v>
      </c>
      <c r="C680" t="s">
        <v>197</v>
      </c>
      <c r="D680" t="s">
        <v>726</v>
      </c>
      <c r="E680" t="s">
        <v>108</v>
      </c>
      <c r="F680">
        <v>60</v>
      </c>
      <c r="G680" t="s">
        <v>128</v>
      </c>
      <c r="H680" t="s">
        <v>128</v>
      </c>
      <c r="I680" t="s">
        <v>108</v>
      </c>
      <c r="J680" t="s">
        <v>128</v>
      </c>
      <c r="K680" t="s">
        <v>128</v>
      </c>
      <c r="L680" t="s">
        <v>128</v>
      </c>
      <c r="M680" t="s">
        <v>1332</v>
      </c>
      <c r="N680" t="b">
        <v>0</v>
      </c>
    </row>
    <row r="681" spans="1:14">
      <c r="A681">
        <v>37</v>
      </c>
      <c r="B681">
        <v>14</v>
      </c>
      <c r="C681" t="s">
        <v>128</v>
      </c>
      <c r="D681" t="s">
        <v>726</v>
      </c>
      <c r="E681" t="s">
        <v>128</v>
      </c>
      <c r="F681">
        <v>0</v>
      </c>
      <c r="G681" t="s">
        <v>128</v>
      </c>
      <c r="H681" t="s">
        <v>128</v>
      </c>
      <c r="I681" t="s">
        <v>128</v>
      </c>
      <c r="J681" t="s">
        <v>128</v>
      </c>
      <c r="K681" t="s">
        <v>128</v>
      </c>
      <c r="L681" t="s">
        <v>128</v>
      </c>
      <c r="M681" t="s">
        <v>1333</v>
      </c>
      <c r="N681" t="b">
        <v>0</v>
      </c>
    </row>
    <row r="682" spans="1:14">
      <c r="A682">
        <v>37</v>
      </c>
      <c r="B682">
        <v>15</v>
      </c>
      <c r="C682" t="s">
        <v>128</v>
      </c>
      <c r="D682" t="s">
        <v>726</v>
      </c>
      <c r="E682" t="s">
        <v>128</v>
      </c>
      <c r="F682">
        <v>0</v>
      </c>
      <c r="G682" t="s">
        <v>128</v>
      </c>
      <c r="H682" t="s">
        <v>128</v>
      </c>
      <c r="I682" t="s">
        <v>128</v>
      </c>
      <c r="J682" t="s">
        <v>128</v>
      </c>
      <c r="K682" t="s">
        <v>128</v>
      </c>
      <c r="L682" t="s">
        <v>128</v>
      </c>
      <c r="M682" t="s">
        <v>1334</v>
      </c>
      <c r="N682" t="b">
        <v>0</v>
      </c>
    </row>
    <row r="683" spans="1:14">
      <c r="A683">
        <v>37</v>
      </c>
      <c r="B683">
        <v>16</v>
      </c>
      <c r="C683" t="s">
        <v>128</v>
      </c>
      <c r="D683" t="s">
        <v>743</v>
      </c>
      <c r="E683" t="s">
        <v>128</v>
      </c>
      <c r="F683">
        <v>0</v>
      </c>
      <c r="G683" t="s">
        <v>128</v>
      </c>
      <c r="H683" t="s">
        <v>128</v>
      </c>
      <c r="I683" t="s">
        <v>128</v>
      </c>
      <c r="J683" t="s">
        <v>128</v>
      </c>
      <c r="K683" t="s">
        <v>128</v>
      </c>
      <c r="L683" t="s">
        <v>128</v>
      </c>
      <c r="M683" t="s">
        <v>1335</v>
      </c>
      <c r="N683" t="b">
        <v>0</v>
      </c>
    </row>
    <row r="684" spans="1:14">
      <c r="A684">
        <v>37</v>
      </c>
      <c r="B684">
        <v>17</v>
      </c>
      <c r="C684" t="s">
        <v>128</v>
      </c>
      <c r="D684" t="s">
        <v>743</v>
      </c>
      <c r="E684" t="s">
        <v>128</v>
      </c>
      <c r="F684">
        <v>0</v>
      </c>
      <c r="G684" t="s">
        <v>128</v>
      </c>
      <c r="H684" t="s">
        <v>128</v>
      </c>
      <c r="I684" t="s">
        <v>128</v>
      </c>
      <c r="J684" t="s">
        <v>128</v>
      </c>
      <c r="K684" t="s">
        <v>128</v>
      </c>
      <c r="L684" t="s">
        <v>128</v>
      </c>
      <c r="M684" t="s">
        <v>717</v>
      </c>
      <c r="N684" t="b">
        <v>0</v>
      </c>
    </row>
    <row r="685" spans="1:14">
      <c r="A685">
        <v>37</v>
      </c>
      <c r="B685">
        <v>18</v>
      </c>
      <c r="C685" t="s">
        <v>128</v>
      </c>
      <c r="D685" t="s">
        <v>743</v>
      </c>
      <c r="E685" t="s">
        <v>128</v>
      </c>
      <c r="F685">
        <v>0</v>
      </c>
      <c r="G685" t="s">
        <v>128</v>
      </c>
      <c r="H685" t="s">
        <v>128</v>
      </c>
      <c r="I685" t="s">
        <v>128</v>
      </c>
      <c r="J685" t="s">
        <v>128</v>
      </c>
      <c r="K685" t="s">
        <v>128</v>
      </c>
      <c r="L685" t="s">
        <v>128</v>
      </c>
      <c r="M685" t="s">
        <v>1336</v>
      </c>
      <c r="N685" t="b">
        <v>0</v>
      </c>
    </row>
    <row r="686" spans="1:14">
      <c r="A686">
        <v>37</v>
      </c>
      <c r="B686">
        <v>19</v>
      </c>
      <c r="C686" t="s">
        <v>128</v>
      </c>
      <c r="D686" t="s">
        <v>743</v>
      </c>
      <c r="E686" t="s">
        <v>128</v>
      </c>
      <c r="F686">
        <v>0</v>
      </c>
      <c r="G686" t="s">
        <v>128</v>
      </c>
      <c r="H686" t="s">
        <v>128</v>
      </c>
      <c r="I686" t="s">
        <v>128</v>
      </c>
      <c r="J686" t="s">
        <v>128</v>
      </c>
      <c r="K686" t="s">
        <v>128</v>
      </c>
      <c r="L686" t="s">
        <v>128</v>
      </c>
      <c r="M686" t="s">
        <v>1337</v>
      </c>
      <c r="N686" t="b">
        <v>0</v>
      </c>
    </row>
    <row r="687" spans="1:14">
      <c r="A687">
        <v>37</v>
      </c>
      <c r="B687">
        <v>20</v>
      </c>
      <c r="C687" t="s">
        <v>128</v>
      </c>
      <c r="D687" t="s">
        <v>743</v>
      </c>
      <c r="E687" t="s">
        <v>128</v>
      </c>
      <c r="F687">
        <v>0</v>
      </c>
      <c r="G687" t="s">
        <v>128</v>
      </c>
      <c r="H687" t="s">
        <v>128</v>
      </c>
      <c r="I687" t="s">
        <v>128</v>
      </c>
      <c r="J687" t="s">
        <v>128</v>
      </c>
      <c r="K687" t="s">
        <v>128</v>
      </c>
      <c r="L687" t="s">
        <v>128</v>
      </c>
      <c r="M687" t="s">
        <v>1338</v>
      </c>
      <c r="N687" t="b">
        <v>0</v>
      </c>
    </row>
    <row r="688" spans="1:14">
      <c r="A688">
        <v>37</v>
      </c>
      <c r="B688">
        <v>21</v>
      </c>
      <c r="C688" t="s">
        <v>128</v>
      </c>
      <c r="D688" t="s">
        <v>743</v>
      </c>
      <c r="E688" t="s">
        <v>128</v>
      </c>
      <c r="F688">
        <v>0</v>
      </c>
      <c r="G688" t="s">
        <v>128</v>
      </c>
      <c r="H688" t="s">
        <v>128</v>
      </c>
      <c r="I688" t="s">
        <v>128</v>
      </c>
      <c r="J688" t="s">
        <v>128</v>
      </c>
      <c r="K688" t="s">
        <v>128</v>
      </c>
      <c r="L688" t="s">
        <v>128</v>
      </c>
      <c r="M688" t="s">
        <v>1339</v>
      </c>
      <c r="N688" t="b">
        <v>0</v>
      </c>
    </row>
    <row r="689" spans="1:14">
      <c r="A689">
        <v>37</v>
      </c>
      <c r="B689">
        <v>22</v>
      </c>
      <c r="C689" t="s">
        <v>128</v>
      </c>
      <c r="D689" t="s">
        <v>743</v>
      </c>
      <c r="E689" t="s">
        <v>128</v>
      </c>
      <c r="F689">
        <v>0</v>
      </c>
      <c r="G689" t="s">
        <v>128</v>
      </c>
      <c r="H689" t="s">
        <v>128</v>
      </c>
      <c r="I689" t="s">
        <v>128</v>
      </c>
      <c r="J689" t="s">
        <v>128</v>
      </c>
      <c r="K689" t="s">
        <v>128</v>
      </c>
      <c r="L689" t="s">
        <v>128</v>
      </c>
      <c r="M689" t="s">
        <v>1340</v>
      </c>
      <c r="N689" t="b">
        <v>0</v>
      </c>
    </row>
    <row r="690" spans="1:14">
      <c r="A690">
        <v>37</v>
      </c>
      <c r="B690">
        <v>23</v>
      </c>
      <c r="C690" t="s">
        <v>128</v>
      </c>
      <c r="D690" t="s">
        <v>743</v>
      </c>
      <c r="E690" t="s">
        <v>128</v>
      </c>
      <c r="F690">
        <v>0</v>
      </c>
      <c r="G690" t="s">
        <v>128</v>
      </c>
      <c r="H690" t="s">
        <v>128</v>
      </c>
      <c r="I690" t="s">
        <v>128</v>
      </c>
      <c r="J690" t="s">
        <v>128</v>
      </c>
      <c r="K690" t="s">
        <v>128</v>
      </c>
      <c r="L690" t="s">
        <v>128</v>
      </c>
      <c r="M690" t="s">
        <v>1341</v>
      </c>
      <c r="N690" t="b">
        <v>0</v>
      </c>
    </row>
    <row r="691" spans="1:14">
      <c r="A691">
        <v>37</v>
      </c>
      <c r="B691">
        <v>24</v>
      </c>
      <c r="C691" t="s">
        <v>128</v>
      </c>
      <c r="D691" t="s">
        <v>743</v>
      </c>
      <c r="E691" t="s">
        <v>128</v>
      </c>
      <c r="F691">
        <v>0</v>
      </c>
      <c r="G691" t="s">
        <v>128</v>
      </c>
      <c r="H691" t="s">
        <v>128</v>
      </c>
      <c r="I691" t="s">
        <v>128</v>
      </c>
      <c r="J691" t="s">
        <v>128</v>
      </c>
      <c r="K691" t="s">
        <v>128</v>
      </c>
      <c r="L691" t="s">
        <v>128</v>
      </c>
      <c r="M691" t="s">
        <v>1342</v>
      </c>
      <c r="N691" t="b">
        <v>0</v>
      </c>
    </row>
    <row r="692" spans="1:14">
      <c r="A692">
        <v>37</v>
      </c>
      <c r="B692">
        <v>25</v>
      </c>
      <c r="C692" t="s">
        <v>128</v>
      </c>
      <c r="D692" t="s">
        <v>743</v>
      </c>
      <c r="E692" t="s">
        <v>128</v>
      </c>
      <c r="F692">
        <v>0</v>
      </c>
      <c r="G692" t="s">
        <v>128</v>
      </c>
      <c r="H692" t="s">
        <v>128</v>
      </c>
      <c r="I692" t="s">
        <v>128</v>
      </c>
      <c r="J692" t="s">
        <v>128</v>
      </c>
      <c r="K692" t="s">
        <v>128</v>
      </c>
      <c r="L692" t="s">
        <v>128</v>
      </c>
      <c r="M692" t="s">
        <v>1343</v>
      </c>
      <c r="N692" t="b">
        <v>0</v>
      </c>
    </row>
    <row r="693" spans="1:14">
      <c r="A693">
        <v>37</v>
      </c>
      <c r="B693">
        <v>26</v>
      </c>
      <c r="C693" t="s">
        <v>128</v>
      </c>
      <c r="D693" t="s">
        <v>743</v>
      </c>
      <c r="E693" t="s">
        <v>128</v>
      </c>
      <c r="F693">
        <v>0</v>
      </c>
      <c r="G693" t="s">
        <v>128</v>
      </c>
      <c r="H693" t="s">
        <v>128</v>
      </c>
      <c r="I693" t="s">
        <v>128</v>
      </c>
      <c r="J693" t="s">
        <v>128</v>
      </c>
      <c r="K693" t="s">
        <v>128</v>
      </c>
      <c r="L693" t="s">
        <v>128</v>
      </c>
      <c r="M693" t="s">
        <v>1344</v>
      </c>
      <c r="N693" t="b">
        <v>0</v>
      </c>
    </row>
    <row r="694" spans="1:14">
      <c r="A694">
        <v>40</v>
      </c>
      <c r="B694">
        <v>0</v>
      </c>
      <c r="C694" t="s">
        <v>188</v>
      </c>
      <c r="D694" t="s">
        <v>726</v>
      </c>
      <c r="E694" t="s">
        <v>65</v>
      </c>
      <c r="F694">
        <v>50</v>
      </c>
      <c r="G694" t="s">
        <v>128</v>
      </c>
      <c r="H694" t="s">
        <v>128</v>
      </c>
      <c r="I694" t="s">
        <v>65</v>
      </c>
      <c r="J694" t="s">
        <v>128</v>
      </c>
      <c r="K694" t="s">
        <v>128</v>
      </c>
      <c r="L694" t="s">
        <v>128</v>
      </c>
      <c r="M694" t="s">
        <v>1345</v>
      </c>
      <c r="N694" t="b">
        <v>0</v>
      </c>
    </row>
    <row r="695" spans="1:14">
      <c r="A695">
        <v>40</v>
      </c>
      <c r="B695">
        <v>1</v>
      </c>
      <c r="C695" t="s">
        <v>331</v>
      </c>
      <c r="D695" t="s">
        <v>726</v>
      </c>
      <c r="E695" t="s">
        <v>77</v>
      </c>
      <c r="F695">
        <v>40</v>
      </c>
      <c r="G695" t="s">
        <v>128</v>
      </c>
      <c r="H695" t="s">
        <v>128</v>
      </c>
      <c r="I695" t="s">
        <v>77</v>
      </c>
      <c r="J695" t="s">
        <v>128</v>
      </c>
      <c r="K695" t="s">
        <v>128</v>
      </c>
      <c r="L695" t="s">
        <v>128</v>
      </c>
      <c r="M695" t="s">
        <v>1346</v>
      </c>
      <c r="N695" t="b">
        <v>0</v>
      </c>
    </row>
    <row r="696" spans="1:14">
      <c r="A696">
        <v>40</v>
      </c>
      <c r="B696">
        <v>2</v>
      </c>
      <c r="C696" t="s">
        <v>160</v>
      </c>
      <c r="D696" t="s">
        <v>726</v>
      </c>
      <c r="E696" t="s">
        <v>83</v>
      </c>
      <c r="F696">
        <v>40</v>
      </c>
      <c r="G696" t="s">
        <v>128</v>
      </c>
      <c r="H696" t="s">
        <v>128</v>
      </c>
      <c r="I696" t="s">
        <v>83</v>
      </c>
      <c r="J696" t="s">
        <v>128</v>
      </c>
      <c r="K696" t="s">
        <v>128</v>
      </c>
      <c r="L696" t="s">
        <v>128</v>
      </c>
      <c r="M696" t="s">
        <v>1347</v>
      </c>
      <c r="N696" t="b">
        <v>0</v>
      </c>
    </row>
    <row r="697" spans="1:14">
      <c r="A697">
        <v>40</v>
      </c>
      <c r="B697">
        <v>3</v>
      </c>
      <c r="C697" t="s">
        <v>189</v>
      </c>
      <c r="D697" t="s">
        <v>726</v>
      </c>
      <c r="E697" t="s">
        <v>93</v>
      </c>
      <c r="F697">
        <v>50</v>
      </c>
      <c r="G697" t="s">
        <v>128</v>
      </c>
      <c r="H697" t="s">
        <v>128</v>
      </c>
      <c r="I697" t="s">
        <v>93</v>
      </c>
      <c r="J697" t="s">
        <v>128</v>
      </c>
      <c r="K697" t="s">
        <v>128</v>
      </c>
      <c r="L697" t="s">
        <v>128</v>
      </c>
      <c r="M697" t="s">
        <v>1348</v>
      </c>
      <c r="N697" t="b">
        <v>0</v>
      </c>
    </row>
    <row r="698" spans="1:14">
      <c r="A698">
        <v>40</v>
      </c>
      <c r="B698">
        <v>4</v>
      </c>
      <c r="C698" t="s">
        <v>230</v>
      </c>
      <c r="D698" t="s">
        <v>726</v>
      </c>
      <c r="E698" t="s">
        <v>97</v>
      </c>
      <c r="F698">
        <v>40</v>
      </c>
      <c r="G698" t="s">
        <v>128</v>
      </c>
      <c r="H698" t="s">
        <v>128</v>
      </c>
      <c r="I698" t="s">
        <v>97</v>
      </c>
      <c r="J698" t="s">
        <v>128</v>
      </c>
      <c r="K698" t="s">
        <v>128</v>
      </c>
      <c r="L698" t="s">
        <v>128</v>
      </c>
      <c r="M698" t="s">
        <v>1349</v>
      </c>
      <c r="N698" t="b">
        <v>0</v>
      </c>
    </row>
    <row r="699" spans="1:14">
      <c r="A699">
        <v>40</v>
      </c>
      <c r="B699">
        <v>5</v>
      </c>
      <c r="C699" t="s">
        <v>190</v>
      </c>
      <c r="D699" t="s">
        <v>726</v>
      </c>
      <c r="E699" t="s">
        <v>99</v>
      </c>
      <c r="F699">
        <v>50</v>
      </c>
      <c r="G699" t="s">
        <v>128</v>
      </c>
      <c r="H699" t="s">
        <v>128</v>
      </c>
      <c r="I699" t="s">
        <v>99</v>
      </c>
      <c r="J699" t="s">
        <v>128</v>
      </c>
      <c r="K699" t="s">
        <v>128</v>
      </c>
      <c r="L699" t="s">
        <v>128</v>
      </c>
      <c r="M699" t="s">
        <v>1350</v>
      </c>
      <c r="N699" t="b">
        <v>0</v>
      </c>
    </row>
    <row r="700" spans="1:14">
      <c r="A700">
        <v>40</v>
      </c>
      <c r="B700">
        <v>6</v>
      </c>
      <c r="C700" t="s">
        <v>191</v>
      </c>
      <c r="D700" t="s">
        <v>726</v>
      </c>
      <c r="E700" t="s">
        <v>101</v>
      </c>
      <c r="F700">
        <v>50</v>
      </c>
      <c r="G700" t="s">
        <v>128</v>
      </c>
      <c r="H700" t="s">
        <v>128</v>
      </c>
      <c r="I700" t="s">
        <v>101</v>
      </c>
      <c r="J700" t="s">
        <v>128</v>
      </c>
      <c r="K700" t="s">
        <v>128</v>
      </c>
      <c r="L700" t="s">
        <v>128</v>
      </c>
      <c r="M700" t="s">
        <v>1351</v>
      </c>
      <c r="N700" t="b">
        <v>0</v>
      </c>
    </row>
    <row r="701" spans="1:14">
      <c r="A701">
        <v>40</v>
      </c>
      <c r="B701">
        <v>7</v>
      </c>
      <c r="C701" t="s">
        <v>192</v>
      </c>
      <c r="D701" t="s">
        <v>726</v>
      </c>
      <c r="E701" t="s">
        <v>109</v>
      </c>
      <c r="F701">
        <v>30</v>
      </c>
      <c r="G701" t="s">
        <v>128</v>
      </c>
      <c r="H701" t="s">
        <v>128</v>
      </c>
      <c r="I701" t="s">
        <v>109</v>
      </c>
      <c r="J701" t="s">
        <v>128</v>
      </c>
      <c r="K701" t="s">
        <v>128</v>
      </c>
      <c r="L701" t="s">
        <v>128</v>
      </c>
      <c r="M701" t="s">
        <v>1352</v>
      </c>
      <c r="N701" t="b">
        <v>0</v>
      </c>
    </row>
    <row r="702" spans="1:14">
      <c r="A702">
        <v>40</v>
      </c>
      <c r="B702">
        <v>8</v>
      </c>
      <c r="C702" t="s">
        <v>200</v>
      </c>
      <c r="D702" t="s">
        <v>726</v>
      </c>
      <c r="E702" t="s">
        <v>113</v>
      </c>
      <c r="F702">
        <v>50</v>
      </c>
      <c r="G702" t="s">
        <v>128</v>
      </c>
      <c r="H702" t="s">
        <v>128</v>
      </c>
      <c r="I702" t="s">
        <v>113</v>
      </c>
      <c r="J702" t="s">
        <v>128</v>
      </c>
      <c r="K702" t="s">
        <v>128</v>
      </c>
      <c r="L702" t="s">
        <v>128</v>
      </c>
      <c r="M702" t="s">
        <v>1353</v>
      </c>
      <c r="N702" t="b">
        <v>0</v>
      </c>
    </row>
    <row r="703" spans="1:14">
      <c r="A703">
        <v>40</v>
      </c>
      <c r="B703">
        <v>9</v>
      </c>
      <c r="C703" t="s">
        <v>193</v>
      </c>
      <c r="D703" t="s">
        <v>726</v>
      </c>
      <c r="E703" t="s">
        <v>115</v>
      </c>
      <c r="F703">
        <v>60</v>
      </c>
      <c r="G703" t="s">
        <v>128</v>
      </c>
      <c r="H703" t="s">
        <v>128</v>
      </c>
      <c r="I703" t="s">
        <v>115</v>
      </c>
      <c r="J703" t="s">
        <v>128</v>
      </c>
      <c r="K703" t="s">
        <v>128</v>
      </c>
      <c r="L703" t="s">
        <v>128</v>
      </c>
      <c r="M703" t="s">
        <v>1354</v>
      </c>
      <c r="N703" t="b">
        <v>0</v>
      </c>
    </row>
    <row r="704" spans="1:14">
      <c r="A704">
        <v>40</v>
      </c>
      <c r="B704">
        <v>10</v>
      </c>
      <c r="C704" t="s">
        <v>194</v>
      </c>
      <c r="D704" t="s">
        <v>726</v>
      </c>
      <c r="E704" t="s">
        <v>61</v>
      </c>
      <c r="F704">
        <v>30</v>
      </c>
      <c r="G704" t="s">
        <v>128</v>
      </c>
      <c r="H704" t="s">
        <v>128</v>
      </c>
      <c r="I704" t="s">
        <v>61</v>
      </c>
      <c r="J704" t="s">
        <v>128</v>
      </c>
      <c r="K704" t="s">
        <v>128</v>
      </c>
      <c r="L704" t="s">
        <v>128</v>
      </c>
      <c r="M704" t="s">
        <v>1355</v>
      </c>
      <c r="N704" t="b">
        <v>0</v>
      </c>
    </row>
    <row r="705" spans="1:14">
      <c r="A705">
        <v>40</v>
      </c>
      <c r="B705">
        <v>11</v>
      </c>
      <c r="C705" t="s">
        <v>195</v>
      </c>
      <c r="D705" t="s">
        <v>726</v>
      </c>
      <c r="E705" t="s">
        <v>78</v>
      </c>
      <c r="F705">
        <v>50</v>
      </c>
      <c r="G705" t="s">
        <v>128</v>
      </c>
      <c r="H705" t="s">
        <v>128</v>
      </c>
      <c r="I705" t="s">
        <v>78</v>
      </c>
      <c r="J705" t="s">
        <v>128</v>
      </c>
      <c r="K705" t="s">
        <v>128</v>
      </c>
      <c r="L705" t="s">
        <v>128</v>
      </c>
      <c r="M705" t="s">
        <v>1356</v>
      </c>
      <c r="N705" t="b">
        <v>0</v>
      </c>
    </row>
    <row r="706" spans="1:14">
      <c r="A706">
        <v>40</v>
      </c>
      <c r="B706">
        <v>12</v>
      </c>
      <c r="C706" t="s">
        <v>196</v>
      </c>
      <c r="D706" t="s">
        <v>726</v>
      </c>
      <c r="E706" t="s">
        <v>98</v>
      </c>
      <c r="F706">
        <v>50</v>
      </c>
      <c r="G706" t="s">
        <v>128</v>
      </c>
      <c r="H706" t="s">
        <v>128</v>
      </c>
      <c r="I706" t="s">
        <v>98</v>
      </c>
      <c r="J706" t="s">
        <v>128</v>
      </c>
      <c r="K706" t="s">
        <v>128</v>
      </c>
      <c r="L706" t="s">
        <v>128</v>
      </c>
      <c r="M706" t="s">
        <v>1357</v>
      </c>
      <c r="N706" t="b">
        <v>0</v>
      </c>
    </row>
    <row r="707" spans="1:14">
      <c r="A707">
        <v>40</v>
      </c>
      <c r="B707">
        <v>13</v>
      </c>
      <c r="C707" t="s">
        <v>327</v>
      </c>
      <c r="D707" t="s">
        <v>726</v>
      </c>
      <c r="E707" t="s">
        <v>102</v>
      </c>
      <c r="F707">
        <v>40</v>
      </c>
      <c r="G707" t="s">
        <v>128</v>
      </c>
      <c r="H707" t="s">
        <v>128</v>
      </c>
      <c r="I707" t="s">
        <v>102</v>
      </c>
      <c r="J707" t="s">
        <v>128</v>
      </c>
      <c r="K707" t="s">
        <v>128</v>
      </c>
      <c r="L707" t="s">
        <v>128</v>
      </c>
      <c r="M707" t="s">
        <v>1358</v>
      </c>
      <c r="N707" t="b">
        <v>0</v>
      </c>
    </row>
    <row r="708" spans="1:14">
      <c r="A708">
        <v>40</v>
      </c>
      <c r="B708">
        <v>14</v>
      </c>
      <c r="C708" t="s">
        <v>197</v>
      </c>
      <c r="D708" t="s">
        <v>726</v>
      </c>
      <c r="E708" t="s">
        <v>108</v>
      </c>
      <c r="F708">
        <v>60</v>
      </c>
      <c r="G708" t="s">
        <v>128</v>
      </c>
      <c r="H708" t="s">
        <v>128</v>
      </c>
      <c r="I708" t="s">
        <v>108</v>
      </c>
      <c r="J708" t="s">
        <v>128</v>
      </c>
      <c r="K708" t="s">
        <v>128</v>
      </c>
      <c r="L708" t="s">
        <v>128</v>
      </c>
      <c r="M708" t="s">
        <v>1359</v>
      </c>
      <c r="N708" t="b">
        <v>0</v>
      </c>
    </row>
    <row r="709" spans="1:14">
      <c r="A709">
        <v>40</v>
      </c>
      <c r="B709">
        <v>15</v>
      </c>
      <c r="C709" t="s">
        <v>128</v>
      </c>
      <c r="D709" t="s">
        <v>726</v>
      </c>
      <c r="E709" t="s">
        <v>128</v>
      </c>
      <c r="F709">
        <v>0</v>
      </c>
      <c r="G709" t="s">
        <v>128</v>
      </c>
      <c r="H709" t="s">
        <v>128</v>
      </c>
      <c r="I709" t="s">
        <v>128</v>
      </c>
      <c r="J709" t="s">
        <v>128</v>
      </c>
      <c r="K709" t="s">
        <v>128</v>
      </c>
      <c r="L709" t="s">
        <v>128</v>
      </c>
      <c r="M709" t="s">
        <v>1360</v>
      </c>
      <c r="N709" t="b">
        <v>0</v>
      </c>
    </row>
    <row r="710" spans="1:14">
      <c r="A710">
        <v>40</v>
      </c>
      <c r="B710">
        <v>16</v>
      </c>
      <c r="C710" t="s">
        <v>128</v>
      </c>
      <c r="D710" t="s">
        <v>743</v>
      </c>
      <c r="E710" t="s">
        <v>128</v>
      </c>
      <c r="F710">
        <v>0</v>
      </c>
      <c r="G710" t="s">
        <v>128</v>
      </c>
      <c r="H710" t="s">
        <v>128</v>
      </c>
      <c r="I710" t="s">
        <v>128</v>
      </c>
      <c r="J710" t="s">
        <v>128</v>
      </c>
      <c r="K710" t="s">
        <v>128</v>
      </c>
      <c r="L710" t="s">
        <v>128</v>
      </c>
      <c r="M710" t="s">
        <v>1361</v>
      </c>
      <c r="N710" t="b">
        <v>0</v>
      </c>
    </row>
    <row r="711" spans="1:14">
      <c r="A711">
        <v>40</v>
      </c>
      <c r="B711">
        <v>17</v>
      </c>
      <c r="C711" t="s">
        <v>128</v>
      </c>
      <c r="D711" t="s">
        <v>743</v>
      </c>
      <c r="E711" t="s">
        <v>128</v>
      </c>
      <c r="F711">
        <v>0</v>
      </c>
      <c r="G711" t="s">
        <v>128</v>
      </c>
      <c r="H711" t="s">
        <v>128</v>
      </c>
      <c r="I711" t="s">
        <v>128</v>
      </c>
      <c r="J711" t="s">
        <v>128</v>
      </c>
      <c r="K711" t="s">
        <v>128</v>
      </c>
      <c r="L711" t="s">
        <v>128</v>
      </c>
      <c r="M711" t="s">
        <v>722</v>
      </c>
      <c r="N711" t="b">
        <v>0</v>
      </c>
    </row>
    <row r="712" spans="1:14">
      <c r="A712">
        <v>40</v>
      </c>
      <c r="B712">
        <v>18</v>
      </c>
      <c r="C712" t="s">
        <v>128</v>
      </c>
      <c r="D712" t="s">
        <v>743</v>
      </c>
      <c r="E712" t="s">
        <v>128</v>
      </c>
      <c r="F712">
        <v>0</v>
      </c>
      <c r="G712" t="s">
        <v>128</v>
      </c>
      <c r="H712" t="s">
        <v>128</v>
      </c>
      <c r="I712" t="s">
        <v>128</v>
      </c>
      <c r="J712" t="s">
        <v>128</v>
      </c>
      <c r="K712" t="s">
        <v>128</v>
      </c>
      <c r="L712" t="s">
        <v>128</v>
      </c>
      <c r="M712" t="s">
        <v>1362</v>
      </c>
      <c r="N712" t="b">
        <v>0</v>
      </c>
    </row>
    <row r="713" spans="1:14">
      <c r="A713">
        <v>40</v>
      </c>
      <c r="B713">
        <v>19</v>
      </c>
      <c r="C713" t="s">
        <v>128</v>
      </c>
      <c r="D713" t="s">
        <v>743</v>
      </c>
      <c r="E713" t="s">
        <v>128</v>
      </c>
      <c r="F713">
        <v>0</v>
      </c>
      <c r="G713" t="s">
        <v>128</v>
      </c>
      <c r="H713" t="s">
        <v>128</v>
      </c>
      <c r="I713" t="s">
        <v>128</v>
      </c>
      <c r="J713" t="s">
        <v>128</v>
      </c>
      <c r="K713" t="s">
        <v>128</v>
      </c>
      <c r="L713" t="s">
        <v>128</v>
      </c>
      <c r="M713" t="s">
        <v>1363</v>
      </c>
      <c r="N713" t="b">
        <v>0</v>
      </c>
    </row>
    <row r="714" spans="1:14">
      <c r="A714">
        <v>40</v>
      </c>
      <c r="B714">
        <v>20</v>
      </c>
      <c r="C714" t="s">
        <v>128</v>
      </c>
      <c r="D714" t="s">
        <v>743</v>
      </c>
      <c r="E714" t="s">
        <v>128</v>
      </c>
      <c r="F714">
        <v>0</v>
      </c>
      <c r="G714" t="s">
        <v>128</v>
      </c>
      <c r="H714" t="s">
        <v>128</v>
      </c>
      <c r="I714" t="s">
        <v>128</v>
      </c>
      <c r="J714" t="s">
        <v>128</v>
      </c>
      <c r="K714" t="s">
        <v>128</v>
      </c>
      <c r="L714" t="s">
        <v>128</v>
      </c>
      <c r="M714" t="s">
        <v>1364</v>
      </c>
      <c r="N714" t="b">
        <v>0</v>
      </c>
    </row>
    <row r="715" spans="1:14">
      <c r="A715">
        <v>40</v>
      </c>
      <c r="B715">
        <v>21</v>
      </c>
      <c r="C715" t="s">
        <v>128</v>
      </c>
      <c r="D715" t="s">
        <v>743</v>
      </c>
      <c r="E715" t="s">
        <v>128</v>
      </c>
      <c r="F715">
        <v>0</v>
      </c>
      <c r="G715" t="s">
        <v>128</v>
      </c>
      <c r="H715" t="s">
        <v>128</v>
      </c>
      <c r="I715" t="s">
        <v>128</v>
      </c>
      <c r="J715" t="s">
        <v>128</v>
      </c>
      <c r="K715" t="s">
        <v>128</v>
      </c>
      <c r="L715" t="s">
        <v>128</v>
      </c>
      <c r="M715" t="s">
        <v>1365</v>
      </c>
      <c r="N715" t="b">
        <v>0</v>
      </c>
    </row>
    <row r="716" spans="1:14">
      <c r="A716">
        <v>40</v>
      </c>
      <c r="B716">
        <v>22</v>
      </c>
      <c r="C716" t="s">
        <v>128</v>
      </c>
      <c r="D716" t="s">
        <v>743</v>
      </c>
      <c r="E716" t="s">
        <v>128</v>
      </c>
      <c r="F716">
        <v>0</v>
      </c>
      <c r="G716" t="s">
        <v>128</v>
      </c>
      <c r="H716" t="s">
        <v>128</v>
      </c>
      <c r="I716" t="s">
        <v>128</v>
      </c>
      <c r="J716" t="s">
        <v>128</v>
      </c>
      <c r="K716" t="s">
        <v>128</v>
      </c>
      <c r="L716" t="s">
        <v>128</v>
      </c>
      <c r="M716" t="s">
        <v>1366</v>
      </c>
      <c r="N716" t="b">
        <v>0</v>
      </c>
    </row>
    <row r="717" spans="1:14">
      <c r="A717">
        <v>40</v>
      </c>
      <c r="B717">
        <v>23</v>
      </c>
      <c r="C717" t="s">
        <v>128</v>
      </c>
      <c r="D717" t="s">
        <v>743</v>
      </c>
      <c r="E717" t="s">
        <v>128</v>
      </c>
      <c r="F717">
        <v>0</v>
      </c>
      <c r="G717" t="s">
        <v>128</v>
      </c>
      <c r="H717" t="s">
        <v>128</v>
      </c>
      <c r="I717" t="s">
        <v>128</v>
      </c>
      <c r="J717" t="s">
        <v>128</v>
      </c>
      <c r="K717" t="s">
        <v>128</v>
      </c>
      <c r="L717" t="s">
        <v>128</v>
      </c>
      <c r="M717" t="s">
        <v>1367</v>
      </c>
      <c r="N717" t="b">
        <v>0</v>
      </c>
    </row>
    <row r="718" spans="1:14">
      <c r="A718">
        <v>40</v>
      </c>
      <c r="B718">
        <v>24</v>
      </c>
      <c r="C718" t="s">
        <v>128</v>
      </c>
      <c r="D718" t="s">
        <v>743</v>
      </c>
      <c r="E718" t="s">
        <v>128</v>
      </c>
      <c r="F718">
        <v>0</v>
      </c>
      <c r="G718" t="s">
        <v>128</v>
      </c>
      <c r="H718" t="s">
        <v>128</v>
      </c>
      <c r="I718" t="s">
        <v>128</v>
      </c>
      <c r="J718" t="s">
        <v>128</v>
      </c>
      <c r="K718" t="s">
        <v>128</v>
      </c>
      <c r="L718" t="s">
        <v>128</v>
      </c>
      <c r="M718" t="s">
        <v>1368</v>
      </c>
      <c r="N718" t="b">
        <v>0</v>
      </c>
    </row>
    <row r="719" spans="1:14">
      <c r="A719">
        <v>40</v>
      </c>
      <c r="B719">
        <v>25</v>
      </c>
      <c r="C719" t="s">
        <v>128</v>
      </c>
      <c r="D719" t="s">
        <v>743</v>
      </c>
      <c r="E719" t="s">
        <v>128</v>
      </c>
      <c r="F719">
        <v>0</v>
      </c>
      <c r="G719" t="s">
        <v>128</v>
      </c>
      <c r="H719" t="s">
        <v>128</v>
      </c>
      <c r="I719" t="s">
        <v>128</v>
      </c>
      <c r="J719" t="s">
        <v>128</v>
      </c>
      <c r="K719" t="s">
        <v>128</v>
      </c>
      <c r="L719" t="s">
        <v>128</v>
      </c>
      <c r="M719" t="s">
        <v>1369</v>
      </c>
      <c r="N719" t="b">
        <v>0</v>
      </c>
    </row>
    <row r="720" spans="1:14">
      <c r="A720">
        <v>40</v>
      </c>
      <c r="B720">
        <v>26</v>
      </c>
      <c r="C720" t="s">
        <v>128</v>
      </c>
      <c r="D720" t="s">
        <v>743</v>
      </c>
      <c r="E720" t="s">
        <v>128</v>
      </c>
      <c r="F720">
        <v>0</v>
      </c>
      <c r="G720" t="s">
        <v>128</v>
      </c>
      <c r="H720" t="s">
        <v>128</v>
      </c>
      <c r="I720" t="s">
        <v>128</v>
      </c>
      <c r="J720" t="s">
        <v>128</v>
      </c>
      <c r="K720" t="s">
        <v>128</v>
      </c>
      <c r="L720" t="s">
        <v>128</v>
      </c>
      <c r="M720" t="s">
        <v>1370</v>
      </c>
      <c r="N720" t="b">
        <v>0</v>
      </c>
    </row>
    <row r="721" spans="1:14">
      <c r="A721">
        <v>43</v>
      </c>
      <c r="B721">
        <v>0</v>
      </c>
      <c r="C721" t="s">
        <v>188</v>
      </c>
      <c r="D721" t="s">
        <v>726</v>
      </c>
      <c r="E721" t="s">
        <v>65</v>
      </c>
      <c r="F721">
        <v>50</v>
      </c>
      <c r="G721" t="s">
        <v>128</v>
      </c>
      <c r="H721" t="s">
        <v>128</v>
      </c>
      <c r="I721" t="s">
        <v>65</v>
      </c>
      <c r="J721" t="s">
        <v>128</v>
      </c>
      <c r="K721" t="s">
        <v>128</v>
      </c>
      <c r="L721" t="s">
        <v>128</v>
      </c>
      <c r="M721" t="s">
        <v>1371</v>
      </c>
      <c r="N721" t="b">
        <v>0</v>
      </c>
    </row>
    <row r="722" spans="1:14">
      <c r="A722">
        <v>43</v>
      </c>
      <c r="B722">
        <v>1</v>
      </c>
      <c r="C722" t="s">
        <v>219</v>
      </c>
      <c r="D722" t="s">
        <v>726</v>
      </c>
      <c r="E722" t="s">
        <v>77</v>
      </c>
      <c r="F722">
        <v>60</v>
      </c>
      <c r="G722" t="s">
        <v>128</v>
      </c>
      <c r="H722" t="s">
        <v>128</v>
      </c>
      <c r="I722" t="s">
        <v>77</v>
      </c>
      <c r="J722" t="s">
        <v>128</v>
      </c>
      <c r="K722" t="s">
        <v>128</v>
      </c>
      <c r="L722" t="s">
        <v>128</v>
      </c>
      <c r="M722" t="s">
        <v>1372</v>
      </c>
      <c r="N722" t="b">
        <v>0</v>
      </c>
    </row>
    <row r="723" spans="1:14">
      <c r="A723">
        <v>43</v>
      </c>
      <c r="B723">
        <v>2</v>
      </c>
      <c r="C723" t="s">
        <v>270</v>
      </c>
      <c r="D723" t="s">
        <v>726</v>
      </c>
      <c r="E723" t="s">
        <v>83</v>
      </c>
      <c r="F723">
        <v>30</v>
      </c>
      <c r="G723" t="s">
        <v>128</v>
      </c>
      <c r="H723" t="s">
        <v>128</v>
      </c>
      <c r="I723" t="s">
        <v>83</v>
      </c>
      <c r="J723" t="s">
        <v>128</v>
      </c>
      <c r="K723" t="s">
        <v>128</v>
      </c>
      <c r="L723" t="s">
        <v>128</v>
      </c>
      <c r="M723" t="s">
        <v>1373</v>
      </c>
      <c r="N723" t="b">
        <v>0</v>
      </c>
    </row>
    <row r="724" spans="1:14">
      <c r="A724">
        <v>43</v>
      </c>
      <c r="B724">
        <v>3</v>
      </c>
      <c r="C724" t="s">
        <v>253</v>
      </c>
      <c r="D724" t="s">
        <v>726</v>
      </c>
      <c r="E724" t="s">
        <v>99</v>
      </c>
      <c r="F724">
        <v>40</v>
      </c>
      <c r="G724" t="s">
        <v>128</v>
      </c>
      <c r="H724" t="s">
        <v>128</v>
      </c>
      <c r="I724" t="s">
        <v>99</v>
      </c>
      <c r="J724" t="s">
        <v>128</v>
      </c>
      <c r="K724" t="s">
        <v>128</v>
      </c>
      <c r="L724" t="s">
        <v>128</v>
      </c>
      <c r="M724" t="s">
        <v>1374</v>
      </c>
      <c r="N724" t="b">
        <v>0</v>
      </c>
    </row>
    <row r="725" spans="1:14">
      <c r="A725">
        <v>43</v>
      </c>
      <c r="B725">
        <v>4</v>
      </c>
      <c r="C725" t="s">
        <v>231</v>
      </c>
      <c r="D725" t="s">
        <v>726</v>
      </c>
      <c r="E725" t="s">
        <v>101</v>
      </c>
      <c r="F725">
        <v>40</v>
      </c>
      <c r="G725" t="s">
        <v>128</v>
      </c>
      <c r="H725" t="s">
        <v>128</v>
      </c>
      <c r="I725" t="s">
        <v>101</v>
      </c>
      <c r="J725" t="s">
        <v>128</v>
      </c>
      <c r="K725" t="s">
        <v>128</v>
      </c>
      <c r="L725" t="s">
        <v>128</v>
      </c>
      <c r="M725" t="s">
        <v>1375</v>
      </c>
      <c r="N725" t="b">
        <v>0</v>
      </c>
    </row>
    <row r="726" spans="1:14">
      <c r="A726">
        <v>43</v>
      </c>
      <c r="B726">
        <v>5</v>
      </c>
      <c r="C726" t="s">
        <v>277</v>
      </c>
      <c r="D726" t="s">
        <v>726</v>
      </c>
      <c r="E726" t="s">
        <v>103</v>
      </c>
      <c r="F726">
        <v>30</v>
      </c>
      <c r="G726" t="s">
        <v>128</v>
      </c>
      <c r="H726" t="s">
        <v>128</v>
      </c>
      <c r="I726" t="s">
        <v>103</v>
      </c>
      <c r="J726" t="s">
        <v>128</v>
      </c>
      <c r="K726" t="s">
        <v>128</v>
      </c>
      <c r="L726" t="s">
        <v>128</v>
      </c>
      <c r="M726" t="s">
        <v>1376</v>
      </c>
      <c r="N726" t="b">
        <v>0</v>
      </c>
    </row>
    <row r="727" spans="1:14">
      <c r="A727">
        <v>43</v>
      </c>
      <c r="B727">
        <v>6</v>
      </c>
      <c r="C727" t="s">
        <v>290</v>
      </c>
      <c r="D727" t="s">
        <v>726</v>
      </c>
      <c r="E727" t="s">
        <v>333</v>
      </c>
      <c r="F727">
        <v>40</v>
      </c>
      <c r="G727" t="s">
        <v>128</v>
      </c>
      <c r="H727" t="s">
        <v>550</v>
      </c>
      <c r="I727" t="s">
        <v>447</v>
      </c>
      <c r="J727" t="s">
        <v>128</v>
      </c>
      <c r="K727" t="s">
        <v>923</v>
      </c>
      <c r="L727" t="s">
        <v>924</v>
      </c>
      <c r="M727" t="s">
        <v>1377</v>
      </c>
      <c r="N727" t="b">
        <v>0</v>
      </c>
    </row>
    <row r="728" spans="1:14">
      <c r="A728">
        <v>43</v>
      </c>
      <c r="B728">
        <v>7</v>
      </c>
      <c r="C728" t="s">
        <v>169</v>
      </c>
      <c r="D728" t="s">
        <v>726</v>
      </c>
      <c r="E728" t="s">
        <v>74</v>
      </c>
      <c r="F728">
        <v>50</v>
      </c>
      <c r="G728" t="s">
        <v>128</v>
      </c>
      <c r="H728" t="s">
        <v>128</v>
      </c>
      <c r="I728" t="s">
        <v>74</v>
      </c>
      <c r="J728" t="s">
        <v>128</v>
      </c>
      <c r="K728" t="s">
        <v>128</v>
      </c>
      <c r="L728" t="s">
        <v>128</v>
      </c>
      <c r="M728" t="s">
        <v>1378</v>
      </c>
      <c r="N728" t="b">
        <v>0</v>
      </c>
    </row>
    <row r="729" spans="1:14">
      <c r="A729">
        <v>43</v>
      </c>
      <c r="B729">
        <v>8</v>
      </c>
      <c r="C729" t="s">
        <v>291</v>
      </c>
      <c r="D729" t="s">
        <v>726</v>
      </c>
      <c r="E729" t="s">
        <v>78</v>
      </c>
      <c r="F729">
        <v>30</v>
      </c>
      <c r="G729" t="s">
        <v>128</v>
      </c>
      <c r="H729" t="s">
        <v>128</v>
      </c>
      <c r="I729" t="s">
        <v>78</v>
      </c>
      <c r="J729" t="s">
        <v>128</v>
      </c>
      <c r="K729" t="s">
        <v>128</v>
      </c>
      <c r="L729" t="s">
        <v>128</v>
      </c>
      <c r="M729" t="s">
        <v>1379</v>
      </c>
      <c r="N729" t="b">
        <v>0</v>
      </c>
    </row>
    <row r="730" spans="1:14">
      <c r="A730">
        <v>43</v>
      </c>
      <c r="B730">
        <v>9</v>
      </c>
      <c r="C730" t="s">
        <v>172</v>
      </c>
      <c r="D730" t="s">
        <v>726</v>
      </c>
      <c r="E730" t="s">
        <v>106</v>
      </c>
      <c r="F730">
        <v>50</v>
      </c>
      <c r="G730" t="s">
        <v>128</v>
      </c>
      <c r="H730" t="s">
        <v>128</v>
      </c>
      <c r="I730" t="s">
        <v>106</v>
      </c>
      <c r="J730" t="s">
        <v>128</v>
      </c>
      <c r="K730" t="s">
        <v>128</v>
      </c>
      <c r="L730" t="s">
        <v>128</v>
      </c>
      <c r="M730" t="s">
        <v>1380</v>
      </c>
      <c r="N730" t="b">
        <v>0</v>
      </c>
    </row>
    <row r="731" spans="1:14">
      <c r="A731">
        <v>43</v>
      </c>
      <c r="B731">
        <v>10</v>
      </c>
      <c r="C731" t="s">
        <v>234</v>
      </c>
      <c r="D731" t="s">
        <v>726</v>
      </c>
      <c r="E731" t="s">
        <v>108</v>
      </c>
      <c r="F731">
        <v>50</v>
      </c>
      <c r="G731" t="s">
        <v>128</v>
      </c>
      <c r="H731" t="s">
        <v>128</v>
      </c>
      <c r="I731" t="s">
        <v>108</v>
      </c>
      <c r="J731" t="s">
        <v>128</v>
      </c>
      <c r="K731" t="s">
        <v>128</v>
      </c>
      <c r="L731" t="s">
        <v>128</v>
      </c>
      <c r="M731" t="s">
        <v>1381</v>
      </c>
      <c r="N731" t="b">
        <v>0</v>
      </c>
    </row>
    <row r="732" spans="1:14">
      <c r="A732">
        <v>43</v>
      </c>
      <c r="B732">
        <v>11</v>
      </c>
      <c r="C732" t="s">
        <v>128</v>
      </c>
      <c r="D732" t="s">
        <v>726</v>
      </c>
      <c r="E732" t="s">
        <v>128</v>
      </c>
      <c r="F732">
        <v>0</v>
      </c>
      <c r="G732" t="s">
        <v>128</v>
      </c>
      <c r="H732" t="s">
        <v>128</v>
      </c>
      <c r="I732" t="s">
        <v>128</v>
      </c>
      <c r="J732" t="s">
        <v>128</v>
      </c>
      <c r="K732" t="s">
        <v>128</v>
      </c>
      <c r="L732" t="s">
        <v>128</v>
      </c>
      <c r="M732" t="s">
        <v>1382</v>
      </c>
      <c r="N732" t="b">
        <v>0</v>
      </c>
    </row>
    <row r="733" spans="1:14">
      <c r="A733">
        <v>43</v>
      </c>
      <c r="B733">
        <v>12</v>
      </c>
      <c r="C733" t="s">
        <v>128</v>
      </c>
      <c r="D733" t="s">
        <v>726</v>
      </c>
      <c r="E733" t="s">
        <v>128</v>
      </c>
      <c r="F733">
        <v>0</v>
      </c>
      <c r="G733" t="s">
        <v>128</v>
      </c>
      <c r="H733" t="s">
        <v>128</v>
      </c>
      <c r="I733" t="s">
        <v>128</v>
      </c>
      <c r="J733" t="s">
        <v>128</v>
      </c>
      <c r="K733" t="s">
        <v>128</v>
      </c>
      <c r="L733" t="s">
        <v>128</v>
      </c>
      <c r="M733" t="s">
        <v>1383</v>
      </c>
      <c r="N733" t="b">
        <v>0</v>
      </c>
    </row>
    <row r="734" spans="1:14">
      <c r="A734">
        <v>43</v>
      </c>
      <c r="B734">
        <v>13</v>
      </c>
      <c r="C734" t="s">
        <v>128</v>
      </c>
      <c r="D734" t="s">
        <v>726</v>
      </c>
      <c r="E734" t="s">
        <v>128</v>
      </c>
      <c r="F734">
        <v>0</v>
      </c>
      <c r="G734" t="s">
        <v>128</v>
      </c>
      <c r="H734" t="s">
        <v>128</v>
      </c>
      <c r="I734" t="s">
        <v>128</v>
      </c>
      <c r="J734" t="s">
        <v>128</v>
      </c>
      <c r="K734" t="s">
        <v>128</v>
      </c>
      <c r="L734" t="s">
        <v>128</v>
      </c>
      <c r="M734" t="s">
        <v>1384</v>
      </c>
      <c r="N734" t="b">
        <v>0</v>
      </c>
    </row>
    <row r="735" spans="1:14">
      <c r="A735">
        <v>43</v>
      </c>
      <c r="B735">
        <v>14</v>
      </c>
      <c r="C735" t="s">
        <v>128</v>
      </c>
      <c r="D735" t="s">
        <v>726</v>
      </c>
      <c r="E735" t="s">
        <v>128</v>
      </c>
      <c r="F735">
        <v>0</v>
      </c>
      <c r="G735" t="s">
        <v>128</v>
      </c>
      <c r="H735" t="s">
        <v>128</v>
      </c>
      <c r="I735" t="s">
        <v>128</v>
      </c>
      <c r="J735" t="s">
        <v>128</v>
      </c>
      <c r="K735" t="s">
        <v>128</v>
      </c>
      <c r="L735" t="s">
        <v>128</v>
      </c>
      <c r="M735" t="s">
        <v>1385</v>
      </c>
      <c r="N735" t="b">
        <v>0</v>
      </c>
    </row>
    <row r="736" spans="1:14">
      <c r="A736">
        <v>43</v>
      </c>
      <c r="B736">
        <v>15</v>
      </c>
      <c r="C736" t="s">
        <v>128</v>
      </c>
      <c r="D736" t="s">
        <v>726</v>
      </c>
      <c r="E736" t="s">
        <v>128</v>
      </c>
      <c r="F736">
        <v>0</v>
      </c>
      <c r="G736" t="s">
        <v>128</v>
      </c>
      <c r="H736" t="s">
        <v>128</v>
      </c>
      <c r="I736" t="s">
        <v>128</v>
      </c>
      <c r="J736" t="s">
        <v>128</v>
      </c>
      <c r="K736" t="s">
        <v>128</v>
      </c>
      <c r="L736" t="s">
        <v>128</v>
      </c>
      <c r="M736" t="s">
        <v>1386</v>
      </c>
      <c r="N736" t="b">
        <v>0</v>
      </c>
    </row>
    <row r="737" spans="1:14">
      <c r="A737">
        <v>43</v>
      </c>
      <c r="B737">
        <v>16</v>
      </c>
      <c r="C737" t="s">
        <v>212</v>
      </c>
      <c r="D737" t="s">
        <v>743</v>
      </c>
      <c r="E737" t="s">
        <v>87</v>
      </c>
      <c r="F737">
        <v>40</v>
      </c>
      <c r="G737" t="s">
        <v>128</v>
      </c>
      <c r="H737" t="s">
        <v>128</v>
      </c>
      <c r="I737" t="s">
        <v>87</v>
      </c>
      <c r="J737" t="s">
        <v>128</v>
      </c>
      <c r="K737" t="s">
        <v>128</v>
      </c>
      <c r="L737" t="s">
        <v>128</v>
      </c>
      <c r="M737" t="s">
        <v>1387</v>
      </c>
      <c r="N737" t="b">
        <v>0</v>
      </c>
    </row>
    <row r="738" spans="1:14">
      <c r="A738">
        <v>43</v>
      </c>
      <c r="B738">
        <v>17</v>
      </c>
      <c r="C738" t="s">
        <v>182</v>
      </c>
      <c r="D738" t="s">
        <v>743</v>
      </c>
      <c r="E738" t="s">
        <v>546</v>
      </c>
      <c r="F738">
        <v>40</v>
      </c>
      <c r="G738" t="s">
        <v>762</v>
      </c>
      <c r="H738" t="s">
        <v>128</v>
      </c>
      <c r="I738" t="s">
        <v>128</v>
      </c>
      <c r="J738" t="s">
        <v>819</v>
      </c>
      <c r="K738" t="s">
        <v>794</v>
      </c>
      <c r="L738" t="s">
        <v>795</v>
      </c>
      <c r="M738" t="s">
        <v>725</v>
      </c>
      <c r="N738" t="b">
        <v>0</v>
      </c>
    </row>
    <row r="739" spans="1:14">
      <c r="A739">
        <v>43</v>
      </c>
      <c r="B739">
        <v>18</v>
      </c>
      <c r="C739" t="s">
        <v>220</v>
      </c>
      <c r="D739" t="s">
        <v>743</v>
      </c>
      <c r="E739" t="s">
        <v>95</v>
      </c>
      <c r="F739">
        <v>40</v>
      </c>
      <c r="G739" t="s">
        <v>128</v>
      </c>
      <c r="H739" t="s">
        <v>128</v>
      </c>
      <c r="I739" t="s">
        <v>95</v>
      </c>
      <c r="J739" t="s">
        <v>128</v>
      </c>
      <c r="K739" t="s">
        <v>128</v>
      </c>
      <c r="L739" t="s">
        <v>128</v>
      </c>
      <c r="M739" t="s">
        <v>1388</v>
      </c>
      <c r="N739" t="b">
        <v>0</v>
      </c>
    </row>
    <row r="740" spans="1:14">
      <c r="A740">
        <v>43</v>
      </c>
      <c r="B740">
        <v>19</v>
      </c>
      <c r="C740" t="s">
        <v>162</v>
      </c>
      <c r="D740" t="s">
        <v>743</v>
      </c>
      <c r="E740" t="s">
        <v>299</v>
      </c>
      <c r="F740">
        <v>40</v>
      </c>
      <c r="G740" t="s">
        <v>762</v>
      </c>
      <c r="H740" t="s">
        <v>128</v>
      </c>
      <c r="I740" t="s">
        <v>128</v>
      </c>
      <c r="J740" t="s">
        <v>763</v>
      </c>
      <c r="K740" t="s">
        <v>764</v>
      </c>
      <c r="L740" t="s">
        <v>765</v>
      </c>
      <c r="M740" t="s">
        <v>1389</v>
      </c>
      <c r="N740" t="b">
        <v>0</v>
      </c>
    </row>
    <row r="741" spans="1:14">
      <c r="A741">
        <v>43</v>
      </c>
      <c r="B741">
        <v>20</v>
      </c>
      <c r="C741" t="s">
        <v>183</v>
      </c>
      <c r="D741" t="s">
        <v>743</v>
      </c>
      <c r="E741" t="s">
        <v>112</v>
      </c>
      <c r="F741">
        <v>50</v>
      </c>
      <c r="G741" t="s">
        <v>128</v>
      </c>
      <c r="H741" t="s">
        <v>128</v>
      </c>
      <c r="I741" t="s">
        <v>112</v>
      </c>
      <c r="J741" t="s">
        <v>128</v>
      </c>
      <c r="K741" t="s">
        <v>128</v>
      </c>
      <c r="L741" t="s">
        <v>128</v>
      </c>
      <c r="M741" t="s">
        <v>1390</v>
      </c>
      <c r="N741" t="b">
        <v>0</v>
      </c>
    </row>
    <row r="742" spans="1:14">
      <c r="A742">
        <v>43</v>
      </c>
      <c r="B742">
        <v>21</v>
      </c>
      <c r="C742" t="s">
        <v>293</v>
      </c>
      <c r="D742" t="s">
        <v>743</v>
      </c>
      <c r="E742" t="s">
        <v>113</v>
      </c>
      <c r="F742">
        <v>40</v>
      </c>
      <c r="G742" t="s">
        <v>128</v>
      </c>
      <c r="H742" t="s">
        <v>128</v>
      </c>
      <c r="I742" t="s">
        <v>113</v>
      </c>
      <c r="J742" t="s">
        <v>128</v>
      </c>
      <c r="K742" t="s">
        <v>128</v>
      </c>
      <c r="L742" t="s">
        <v>128</v>
      </c>
      <c r="M742" t="s">
        <v>1391</v>
      </c>
      <c r="N742" t="b">
        <v>0</v>
      </c>
    </row>
    <row r="743" spans="1:14">
      <c r="A743">
        <v>43</v>
      </c>
      <c r="B743">
        <v>22</v>
      </c>
      <c r="C743" t="s">
        <v>171</v>
      </c>
      <c r="D743" t="s">
        <v>743</v>
      </c>
      <c r="E743" t="s">
        <v>98</v>
      </c>
      <c r="F743">
        <v>60</v>
      </c>
      <c r="G743" t="s">
        <v>128</v>
      </c>
      <c r="H743" t="s">
        <v>128</v>
      </c>
      <c r="I743" t="s">
        <v>98</v>
      </c>
      <c r="J743" t="s">
        <v>128</v>
      </c>
      <c r="K743" t="s">
        <v>128</v>
      </c>
      <c r="L743" t="s">
        <v>128</v>
      </c>
      <c r="M743" t="s">
        <v>1392</v>
      </c>
      <c r="N743" t="b">
        <v>0</v>
      </c>
    </row>
    <row r="744" spans="1:14">
      <c r="A744">
        <v>43</v>
      </c>
      <c r="B744">
        <v>23</v>
      </c>
      <c r="C744" t="s">
        <v>179</v>
      </c>
      <c r="D744" t="s">
        <v>743</v>
      </c>
      <c r="E744" t="s">
        <v>100</v>
      </c>
      <c r="F744">
        <v>40</v>
      </c>
      <c r="G744" t="s">
        <v>128</v>
      </c>
      <c r="H744" t="s">
        <v>128</v>
      </c>
      <c r="I744" t="s">
        <v>100</v>
      </c>
      <c r="J744" t="s">
        <v>128</v>
      </c>
      <c r="K744" t="s">
        <v>128</v>
      </c>
      <c r="L744" t="s">
        <v>128</v>
      </c>
      <c r="M744" t="s">
        <v>1393</v>
      </c>
      <c r="N744" t="b">
        <v>0</v>
      </c>
    </row>
    <row r="745" spans="1:14">
      <c r="A745">
        <v>43</v>
      </c>
      <c r="B745">
        <v>24</v>
      </c>
      <c r="C745" t="s">
        <v>294</v>
      </c>
      <c r="D745" t="s">
        <v>743</v>
      </c>
      <c r="E745" t="s">
        <v>107</v>
      </c>
      <c r="F745">
        <v>60</v>
      </c>
      <c r="G745" t="s">
        <v>128</v>
      </c>
      <c r="H745" t="s">
        <v>128</v>
      </c>
      <c r="I745" t="s">
        <v>107</v>
      </c>
      <c r="J745" t="s">
        <v>128</v>
      </c>
      <c r="K745" t="s">
        <v>128</v>
      </c>
      <c r="L745" t="s">
        <v>128</v>
      </c>
      <c r="M745" t="s">
        <v>1394</v>
      </c>
      <c r="N745" t="b">
        <v>0</v>
      </c>
    </row>
    <row r="746" spans="1:14">
      <c r="A746">
        <v>43</v>
      </c>
      <c r="B746">
        <v>25</v>
      </c>
      <c r="C746" t="s">
        <v>128</v>
      </c>
      <c r="D746" t="s">
        <v>743</v>
      </c>
      <c r="E746" t="s">
        <v>128</v>
      </c>
      <c r="F746">
        <v>0</v>
      </c>
      <c r="G746" t="s">
        <v>128</v>
      </c>
      <c r="H746" t="s">
        <v>128</v>
      </c>
      <c r="I746" t="s">
        <v>128</v>
      </c>
      <c r="J746" t="s">
        <v>128</v>
      </c>
      <c r="K746" t="s">
        <v>128</v>
      </c>
      <c r="L746" t="s">
        <v>128</v>
      </c>
      <c r="M746" t="s">
        <v>1395</v>
      </c>
      <c r="N746" t="b">
        <v>0</v>
      </c>
    </row>
    <row r="747" spans="1:14">
      <c r="A747">
        <v>43</v>
      </c>
      <c r="B747">
        <v>26</v>
      </c>
      <c r="C747" t="s">
        <v>128</v>
      </c>
      <c r="D747" t="s">
        <v>743</v>
      </c>
      <c r="E747" t="s">
        <v>128</v>
      </c>
      <c r="F747">
        <v>0</v>
      </c>
      <c r="G747" t="s">
        <v>128</v>
      </c>
      <c r="H747" t="s">
        <v>128</v>
      </c>
      <c r="I747" t="s">
        <v>128</v>
      </c>
      <c r="J747" t="s">
        <v>128</v>
      </c>
      <c r="K747" t="s">
        <v>128</v>
      </c>
      <c r="L747" t="s">
        <v>128</v>
      </c>
      <c r="M747" t="s">
        <v>1396</v>
      </c>
      <c r="N747" t="b">
        <v>0</v>
      </c>
    </row>
    <row r="748" spans="1:14">
      <c r="A748">
        <v>44</v>
      </c>
      <c r="B748">
        <v>0</v>
      </c>
      <c r="C748" t="s">
        <v>188</v>
      </c>
      <c r="D748" t="s">
        <v>726</v>
      </c>
      <c r="E748" t="s">
        <v>65</v>
      </c>
      <c r="F748">
        <v>50</v>
      </c>
      <c r="G748" t="s">
        <v>128</v>
      </c>
      <c r="H748" t="s">
        <v>128</v>
      </c>
      <c r="I748" t="s">
        <v>65</v>
      </c>
      <c r="J748" t="s">
        <v>128</v>
      </c>
      <c r="K748" t="s">
        <v>128</v>
      </c>
      <c r="L748" t="s">
        <v>128</v>
      </c>
      <c r="M748" t="s">
        <v>1397</v>
      </c>
      <c r="N748" t="b">
        <v>0</v>
      </c>
    </row>
    <row r="749" spans="1:14">
      <c r="A749">
        <v>44</v>
      </c>
      <c r="B749">
        <v>1</v>
      </c>
      <c r="C749" t="s">
        <v>228</v>
      </c>
      <c r="D749" t="s">
        <v>726</v>
      </c>
      <c r="E749" t="s">
        <v>77</v>
      </c>
      <c r="F749">
        <v>50</v>
      </c>
      <c r="G749" t="s">
        <v>128</v>
      </c>
      <c r="H749" t="s">
        <v>128</v>
      </c>
      <c r="I749" t="s">
        <v>77</v>
      </c>
      <c r="J749" t="s">
        <v>128</v>
      </c>
      <c r="K749" t="s">
        <v>128</v>
      </c>
      <c r="L749" t="s">
        <v>128</v>
      </c>
      <c r="M749" t="s">
        <v>1398</v>
      </c>
      <c r="N749" t="b">
        <v>0</v>
      </c>
    </row>
    <row r="750" spans="1:14">
      <c r="A750">
        <v>44</v>
      </c>
      <c r="B750">
        <v>2</v>
      </c>
      <c r="C750" t="s">
        <v>270</v>
      </c>
      <c r="D750" t="s">
        <v>726</v>
      </c>
      <c r="E750" t="s">
        <v>83</v>
      </c>
      <c r="F750">
        <v>30</v>
      </c>
      <c r="G750" t="s">
        <v>128</v>
      </c>
      <c r="H750" t="s">
        <v>128</v>
      </c>
      <c r="I750" t="s">
        <v>83</v>
      </c>
      <c r="J750" t="s">
        <v>128</v>
      </c>
      <c r="K750" t="s">
        <v>128</v>
      </c>
      <c r="L750" t="s">
        <v>128</v>
      </c>
      <c r="M750" t="s">
        <v>1399</v>
      </c>
      <c r="N750" t="b">
        <v>0</v>
      </c>
    </row>
    <row r="751" spans="1:14">
      <c r="A751">
        <v>44</v>
      </c>
      <c r="B751">
        <v>3</v>
      </c>
      <c r="C751" t="s">
        <v>190</v>
      </c>
      <c r="D751" t="s">
        <v>726</v>
      </c>
      <c r="E751" t="s">
        <v>99</v>
      </c>
      <c r="F751">
        <v>50</v>
      </c>
      <c r="G751" t="s">
        <v>128</v>
      </c>
      <c r="H751" t="s">
        <v>128</v>
      </c>
      <c r="I751" t="s">
        <v>99</v>
      </c>
      <c r="J751" t="s">
        <v>128</v>
      </c>
      <c r="K751" t="s">
        <v>128</v>
      </c>
      <c r="L751" t="s">
        <v>128</v>
      </c>
      <c r="M751" t="s">
        <v>1400</v>
      </c>
      <c r="N751" t="b">
        <v>0</v>
      </c>
    </row>
    <row r="752" spans="1:14">
      <c r="A752">
        <v>44</v>
      </c>
      <c r="B752">
        <v>4</v>
      </c>
      <c r="C752" t="s">
        <v>231</v>
      </c>
      <c r="D752" t="s">
        <v>726</v>
      </c>
      <c r="E752" t="s">
        <v>101</v>
      </c>
      <c r="F752">
        <v>40</v>
      </c>
      <c r="G752" t="s">
        <v>128</v>
      </c>
      <c r="H752" t="s">
        <v>128</v>
      </c>
      <c r="I752" t="s">
        <v>101</v>
      </c>
      <c r="J752" t="s">
        <v>128</v>
      </c>
      <c r="K752" t="s">
        <v>128</v>
      </c>
      <c r="L752" t="s">
        <v>128</v>
      </c>
      <c r="M752" t="s">
        <v>1401</v>
      </c>
      <c r="N752" t="b">
        <v>0</v>
      </c>
    </row>
    <row r="753" spans="1:14">
      <c r="A753">
        <v>44</v>
      </c>
      <c r="B753">
        <v>5</v>
      </c>
      <c r="C753" t="s">
        <v>277</v>
      </c>
      <c r="D753" t="s">
        <v>726</v>
      </c>
      <c r="E753" t="s">
        <v>103</v>
      </c>
      <c r="F753">
        <v>30</v>
      </c>
      <c r="G753" t="s">
        <v>128</v>
      </c>
      <c r="H753" t="s">
        <v>128</v>
      </c>
      <c r="I753" t="s">
        <v>103</v>
      </c>
      <c r="J753" t="s">
        <v>128</v>
      </c>
      <c r="K753" t="s">
        <v>128</v>
      </c>
      <c r="L753" t="s">
        <v>128</v>
      </c>
      <c r="M753" t="s">
        <v>1402</v>
      </c>
      <c r="N753" t="b">
        <v>0</v>
      </c>
    </row>
    <row r="754" spans="1:14">
      <c r="A754">
        <v>44</v>
      </c>
      <c r="B754">
        <v>6</v>
      </c>
      <c r="C754" t="s">
        <v>341</v>
      </c>
      <c r="D754" t="s">
        <v>726</v>
      </c>
      <c r="E754" t="s">
        <v>112</v>
      </c>
      <c r="F754">
        <v>40</v>
      </c>
      <c r="G754" t="s">
        <v>128</v>
      </c>
      <c r="H754" t="s">
        <v>128</v>
      </c>
      <c r="I754" t="s">
        <v>112</v>
      </c>
      <c r="J754" t="s">
        <v>128</v>
      </c>
      <c r="K754" t="s">
        <v>128</v>
      </c>
      <c r="L754" t="s">
        <v>128</v>
      </c>
      <c r="M754" t="s">
        <v>1403</v>
      </c>
      <c r="N754" t="b">
        <v>0</v>
      </c>
    </row>
    <row r="755" spans="1:14">
      <c r="A755">
        <v>44</v>
      </c>
      <c r="B755">
        <v>7</v>
      </c>
      <c r="C755" t="s">
        <v>293</v>
      </c>
      <c r="D755" t="s">
        <v>726</v>
      </c>
      <c r="E755" t="s">
        <v>113</v>
      </c>
      <c r="F755">
        <v>40</v>
      </c>
      <c r="G755" t="s">
        <v>128</v>
      </c>
      <c r="H755" t="s">
        <v>128</v>
      </c>
      <c r="I755" t="s">
        <v>113</v>
      </c>
      <c r="J755" t="s">
        <v>128</v>
      </c>
      <c r="K755" t="s">
        <v>128</v>
      </c>
      <c r="L755" t="s">
        <v>128</v>
      </c>
      <c r="M755" t="s">
        <v>1404</v>
      </c>
      <c r="N755" t="b">
        <v>0</v>
      </c>
    </row>
    <row r="756" spans="1:14">
      <c r="A756">
        <v>44</v>
      </c>
      <c r="B756">
        <v>8</v>
      </c>
      <c r="C756" t="s">
        <v>342</v>
      </c>
      <c r="D756" t="s">
        <v>726</v>
      </c>
      <c r="E756" t="s">
        <v>550</v>
      </c>
      <c r="F756">
        <v>40</v>
      </c>
      <c r="G756" t="s">
        <v>1405</v>
      </c>
      <c r="H756" t="s">
        <v>550</v>
      </c>
      <c r="I756" t="s">
        <v>128</v>
      </c>
      <c r="J756" t="s">
        <v>128</v>
      </c>
      <c r="K756" t="s">
        <v>128</v>
      </c>
      <c r="L756" t="s">
        <v>128</v>
      </c>
      <c r="M756" t="s">
        <v>1406</v>
      </c>
      <c r="N756" t="b">
        <v>0</v>
      </c>
    </row>
    <row r="757" spans="1:14">
      <c r="A757">
        <v>44</v>
      </c>
      <c r="B757">
        <v>9</v>
      </c>
      <c r="C757" t="s">
        <v>169</v>
      </c>
      <c r="D757" t="s">
        <v>726</v>
      </c>
      <c r="E757" t="s">
        <v>74</v>
      </c>
      <c r="F757">
        <v>50</v>
      </c>
      <c r="G757" t="s">
        <v>128</v>
      </c>
      <c r="H757" t="s">
        <v>128</v>
      </c>
      <c r="I757" t="s">
        <v>74</v>
      </c>
      <c r="J757" t="s">
        <v>128</v>
      </c>
      <c r="K757" t="s">
        <v>128</v>
      </c>
      <c r="L757" t="s">
        <v>128</v>
      </c>
      <c r="M757" t="s">
        <v>1407</v>
      </c>
      <c r="N757" t="b">
        <v>0</v>
      </c>
    </row>
    <row r="758" spans="1:14">
      <c r="A758">
        <v>44</v>
      </c>
      <c r="B758">
        <v>10</v>
      </c>
      <c r="C758" t="s">
        <v>343</v>
      </c>
      <c r="D758" t="s">
        <v>726</v>
      </c>
      <c r="E758" t="s">
        <v>102</v>
      </c>
      <c r="F758">
        <v>30</v>
      </c>
      <c r="G758" t="s">
        <v>128</v>
      </c>
      <c r="H758" t="s">
        <v>128</v>
      </c>
      <c r="I758" t="s">
        <v>102</v>
      </c>
      <c r="J758" t="s">
        <v>128</v>
      </c>
      <c r="K758" t="s">
        <v>128</v>
      </c>
      <c r="L758" t="s">
        <v>128</v>
      </c>
      <c r="M758" t="s">
        <v>1408</v>
      </c>
      <c r="N758" t="b">
        <v>0</v>
      </c>
    </row>
    <row r="759" spans="1:14">
      <c r="A759">
        <v>44</v>
      </c>
      <c r="B759">
        <v>11</v>
      </c>
      <c r="C759" t="s">
        <v>172</v>
      </c>
      <c r="D759" t="s">
        <v>726</v>
      </c>
      <c r="E759" t="s">
        <v>106</v>
      </c>
      <c r="F759">
        <v>50</v>
      </c>
      <c r="G759" t="s">
        <v>128</v>
      </c>
      <c r="H759" t="s">
        <v>128</v>
      </c>
      <c r="I759" t="s">
        <v>106</v>
      </c>
      <c r="J759" t="s">
        <v>128</v>
      </c>
      <c r="K759" t="s">
        <v>128</v>
      </c>
      <c r="L759" t="s">
        <v>128</v>
      </c>
      <c r="M759" t="s">
        <v>1409</v>
      </c>
      <c r="N759" t="b">
        <v>0</v>
      </c>
    </row>
    <row r="760" spans="1:14">
      <c r="A760">
        <v>44</v>
      </c>
      <c r="B760">
        <v>12</v>
      </c>
      <c r="C760" t="s">
        <v>234</v>
      </c>
      <c r="D760" t="s">
        <v>726</v>
      </c>
      <c r="E760" t="s">
        <v>108</v>
      </c>
      <c r="F760">
        <v>50</v>
      </c>
      <c r="G760" t="s">
        <v>128</v>
      </c>
      <c r="H760" t="s">
        <v>128</v>
      </c>
      <c r="I760" t="s">
        <v>108</v>
      </c>
      <c r="J760" t="s">
        <v>128</v>
      </c>
      <c r="K760" t="s">
        <v>128</v>
      </c>
      <c r="L760" t="s">
        <v>128</v>
      </c>
      <c r="M760" t="s">
        <v>1410</v>
      </c>
      <c r="N760" t="b">
        <v>0</v>
      </c>
    </row>
    <row r="761" spans="1:14">
      <c r="A761">
        <v>44</v>
      </c>
      <c r="B761">
        <v>13</v>
      </c>
      <c r="C761" t="s">
        <v>128</v>
      </c>
      <c r="D761" t="s">
        <v>726</v>
      </c>
      <c r="E761" t="s">
        <v>128</v>
      </c>
      <c r="F761">
        <v>0</v>
      </c>
      <c r="G761" t="s">
        <v>128</v>
      </c>
      <c r="H761" t="s">
        <v>128</v>
      </c>
      <c r="I761" t="s">
        <v>128</v>
      </c>
      <c r="J761" t="s">
        <v>128</v>
      </c>
      <c r="K761" t="s">
        <v>128</v>
      </c>
      <c r="L761" t="s">
        <v>128</v>
      </c>
      <c r="M761" t="s">
        <v>1411</v>
      </c>
      <c r="N761" t="b">
        <v>0</v>
      </c>
    </row>
    <row r="762" spans="1:14">
      <c r="A762">
        <v>44</v>
      </c>
      <c r="B762">
        <v>14</v>
      </c>
      <c r="C762" t="s">
        <v>128</v>
      </c>
      <c r="D762" t="s">
        <v>726</v>
      </c>
      <c r="E762" t="s">
        <v>128</v>
      </c>
      <c r="F762">
        <v>0</v>
      </c>
      <c r="G762" t="s">
        <v>128</v>
      </c>
      <c r="H762" t="s">
        <v>128</v>
      </c>
      <c r="I762" t="s">
        <v>128</v>
      </c>
      <c r="J762" t="s">
        <v>128</v>
      </c>
      <c r="K762" t="s">
        <v>128</v>
      </c>
      <c r="L762" t="s">
        <v>128</v>
      </c>
      <c r="M762" t="s">
        <v>1412</v>
      </c>
      <c r="N762" t="b">
        <v>0</v>
      </c>
    </row>
    <row r="763" spans="1:14">
      <c r="A763">
        <v>44</v>
      </c>
      <c r="B763">
        <v>15</v>
      </c>
      <c r="C763" t="s">
        <v>128</v>
      </c>
      <c r="D763" t="s">
        <v>726</v>
      </c>
      <c r="E763" t="s">
        <v>128</v>
      </c>
      <c r="F763">
        <v>0</v>
      </c>
      <c r="G763" t="s">
        <v>128</v>
      </c>
      <c r="H763" t="s">
        <v>128</v>
      </c>
      <c r="I763" t="s">
        <v>128</v>
      </c>
      <c r="J763" t="s">
        <v>128</v>
      </c>
      <c r="K763" t="s">
        <v>128</v>
      </c>
      <c r="L763" t="s">
        <v>128</v>
      </c>
      <c r="M763" t="s">
        <v>1413</v>
      </c>
      <c r="N763" t="b">
        <v>0</v>
      </c>
    </row>
    <row r="764" spans="1:14">
      <c r="A764">
        <v>44</v>
      </c>
      <c r="B764">
        <v>16</v>
      </c>
      <c r="C764" t="s">
        <v>292</v>
      </c>
      <c r="D764" t="s">
        <v>743</v>
      </c>
      <c r="E764" t="s">
        <v>75</v>
      </c>
      <c r="F764">
        <v>40</v>
      </c>
      <c r="G764" t="s">
        <v>128</v>
      </c>
      <c r="H764" t="s">
        <v>128</v>
      </c>
      <c r="I764" t="s">
        <v>75</v>
      </c>
      <c r="J764" t="s">
        <v>128</v>
      </c>
      <c r="K764" t="s">
        <v>128</v>
      </c>
      <c r="L764" t="s">
        <v>128</v>
      </c>
      <c r="M764" t="s">
        <v>1414</v>
      </c>
      <c r="N764" t="b">
        <v>0</v>
      </c>
    </row>
    <row r="765" spans="1:14">
      <c r="A765">
        <v>44</v>
      </c>
      <c r="B765">
        <v>17</v>
      </c>
      <c r="C765" t="s">
        <v>212</v>
      </c>
      <c r="D765" t="s">
        <v>743</v>
      </c>
      <c r="E765" t="s">
        <v>87</v>
      </c>
      <c r="F765">
        <v>40</v>
      </c>
      <c r="G765" t="s">
        <v>128</v>
      </c>
      <c r="H765" t="s">
        <v>128</v>
      </c>
      <c r="I765" t="s">
        <v>87</v>
      </c>
      <c r="J765" t="s">
        <v>128</v>
      </c>
      <c r="K765" t="s">
        <v>128</v>
      </c>
      <c r="L765" t="s">
        <v>128</v>
      </c>
      <c r="M765" t="s">
        <v>1415</v>
      </c>
      <c r="N765" t="b">
        <v>0</v>
      </c>
    </row>
    <row r="766" spans="1:14">
      <c r="A766">
        <v>44</v>
      </c>
      <c r="B766">
        <v>18</v>
      </c>
      <c r="C766" t="s">
        <v>182</v>
      </c>
      <c r="D766" t="s">
        <v>743</v>
      </c>
      <c r="E766" t="s">
        <v>546</v>
      </c>
      <c r="F766">
        <v>40</v>
      </c>
      <c r="G766" t="s">
        <v>762</v>
      </c>
      <c r="H766" t="s">
        <v>128</v>
      </c>
      <c r="I766" t="s">
        <v>128</v>
      </c>
      <c r="J766" t="s">
        <v>819</v>
      </c>
      <c r="K766" t="s">
        <v>794</v>
      </c>
      <c r="L766" t="s">
        <v>795</v>
      </c>
      <c r="M766" t="s">
        <v>1416</v>
      </c>
      <c r="N766" t="b">
        <v>0</v>
      </c>
    </row>
    <row r="767" spans="1:14">
      <c r="A767">
        <v>44</v>
      </c>
      <c r="B767">
        <v>19</v>
      </c>
      <c r="C767" t="s">
        <v>220</v>
      </c>
      <c r="D767" t="s">
        <v>743</v>
      </c>
      <c r="E767" t="s">
        <v>95</v>
      </c>
      <c r="F767">
        <v>40</v>
      </c>
      <c r="G767" t="s">
        <v>128</v>
      </c>
      <c r="H767" t="s">
        <v>128</v>
      </c>
      <c r="I767" t="s">
        <v>95</v>
      </c>
      <c r="J767" t="s">
        <v>128</v>
      </c>
      <c r="K767" t="s">
        <v>128</v>
      </c>
      <c r="L767" t="s">
        <v>128</v>
      </c>
      <c r="M767" t="s">
        <v>1417</v>
      </c>
      <c r="N767" t="b">
        <v>0</v>
      </c>
    </row>
    <row r="768" spans="1:14">
      <c r="A768">
        <v>44</v>
      </c>
      <c r="B768">
        <v>20</v>
      </c>
      <c r="C768" t="s">
        <v>162</v>
      </c>
      <c r="D768" t="s">
        <v>743</v>
      </c>
      <c r="E768" t="s">
        <v>299</v>
      </c>
      <c r="F768">
        <v>40</v>
      </c>
      <c r="G768" t="s">
        <v>762</v>
      </c>
      <c r="H768" t="s">
        <v>128</v>
      </c>
      <c r="I768" t="s">
        <v>128</v>
      </c>
      <c r="J768" t="s">
        <v>763</v>
      </c>
      <c r="K768" t="s">
        <v>764</v>
      </c>
      <c r="L768" t="s">
        <v>765</v>
      </c>
      <c r="M768" t="s">
        <v>1418</v>
      </c>
      <c r="N768" t="b">
        <v>0</v>
      </c>
    </row>
    <row r="769" spans="1:14">
      <c r="A769">
        <v>44</v>
      </c>
      <c r="B769">
        <v>21</v>
      </c>
      <c r="C769" t="s">
        <v>179</v>
      </c>
      <c r="D769" t="s">
        <v>743</v>
      </c>
      <c r="E769" t="s">
        <v>100</v>
      </c>
      <c r="F769">
        <v>40</v>
      </c>
      <c r="G769" t="s">
        <v>128</v>
      </c>
      <c r="H769" t="s">
        <v>128</v>
      </c>
      <c r="I769" t="s">
        <v>100</v>
      </c>
      <c r="J769" t="s">
        <v>128</v>
      </c>
      <c r="K769" t="s">
        <v>128</v>
      </c>
      <c r="L769" t="s">
        <v>128</v>
      </c>
      <c r="M769" t="s">
        <v>1419</v>
      </c>
      <c r="N769" t="b">
        <v>0</v>
      </c>
    </row>
    <row r="770" spans="1:14">
      <c r="A770">
        <v>44</v>
      </c>
      <c r="B770">
        <v>22</v>
      </c>
      <c r="C770" t="s">
        <v>128</v>
      </c>
      <c r="D770" t="s">
        <v>743</v>
      </c>
      <c r="E770" t="s">
        <v>128</v>
      </c>
      <c r="F770">
        <v>0</v>
      </c>
      <c r="G770" t="s">
        <v>128</v>
      </c>
      <c r="H770" t="s">
        <v>128</v>
      </c>
      <c r="I770" t="s">
        <v>128</v>
      </c>
      <c r="J770" t="s">
        <v>128</v>
      </c>
      <c r="K770" t="s">
        <v>128</v>
      </c>
      <c r="L770" t="s">
        <v>128</v>
      </c>
      <c r="M770" t="s">
        <v>1420</v>
      </c>
      <c r="N770" t="b">
        <v>0</v>
      </c>
    </row>
    <row r="771" spans="1:14">
      <c r="A771">
        <v>44</v>
      </c>
      <c r="B771">
        <v>23</v>
      </c>
      <c r="C771" t="s">
        <v>128</v>
      </c>
      <c r="D771" t="s">
        <v>743</v>
      </c>
      <c r="E771" t="s">
        <v>128</v>
      </c>
      <c r="F771">
        <v>0</v>
      </c>
      <c r="G771" t="s">
        <v>128</v>
      </c>
      <c r="H771" t="s">
        <v>128</v>
      </c>
      <c r="I771" t="s">
        <v>128</v>
      </c>
      <c r="J771" t="s">
        <v>128</v>
      </c>
      <c r="K771" t="s">
        <v>128</v>
      </c>
      <c r="L771" t="s">
        <v>128</v>
      </c>
      <c r="M771" t="s">
        <v>1421</v>
      </c>
      <c r="N771" t="b">
        <v>0</v>
      </c>
    </row>
    <row r="772" spans="1:14">
      <c r="A772">
        <v>44</v>
      </c>
      <c r="B772">
        <v>24</v>
      </c>
      <c r="C772" t="s">
        <v>128</v>
      </c>
      <c r="D772" t="s">
        <v>743</v>
      </c>
      <c r="E772" t="s">
        <v>128</v>
      </c>
      <c r="F772">
        <v>0</v>
      </c>
      <c r="G772" t="s">
        <v>128</v>
      </c>
      <c r="H772" t="s">
        <v>128</v>
      </c>
      <c r="I772" t="s">
        <v>128</v>
      </c>
      <c r="J772" t="s">
        <v>128</v>
      </c>
      <c r="K772" t="s">
        <v>128</v>
      </c>
      <c r="L772" t="s">
        <v>128</v>
      </c>
      <c r="M772" t="s">
        <v>1422</v>
      </c>
      <c r="N772" t="b">
        <v>0</v>
      </c>
    </row>
    <row r="773" spans="1:14">
      <c r="A773">
        <v>44</v>
      </c>
      <c r="B773">
        <v>25</v>
      </c>
      <c r="C773" t="s">
        <v>128</v>
      </c>
      <c r="D773" t="s">
        <v>743</v>
      </c>
      <c r="E773" t="s">
        <v>128</v>
      </c>
      <c r="F773">
        <v>0</v>
      </c>
      <c r="G773" t="s">
        <v>128</v>
      </c>
      <c r="H773" t="s">
        <v>128</v>
      </c>
      <c r="I773" t="s">
        <v>128</v>
      </c>
      <c r="J773" t="s">
        <v>128</v>
      </c>
      <c r="K773" t="s">
        <v>128</v>
      </c>
      <c r="L773" t="s">
        <v>128</v>
      </c>
      <c r="M773" t="s">
        <v>1423</v>
      </c>
      <c r="N773" t="b">
        <v>0</v>
      </c>
    </row>
    <row r="774" spans="1:14">
      <c r="A774">
        <v>44</v>
      </c>
      <c r="B774">
        <v>26</v>
      </c>
      <c r="C774" t="s">
        <v>128</v>
      </c>
      <c r="D774" t="s">
        <v>743</v>
      </c>
      <c r="E774" t="s">
        <v>128</v>
      </c>
      <c r="F774">
        <v>0</v>
      </c>
      <c r="G774" t="s">
        <v>128</v>
      </c>
      <c r="H774" t="s">
        <v>128</v>
      </c>
      <c r="I774" t="s">
        <v>128</v>
      </c>
      <c r="J774" t="s">
        <v>128</v>
      </c>
      <c r="K774" t="s">
        <v>128</v>
      </c>
      <c r="L774" t="s">
        <v>128</v>
      </c>
      <c r="M774" t="s">
        <v>1424</v>
      </c>
      <c r="N774" t="b">
        <v>0</v>
      </c>
    </row>
    <row r="775" spans="1:14">
      <c r="A775">
        <v>46</v>
      </c>
      <c r="B775">
        <v>0</v>
      </c>
      <c r="C775" t="s">
        <v>188</v>
      </c>
      <c r="D775" t="s">
        <v>726</v>
      </c>
      <c r="E775" t="s">
        <v>65</v>
      </c>
      <c r="F775">
        <v>50</v>
      </c>
      <c r="G775" t="s">
        <v>128</v>
      </c>
      <c r="H775" t="s">
        <v>128</v>
      </c>
      <c r="I775" t="s">
        <v>65</v>
      </c>
      <c r="J775" t="s">
        <v>128</v>
      </c>
      <c r="K775" t="s">
        <v>128</v>
      </c>
      <c r="L775" t="s">
        <v>128</v>
      </c>
      <c r="M775" t="s">
        <v>1425</v>
      </c>
      <c r="N775" t="b">
        <v>0</v>
      </c>
    </row>
    <row r="776" spans="1:14">
      <c r="A776">
        <v>46</v>
      </c>
      <c r="B776">
        <v>1</v>
      </c>
      <c r="C776" t="s">
        <v>219</v>
      </c>
      <c r="D776" t="s">
        <v>726</v>
      </c>
      <c r="E776" t="s">
        <v>77</v>
      </c>
      <c r="F776">
        <v>60</v>
      </c>
      <c r="G776" t="s">
        <v>128</v>
      </c>
      <c r="H776" t="s">
        <v>128</v>
      </c>
      <c r="I776" t="s">
        <v>77</v>
      </c>
      <c r="J776" t="s">
        <v>128</v>
      </c>
      <c r="K776" t="s">
        <v>128</v>
      </c>
      <c r="L776" t="s">
        <v>128</v>
      </c>
      <c r="M776" t="s">
        <v>1426</v>
      </c>
      <c r="N776" t="b">
        <v>0</v>
      </c>
    </row>
    <row r="777" spans="1:14">
      <c r="A777">
        <v>46</v>
      </c>
      <c r="B777">
        <v>2</v>
      </c>
      <c r="C777" t="s">
        <v>220</v>
      </c>
      <c r="D777" t="s">
        <v>726</v>
      </c>
      <c r="E777" t="s">
        <v>95</v>
      </c>
      <c r="F777">
        <v>40</v>
      </c>
      <c r="G777" t="s">
        <v>128</v>
      </c>
      <c r="H777" t="s">
        <v>128</v>
      </c>
      <c r="I777" t="s">
        <v>95</v>
      </c>
      <c r="J777" t="s">
        <v>128</v>
      </c>
      <c r="K777" t="s">
        <v>128</v>
      </c>
      <c r="L777" t="s">
        <v>128</v>
      </c>
      <c r="M777" t="s">
        <v>1427</v>
      </c>
      <c r="N777" t="b">
        <v>0</v>
      </c>
    </row>
    <row r="778" spans="1:14">
      <c r="A778">
        <v>46</v>
      </c>
      <c r="B778">
        <v>3</v>
      </c>
      <c r="C778" t="s">
        <v>221</v>
      </c>
      <c r="D778" t="s">
        <v>726</v>
      </c>
      <c r="E778" t="s">
        <v>101</v>
      </c>
      <c r="F778">
        <v>60</v>
      </c>
      <c r="G778" t="s">
        <v>128</v>
      </c>
      <c r="H778" t="s">
        <v>128</v>
      </c>
      <c r="I778" t="s">
        <v>101</v>
      </c>
      <c r="J778" t="s">
        <v>128</v>
      </c>
      <c r="K778" t="s">
        <v>128</v>
      </c>
      <c r="L778" t="s">
        <v>128</v>
      </c>
      <c r="M778" t="s">
        <v>1428</v>
      </c>
      <c r="N778" t="b">
        <v>0</v>
      </c>
    </row>
    <row r="779" spans="1:14">
      <c r="A779">
        <v>46</v>
      </c>
      <c r="B779">
        <v>4</v>
      </c>
      <c r="C779" t="s">
        <v>347</v>
      </c>
      <c r="D779" t="s">
        <v>755</v>
      </c>
      <c r="E779" t="s">
        <v>299</v>
      </c>
      <c r="F779">
        <v>20</v>
      </c>
      <c r="G779" t="s">
        <v>762</v>
      </c>
      <c r="H779" t="s">
        <v>128</v>
      </c>
      <c r="I779" t="s">
        <v>128</v>
      </c>
      <c r="J779" t="s">
        <v>763</v>
      </c>
      <c r="K779" t="s">
        <v>764</v>
      </c>
      <c r="L779" t="s">
        <v>765</v>
      </c>
      <c r="M779" t="s">
        <v>1429</v>
      </c>
      <c r="N779" t="b">
        <v>0</v>
      </c>
    </row>
    <row r="780" spans="1:14">
      <c r="A780">
        <v>46</v>
      </c>
      <c r="B780">
        <v>5</v>
      </c>
      <c r="C780" t="s">
        <v>200</v>
      </c>
      <c r="D780" t="s">
        <v>726</v>
      </c>
      <c r="E780" t="s">
        <v>113</v>
      </c>
      <c r="F780">
        <v>50</v>
      </c>
      <c r="G780" t="s">
        <v>128</v>
      </c>
      <c r="H780" t="s">
        <v>128</v>
      </c>
      <c r="I780" t="s">
        <v>113</v>
      </c>
      <c r="J780" t="s">
        <v>128</v>
      </c>
      <c r="K780" t="s">
        <v>128</v>
      </c>
      <c r="L780" t="s">
        <v>128</v>
      </c>
      <c r="M780" t="s">
        <v>1430</v>
      </c>
      <c r="N780" t="b">
        <v>0</v>
      </c>
    </row>
    <row r="781" spans="1:14">
      <c r="A781">
        <v>46</v>
      </c>
      <c r="B781">
        <v>6</v>
      </c>
      <c r="C781" t="s">
        <v>256</v>
      </c>
      <c r="D781" t="s">
        <v>726</v>
      </c>
      <c r="E781" t="s">
        <v>115</v>
      </c>
      <c r="F781">
        <v>40</v>
      </c>
      <c r="G781" t="s">
        <v>128</v>
      </c>
      <c r="H781" t="s">
        <v>128</v>
      </c>
      <c r="I781" t="s">
        <v>115</v>
      </c>
      <c r="J781" t="s">
        <v>128</v>
      </c>
      <c r="K781" t="s">
        <v>128</v>
      </c>
      <c r="L781" t="s">
        <v>128</v>
      </c>
      <c r="M781" t="s">
        <v>1431</v>
      </c>
      <c r="N781" t="b">
        <v>0</v>
      </c>
    </row>
    <row r="782" spans="1:14">
      <c r="A782">
        <v>46</v>
      </c>
      <c r="B782">
        <v>7</v>
      </c>
      <c r="C782" t="s">
        <v>222</v>
      </c>
      <c r="D782" t="s">
        <v>726</v>
      </c>
      <c r="E782" t="s">
        <v>68</v>
      </c>
      <c r="F782">
        <v>50</v>
      </c>
      <c r="G782" t="s">
        <v>128</v>
      </c>
      <c r="H782" t="s">
        <v>128</v>
      </c>
      <c r="I782" t="s">
        <v>68</v>
      </c>
      <c r="J782" t="s">
        <v>128</v>
      </c>
      <c r="K782" t="s">
        <v>128</v>
      </c>
      <c r="L782" t="s">
        <v>128</v>
      </c>
      <c r="M782" t="s">
        <v>1432</v>
      </c>
      <c r="N782" t="b">
        <v>0</v>
      </c>
    </row>
    <row r="783" spans="1:14">
      <c r="A783">
        <v>46</v>
      </c>
      <c r="B783">
        <v>8</v>
      </c>
      <c r="C783" t="s">
        <v>223</v>
      </c>
      <c r="D783" t="s">
        <v>726</v>
      </c>
      <c r="E783" t="s">
        <v>333</v>
      </c>
      <c r="F783">
        <v>60</v>
      </c>
      <c r="G783" t="s">
        <v>128</v>
      </c>
      <c r="H783" t="s">
        <v>550</v>
      </c>
      <c r="I783" t="s">
        <v>447</v>
      </c>
      <c r="J783" t="s">
        <v>128</v>
      </c>
      <c r="K783" t="s">
        <v>923</v>
      </c>
      <c r="L783" t="s">
        <v>924</v>
      </c>
      <c r="M783" t="s">
        <v>1433</v>
      </c>
      <c r="N783" t="b">
        <v>0</v>
      </c>
    </row>
    <row r="784" spans="1:14">
      <c r="A784">
        <v>46</v>
      </c>
      <c r="B784">
        <v>9</v>
      </c>
      <c r="C784" t="s">
        <v>169</v>
      </c>
      <c r="D784" t="s">
        <v>726</v>
      </c>
      <c r="E784" t="s">
        <v>74</v>
      </c>
      <c r="F784">
        <v>50</v>
      </c>
      <c r="G784" t="s">
        <v>128</v>
      </c>
      <c r="H784" t="s">
        <v>128</v>
      </c>
      <c r="I784" t="s">
        <v>74</v>
      </c>
      <c r="J784" t="s">
        <v>128</v>
      </c>
      <c r="K784" t="s">
        <v>128</v>
      </c>
      <c r="L784" t="s">
        <v>128</v>
      </c>
      <c r="M784" t="s">
        <v>1434</v>
      </c>
      <c r="N784" t="b">
        <v>0</v>
      </c>
    </row>
    <row r="785" spans="1:14">
      <c r="A785">
        <v>46</v>
      </c>
      <c r="B785">
        <v>10</v>
      </c>
      <c r="C785" t="s">
        <v>165</v>
      </c>
      <c r="D785" t="s">
        <v>726</v>
      </c>
      <c r="E785" t="s">
        <v>78</v>
      </c>
      <c r="F785">
        <v>40</v>
      </c>
      <c r="G785" t="s">
        <v>128</v>
      </c>
      <c r="H785" t="s">
        <v>128</v>
      </c>
      <c r="I785" t="s">
        <v>78</v>
      </c>
      <c r="J785" t="s">
        <v>128</v>
      </c>
      <c r="K785" t="s">
        <v>128</v>
      </c>
      <c r="L785" t="s">
        <v>128</v>
      </c>
      <c r="M785" t="s">
        <v>1435</v>
      </c>
      <c r="N785" t="b">
        <v>0</v>
      </c>
    </row>
    <row r="786" spans="1:14">
      <c r="A786">
        <v>46</v>
      </c>
      <c r="B786">
        <v>11</v>
      </c>
      <c r="C786" t="s">
        <v>224</v>
      </c>
      <c r="D786" t="s">
        <v>726</v>
      </c>
      <c r="E786" t="s">
        <v>102</v>
      </c>
      <c r="F786">
        <v>50</v>
      </c>
      <c r="G786" t="s">
        <v>128</v>
      </c>
      <c r="H786" t="s">
        <v>128</v>
      </c>
      <c r="I786" t="s">
        <v>102</v>
      </c>
      <c r="J786" t="s">
        <v>128</v>
      </c>
      <c r="K786" t="s">
        <v>128</v>
      </c>
      <c r="L786" t="s">
        <v>128</v>
      </c>
      <c r="M786" t="s">
        <v>1436</v>
      </c>
      <c r="N786" t="b">
        <v>0</v>
      </c>
    </row>
    <row r="787" spans="1:14">
      <c r="A787">
        <v>46</v>
      </c>
      <c r="B787">
        <v>12</v>
      </c>
      <c r="C787" t="s">
        <v>172</v>
      </c>
      <c r="D787" t="s">
        <v>726</v>
      </c>
      <c r="E787" t="s">
        <v>106</v>
      </c>
      <c r="F787">
        <v>50</v>
      </c>
      <c r="G787" t="s">
        <v>128</v>
      </c>
      <c r="H787" t="s">
        <v>128</v>
      </c>
      <c r="I787" t="s">
        <v>106</v>
      </c>
      <c r="J787" t="s">
        <v>128</v>
      </c>
      <c r="K787" t="s">
        <v>128</v>
      </c>
      <c r="L787" t="s">
        <v>128</v>
      </c>
      <c r="M787" t="s">
        <v>1437</v>
      </c>
      <c r="N787" t="b">
        <v>0</v>
      </c>
    </row>
    <row r="788" spans="1:14">
      <c r="A788">
        <v>46</v>
      </c>
      <c r="B788">
        <v>13</v>
      </c>
      <c r="C788" t="s">
        <v>225</v>
      </c>
      <c r="D788" t="s">
        <v>726</v>
      </c>
      <c r="E788" t="s">
        <v>107</v>
      </c>
      <c r="F788">
        <v>50</v>
      </c>
      <c r="G788" t="s">
        <v>128</v>
      </c>
      <c r="H788" t="s">
        <v>128</v>
      </c>
      <c r="I788" t="s">
        <v>107</v>
      </c>
      <c r="J788" t="s">
        <v>128</v>
      </c>
      <c r="K788" t="s">
        <v>128</v>
      </c>
      <c r="L788" t="s">
        <v>128</v>
      </c>
      <c r="M788" t="s">
        <v>1438</v>
      </c>
      <c r="N788" t="b">
        <v>0</v>
      </c>
    </row>
    <row r="789" spans="1:14">
      <c r="A789">
        <v>46</v>
      </c>
      <c r="B789">
        <v>14</v>
      </c>
      <c r="C789" t="s">
        <v>197</v>
      </c>
      <c r="D789" t="s">
        <v>726</v>
      </c>
      <c r="E789" t="s">
        <v>108</v>
      </c>
      <c r="F789">
        <v>60</v>
      </c>
      <c r="G789" t="s">
        <v>128</v>
      </c>
      <c r="H789" t="s">
        <v>128</v>
      </c>
      <c r="I789" t="s">
        <v>108</v>
      </c>
      <c r="J789" t="s">
        <v>128</v>
      </c>
      <c r="K789" t="s">
        <v>128</v>
      </c>
      <c r="L789" t="s">
        <v>128</v>
      </c>
      <c r="M789" t="s">
        <v>1439</v>
      </c>
      <c r="N789" t="b">
        <v>0</v>
      </c>
    </row>
    <row r="790" spans="1:14">
      <c r="A790">
        <v>46</v>
      </c>
      <c r="B790">
        <v>15</v>
      </c>
      <c r="C790" t="s">
        <v>128</v>
      </c>
      <c r="D790" t="s">
        <v>726</v>
      </c>
      <c r="E790" t="s">
        <v>128</v>
      </c>
      <c r="F790">
        <v>0</v>
      </c>
      <c r="G790" t="s">
        <v>128</v>
      </c>
      <c r="H790" t="s">
        <v>128</v>
      </c>
      <c r="I790" t="s">
        <v>128</v>
      </c>
      <c r="J790" t="s">
        <v>128</v>
      </c>
      <c r="K790" t="s">
        <v>128</v>
      </c>
      <c r="L790" t="s">
        <v>128</v>
      </c>
      <c r="M790" t="s">
        <v>1440</v>
      </c>
      <c r="N790" t="b">
        <v>0</v>
      </c>
    </row>
    <row r="791" spans="1:14">
      <c r="A791">
        <v>46</v>
      </c>
      <c r="B791">
        <v>16</v>
      </c>
      <c r="C791" t="s">
        <v>128</v>
      </c>
      <c r="D791" t="s">
        <v>743</v>
      </c>
      <c r="E791" t="s">
        <v>128</v>
      </c>
      <c r="F791">
        <v>0</v>
      </c>
      <c r="G791" t="s">
        <v>128</v>
      </c>
      <c r="H791" t="s">
        <v>128</v>
      </c>
      <c r="I791" t="s">
        <v>128</v>
      </c>
      <c r="J791" t="s">
        <v>128</v>
      </c>
      <c r="K791" t="s">
        <v>128</v>
      </c>
      <c r="L791" t="s">
        <v>128</v>
      </c>
      <c r="M791" t="s">
        <v>1441</v>
      </c>
      <c r="N791" t="b">
        <v>0</v>
      </c>
    </row>
    <row r="792" spans="1:14">
      <c r="A792">
        <v>46</v>
      </c>
      <c r="B792">
        <v>17</v>
      </c>
      <c r="C792" t="s">
        <v>128</v>
      </c>
      <c r="D792" t="s">
        <v>743</v>
      </c>
      <c r="E792" t="s">
        <v>128</v>
      </c>
      <c r="F792">
        <v>0</v>
      </c>
      <c r="G792" t="s">
        <v>128</v>
      </c>
      <c r="H792" t="s">
        <v>128</v>
      </c>
      <c r="I792" t="s">
        <v>128</v>
      </c>
      <c r="J792" t="s">
        <v>128</v>
      </c>
      <c r="K792" t="s">
        <v>128</v>
      </c>
      <c r="L792" t="s">
        <v>128</v>
      </c>
      <c r="M792" t="s">
        <v>1442</v>
      </c>
      <c r="N792" t="b">
        <v>0</v>
      </c>
    </row>
    <row r="793" spans="1:14">
      <c r="A793">
        <v>46</v>
      </c>
      <c r="B793">
        <v>18</v>
      </c>
      <c r="C793" t="s">
        <v>128</v>
      </c>
      <c r="D793" t="s">
        <v>743</v>
      </c>
      <c r="E793" t="s">
        <v>128</v>
      </c>
      <c r="F793">
        <v>0</v>
      </c>
      <c r="G793" t="s">
        <v>128</v>
      </c>
      <c r="H793" t="s">
        <v>128</v>
      </c>
      <c r="I793" t="s">
        <v>128</v>
      </c>
      <c r="J793" t="s">
        <v>128</v>
      </c>
      <c r="K793" t="s">
        <v>128</v>
      </c>
      <c r="L793" t="s">
        <v>128</v>
      </c>
      <c r="M793" t="s">
        <v>1443</v>
      </c>
      <c r="N793" t="b">
        <v>0</v>
      </c>
    </row>
    <row r="794" spans="1:14">
      <c r="A794">
        <v>46</v>
      </c>
      <c r="B794">
        <v>19</v>
      </c>
      <c r="C794" t="s">
        <v>128</v>
      </c>
      <c r="D794" t="s">
        <v>743</v>
      </c>
      <c r="E794" t="s">
        <v>128</v>
      </c>
      <c r="F794">
        <v>0</v>
      </c>
      <c r="G794" t="s">
        <v>128</v>
      </c>
      <c r="H794" t="s">
        <v>128</v>
      </c>
      <c r="I794" t="s">
        <v>128</v>
      </c>
      <c r="J794" t="s">
        <v>128</v>
      </c>
      <c r="K794" t="s">
        <v>128</v>
      </c>
      <c r="L794" t="s">
        <v>128</v>
      </c>
      <c r="M794" t="s">
        <v>1444</v>
      </c>
      <c r="N794" t="b">
        <v>0</v>
      </c>
    </row>
    <row r="795" spans="1:14">
      <c r="A795">
        <v>46</v>
      </c>
      <c r="B795">
        <v>20</v>
      </c>
      <c r="C795" t="s">
        <v>128</v>
      </c>
      <c r="D795" t="s">
        <v>743</v>
      </c>
      <c r="E795" t="s">
        <v>128</v>
      </c>
      <c r="F795">
        <v>0</v>
      </c>
      <c r="G795" t="s">
        <v>128</v>
      </c>
      <c r="H795" t="s">
        <v>128</v>
      </c>
      <c r="I795" t="s">
        <v>128</v>
      </c>
      <c r="J795" t="s">
        <v>128</v>
      </c>
      <c r="K795" t="s">
        <v>128</v>
      </c>
      <c r="L795" t="s">
        <v>128</v>
      </c>
      <c r="M795" t="s">
        <v>1445</v>
      </c>
      <c r="N795" t="b">
        <v>0</v>
      </c>
    </row>
    <row r="796" spans="1:14">
      <c r="A796">
        <v>46</v>
      </c>
      <c r="B796">
        <v>21</v>
      </c>
      <c r="C796" t="s">
        <v>128</v>
      </c>
      <c r="D796" t="s">
        <v>743</v>
      </c>
      <c r="E796" t="s">
        <v>128</v>
      </c>
      <c r="F796">
        <v>0</v>
      </c>
      <c r="G796" t="s">
        <v>128</v>
      </c>
      <c r="H796" t="s">
        <v>128</v>
      </c>
      <c r="I796" t="s">
        <v>128</v>
      </c>
      <c r="J796" t="s">
        <v>128</v>
      </c>
      <c r="K796" t="s">
        <v>128</v>
      </c>
      <c r="L796" t="s">
        <v>128</v>
      </c>
      <c r="M796" t="s">
        <v>1446</v>
      </c>
      <c r="N796" t="b">
        <v>0</v>
      </c>
    </row>
    <row r="797" spans="1:14">
      <c r="A797">
        <v>46</v>
      </c>
      <c r="B797">
        <v>22</v>
      </c>
      <c r="C797" t="s">
        <v>128</v>
      </c>
      <c r="D797" t="s">
        <v>743</v>
      </c>
      <c r="E797" t="s">
        <v>128</v>
      </c>
      <c r="F797">
        <v>0</v>
      </c>
      <c r="G797" t="s">
        <v>128</v>
      </c>
      <c r="H797" t="s">
        <v>128</v>
      </c>
      <c r="I797" t="s">
        <v>128</v>
      </c>
      <c r="J797" t="s">
        <v>128</v>
      </c>
      <c r="K797" t="s">
        <v>128</v>
      </c>
      <c r="L797" t="s">
        <v>128</v>
      </c>
      <c r="M797" t="s">
        <v>1447</v>
      </c>
      <c r="N797" t="b">
        <v>0</v>
      </c>
    </row>
    <row r="798" spans="1:14">
      <c r="A798">
        <v>46</v>
      </c>
      <c r="B798">
        <v>23</v>
      </c>
      <c r="C798" t="s">
        <v>128</v>
      </c>
      <c r="D798" t="s">
        <v>743</v>
      </c>
      <c r="E798" t="s">
        <v>128</v>
      </c>
      <c r="F798">
        <v>0</v>
      </c>
      <c r="G798" t="s">
        <v>128</v>
      </c>
      <c r="H798" t="s">
        <v>128</v>
      </c>
      <c r="I798" t="s">
        <v>128</v>
      </c>
      <c r="J798" t="s">
        <v>128</v>
      </c>
      <c r="K798" t="s">
        <v>128</v>
      </c>
      <c r="L798" t="s">
        <v>128</v>
      </c>
      <c r="M798" t="s">
        <v>1448</v>
      </c>
      <c r="N798" t="b">
        <v>0</v>
      </c>
    </row>
    <row r="799" spans="1:14">
      <c r="A799">
        <v>46</v>
      </c>
      <c r="B799">
        <v>24</v>
      </c>
      <c r="C799" t="s">
        <v>128</v>
      </c>
      <c r="D799" t="s">
        <v>743</v>
      </c>
      <c r="E799" t="s">
        <v>128</v>
      </c>
      <c r="F799">
        <v>0</v>
      </c>
      <c r="G799" t="s">
        <v>128</v>
      </c>
      <c r="H799" t="s">
        <v>128</v>
      </c>
      <c r="I799" t="s">
        <v>128</v>
      </c>
      <c r="J799" t="s">
        <v>128</v>
      </c>
      <c r="K799" t="s">
        <v>128</v>
      </c>
      <c r="L799" t="s">
        <v>128</v>
      </c>
      <c r="M799" t="s">
        <v>1449</v>
      </c>
      <c r="N799" t="b">
        <v>0</v>
      </c>
    </row>
    <row r="800" spans="1:14">
      <c r="A800">
        <v>46</v>
      </c>
      <c r="B800">
        <v>25</v>
      </c>
      <c r="C800" t="s">
        <v>128</v>
      </c>
      <c r="D800" t="s">
        <v>743</v>
      </c>
      <c r="E800" t="s">
        <v>128</v>
      </c>
      <c r="F800">
        <v>0</v>
      </c>
      <c r="G800" t="s">
        <v>128</v>
      </c>
      <c r="H800" t="s">
        <v>128</v>
      </c>
      <c r="I800" t="s">
        <v>128</v>
      </c>
      <c r="J800" t="s">
        <v>128</v>
      </c>
      <c r="K800" t="s">
        <v>128</v>
      </c>
      <c r="L800" t="s">
        <v>128</v>
      </c>
      <c r="M800" t="s">
        <v>1450</v>
      </c>
      <c r="N800" t="b">
        <v>0</v>
      </c>
    </row>
    <row r="801" spans="1:14">
      <c r="A801">
        <v>46</v>
      </c>
      <c r="B801">
        <v>26</v>
      </c>
      <c r="C801" t="s">
        <v>128</v>
      </c>
      <c r="D801" t="s">
        <v>743</v>
      </c>
      <c r="E801" t="s">
        <v>128</v>
      </c>
      <c r="F801">
        <v>0</v>
      </c>
      <c r="G801" t="s">
        <v>128</v>
      </c>
      <c r="H801" t="s">
        <v>128</v>
      </c>
      <c r="I801" t="s">
        <v>128</v>
      </c>
      <c r="J801" t="s">
        <v>128</v>
      </c>
      <c r="K801" t="s">
        <v>128</v>
      </c>
      <c r="L801" t="s">
        <v>128</v>
      </c>
      <c r="M801" t="s">
        <v>1451</v>
      </c>
      <c r="N801" t="b">
        <v>0</v>
      </c>
    </row>
    <row r="802" spans="1:14">
      <c r="A802">
        <v>48</v>
      </c>
      <c r="B802">
        <v>0</v>
      </c>
      <c r="C802" t="s">
        <v>188</v>
      </c>
      <c r="D802" t="s">
        <v>726</v>
      </c>
      <c r="E802" t="s">
        <v>65</v>
      </c>
      <c r="F802">
        <v>50</v>
      </c>
      <c r="G802" t="s">
        <v>128</v>
      </c>
      <c r="H802" t="s">
        <v>128</v>
      </c>
      <c r="I802" t="s">
        <v>65</v>
      </c>
      <c r="J802" t="s">
        <v>128</v>
      </c>
      <c r="K802" t="s">
        <v>128</v>
      </c>
      <c r="L802" t="s">
        <v>128</v>
      </c>
      <c r="M802" t="s">
        <v>1452</v>
      </c>
      <c r="N802" t="b">
        <v>0</v>
      </c>
    </row>
    <row r="803" spans="1:14">
      <c r="A803">
        <v>48</v>
      </c>
      <c r="B803">
        <v>1</v>
      </c>
      <c r="C803" t="s">
        <v>228</v>
      </c>
      <c r="D803" t="s">
        <v>726</v>
      </c>
      <c r="E803" t="s">
        <v>77</v>
      </c>
      <c r="F803">
        <v>50</v>
      </c>
      <c r="G803" t="s">
        <v>128</v>
      </c>
      <c r="H803" t="s">
        <v>128</v>
      </c>
      <c r="I803" t="s">
        <v>77</v>
      </c>
      <c r="J803" t="s">
        <v>128</v>
      </c>
      <c r="K803" t="s">
        <v>128</v>
      </c>
      <c r="L803" t="s">
        <v>128</v>
      </c>
      <c r="M803" t="s">
        <v>1453</v>
      </c>
      <c r="N803" t="b">
        <v>0</v>
      </c>
    </row>
    <row r="804" spans="1:14">
      <c r="A804">
        <v>48</v>
      </c>
      <c r="B804">
        <v>2</v>
      </c>
      <c r="C804" t="s">
        <v>270</v>
      </c>
      <c r="D804" t="s">
        <v>726</v>
      </c>
      <c r="E804" t="s">
        <v>83</v>
      </c>
      <c r="F804">
        <v>30</v>
      </c>
      <c r="G804" t="s">
        <v>128</v>
      </c>
      <c r="H804" t="s">
        <v>128</v>
      </c>
      <c r="I804" t="s">
        <v>83</v>
      </c>
      <c r="J804" t="s">
        <v>128</v>
      </c>
      <c r="K804" t="s">
        <v>128</v>
      </c>
      <c r="L804" t="s">
        <v>128</v>
      </c>
      <c r="M804" t="s">
        <v>1454</v>
      </c>
      <c r="N804" t="b">
        <v>0</v>
      </c>
    </row>
    <row r="805" spans="1:14">
      <c r="A805">
        <v>48</v>
      </c>
      <c r="B805">
        <v>3</v>
      </c>
      <c r="C805" t="s">
        <v>253</v>
      </c>
      <c r="D805" t="s">
        <v>726</v>
      </c>
      <c r="E805" t="s">
        <v>99</v>
      </c>
      <c r="F805">
        <v>40</v>
      </c>
      <c r="G805" t="s">
        <v>128</v>
      </c>
      <c r="H805" t="s">
        <v>128</v>
      </c>
      <c r="I805" t="s">
        <v>99</v>
      </c>
      <c r="J805" t="s">
        <v>128</v>
      </c>
      <c r="K805" t="s">
        <v>128</v>
      </c>
      <c r="L805" t="s">
        <v>128</v>
      </c>
      <c r="M805" t="s">
        <v>1455</v>
      </c>
      <c r="N805" t="b">
        <v>0</v>
      </c>
    </row>
    <row r="806" spans="1:14">
      <c r="A806">
        <v>48</v>
      </c>
      <c r="B806">
        <v>4</v>
      </c>
      <c r="C806" t="s">
        <v>231</v>
      </c>
      <c r="D806" t="s">
        <v>726</v>
      </c>
      <c r="E806" t="s">
        <v>101</v>
      </c>
      <c r="F806">
        <v>40</v>
      </c>
      <c r="G806" t="s">
        <v>128</v>
      </c>
      <c r="H806" t="s">
        <v>128</v>
      </c>
      <c r="I806" t="s">
        <v>101</v>
      </c>
      <c r="J806" t="s">
        <v>128</v>
      </c>
      <c r="K806" t="s">
        <v>128</v>
      </c>
      <c r="L806" t="s">
        <v>128</v>
      </c>
      <c r="M806" t="s">
        <v>1456</v>
      </c>
      <c r="N806" t="b">
        <v>0</v>
      </c>
    </row>
    <row r="807" spans="1:14">
      <c r="A807">
        <v>48</v>
      </c>
      <c r="B807">
        <v>5</v>
      </c>
      <c r="C807" t="s">
        <v>277</v>
      </c>
      <c r="D807" t="s">
        <v>726</v>
      </c>
      <c r="E807" t="s">
        <v>103</v>
      </c>
      <c r="F807">
        <v>30</v>
      </c>
      <c r="G807" t="s">
        <v>128</v>
      </c>
      <c r="H807" t="s">
        <v>128</v>
      </c>
      <c r="I807" t="s">
        <v>103</v>
      </c>
      <c r="J807" t="s">
        <v>128</v>
      </c>
      <c r="K807" t="s">
        <v>128</v>
      </c>
      <c r="L807" t="s">
        <v>128</v>
      </c>
      <c r="M807" t="s">
        <v>1457</v>
      </c>
      <c r="N807" t="b">
        <v>0</v>
      </c>
    </row>
    <row r="808" spans="1:14">
      <c r="A808">
        <v>48</v>
      </c>
      <c r="B808">
        <v>6</v>
      </c>
      <c r="C808" t="s">
        <v>162</v>
      </c>
      <c r="D808" t="s">
        <v>755</v>
      </c>
      <c r="E808" t="s">
        <v>299</v>
      </c>
      <c r="F808">
        <v>40</v>
      </c>
      <c r="G808" t="s">
        <v>762</v>
      </c>
      <c r="H808" t="s">
        <v>128</v>
      </c>
      <c r="I808" t="s">
        <v>128</v>
      </c>
      <c r="J808" t="s">
        <v>763</v>
      </c>
      <c r="K808" t="s">
        <v>764</v>
      </c>
      <c r="L808" t="s">
        <v>765</v>
      </c>
      <c r="M808" t="s">
        <v>1458</v>
      </c>
      <c r="N808" t="b">
        <v>0</v>
      </c>
    </row>
    <row r="809" spans="1:14">
      <c r="A809">
        <v>48</v>
      </c>
      <c r="B809">
        <v>7</v>
      </c>
      <c r="C809" t="s">
        <v>168</v>
      </c>
      <c r="D809" t="s">
        <v>726</v>
      </c>
      <c r="E809" t="s">
        <v>115</v>
      </c>
      <c r="F809">
        <v>50</v>
      </c>
      <c r="G809" t="s">
        <v>128</v>
      </c>
      <c r="H809" t="s">
        <v>128</v>
      </c>
      <c r="I809" t="s">
        <v>115</v>
      </c>
      <c r="J809" t="s">
        <v>128</v>
      </c>
      <c r="K809" t="s">
        <v>128</v>
      </c>
      <c r="L809" t="s">
        <v>128</v>
      </c>
      <c r="M809" t="s">
        <v>1459</v>
      </c>
      <c r="N809" t="b">
        <v>0</v>
      </c>
    </row>
    <row r="810" spans="1:14">
      <c r="A810">
        <v>48</v>
      </c>
      <c r="B810">
        <v>8</v>
      </c>
      <c r="C810" t="s">
        <v>290</v>
      </c>
      <c r="D810" t="s">
        <v>726</v>
      </c>
      <c r="E810" t="s">
        <v>333</v>
      </c>
      <c r="F810">
        <v>40</v>
      </c>
      <c r="G810" t="s">
        <v>128</v>
      </c>
      <c r="H810" t="s">
        <v>550</v>
      </c>
      <c r="I810" t="s">
        <v>447</v>
      </c>
      <c r="J810" t="s">
        <v>128</v>
      </c>
      <c r="K810" t="s">
        <v>923</v>
      </c>
      <c r="L810" t="s">
        <v>924</v>
      </c>
      <c r="M810" t="s">
        <v>1460</v>
      </c>
      <c r="N810" t="b">
        <v>0</v>
      </c>
    </row>
    <row r="811" spans="1:14">
      <c r="A811">
        <v>48</v>
      </c>
      <c r="B811">
        <v>9</v>
      </c>
      <c r="C811" t="s">
        <v>278</v>
      </c>
      <c r="D811" t="s">
        <v>726</v>
      </c>
      <c r="E811" t="s">
        <v>74</v>
      </c>
      <c r="F811">
        <v>40</v>
      </c>
      <c r="G811" t="s">
        <v>128</v>
      </c>
      <c r="H811" t="s">
        <v>128</v>
      </c>
      <c r="I811" t="s">
        <v>74</v>
      </c>
      <c r="J811" t="s">
        <v>128</v>
      </c>
      <c r="K811" t="s">
        <v>128</v>
      </c>
      <c r="L811" t="s">
        <v>128</v>
      </c>
      <c r="M811" t="s">
        <v>1461</v>
      </c>
      <c r="N811" t="b">
        <v>0</v>
      </c>
    </row>
    <row r="812" spans="1:14">
      <c r="A812">
        <v>48</v>
      </c>
      <c r="B812">
        <v>10</v>
      </c>
      <c r="C812" t="s">
        <v>195</v>
      </c>
      <c r="D812" t="s">
        <v>726</v>
      </c>
      <c r="E812" t="s">
        <v>78</v>
      </c>
      <c r="F812">
        <v>50</v>
      </c>
      <c r="G812" t="s">
        <v>128</v>
      </c>
      <c r="H812" t="s">
        <v>128</v>
      </c>
      <c r="I812" t="s">
        <v>78</v>
      </c>
      <c r="J812" t="s">
        <v>128</v>
      </c>
      <c r="K812" t="s">
        <v>128</v>
      </c>
      <c r="L812" t="s">
        <v>128</v>
      </c>
      <c r="M812" t="s">
        <v>1462</v>
      </c>
      <c r="N812" t="b">
        <v>0</v>
      </c>
    </row>
    <row r="813" spans="1:14">
      <c r="A813">
        <v>48</v>
      </c>
      <c r="B813">
        <v>11</v>
      </c>
      <c r="C813" t="s">
        <v>179</v>
      </c>
      <c r="D813" t="s">
        <v>726</v>
      </c>
      <c r="E813" t="s">
        <v>100</v>
      </c>
      <c r="F813">
        <v>40</v>
      </c>
      <c r="G813" t="s">
        <v>128</v>
      </c>
      <c r="H813" t="s">
        <v>128</v>
      </c>
      <c r="I813" t="s">
        <v>100</v>
      </c>
      <c r="J813" t="s">
        <v>128</v>
      </c>
      <c r="K813" t="s">
        <v>128</v>
      </c>
      <c r="L813" t="s">
        <v>128</v>
      </c>
      <c r="M813" t="s">
        <v>1463</v>
      </c>
      <c r="N813" t="b">
        <v>0</v>
      </c>
    </row>
    <row r="814" spans="1:14">
      <c r="A814">
        <v>48</v>
      </c>
      <c r="B814">
        <v>12</v>
      </c>
      <c r="C814" t="s">
        <v>234</v>
      </c>
      <c r="D814" t="s">
        <v>726</v>
      </c>
      <c r="E814" t="s">
        <v>108</v>
      </c>
      <c r="F814">
        <v>50</v>
      </c>
      <c r="G814" t="s">
        <v>128</v>
      </c>
      <c r="H814" t="s">
        <v>128</v>
      </c>
      <c r="I814" t="s">
        <v>108</v>
      </c>
      <c r="J814" t="s">
        <v>128</v>
      </c>
      <c r="K814" t="s">
        <v>128</v>
      </c>
      <c r="L814" t="s">
        <v>128</v>
      </c>
      <c r="M814" t="s">
        <v>1464</v>
      </c>
      <c r="N814" t="b">
        <v>0</v>
      </c>
    </row>
    <row r="815" spans="1:14">
      <c r="A815">
        <v>48</v>
      </c>
      <c r="B815">
        <v>13</v>
      </c>
      <c r="C815" t="s">
        <v>128</v>
      </c>
      <c r="D815" t="s">
        <v>726</v>
      </c>
      <c r="E815" t="s">
        <v>128</v>
      </c>
      <c r="F815">
        <v>0</v>
      </c>
      <c r="G815" t="s">
        <v>128</v>
      </c>
      <c r="H815" t="s">
        <v>128</v>
      </c>
      <c r="I815" t="s">
        <v>128</v>
      </c>
      <c r="J815" t="s">
        <v>128</v>
      </c>
      <c r="K815" t="s">
        <v>128</v>
      </c>
      <c r="L815" t="s">
        <v>128</v>
      </c>
      <c r="M815" t="s">
        <v>1465</v>
      </c>
      <c r="N815" t="b">
        <v>0</v>
      </c>
    </row>
    <row r="816" spans="1:14">
      <c r="A816">
        <v>48</v>
      </c>
      <c r="B816">
        <v>14</v>
      </c>
      <c r="C816" t="s">
        <v>128</v>
      </c>
      <c r="D816" t="s">
        <v>726</v>
      </c>
      <c r="E816" t="s">
        <v>128</v>
      </c>
      <c r="F816">
        <v>0</v>
      </c>
      <c r="G816" t="s">
        <v>128</v>
      </c>
      <c r="H816" t="s">
        <v>128</v>
      </c>
      <c r="I816" t="s">
        <v>128</v>
      </c>
      <c r="J816" t="s">
        <v>128</v>
      </c>
      <c r="K816" t="s">
        <v>128</v>
      </c>
      <c r="L816" t="s">
        <v>128</v>
      </c>
      <c r="M816" t="s">
        <v>1466</v>
      </c>
      <c r="N816" t="b">
        <v>0</v>
      </c>
    </row>
    <row r="817" spans="1:14">
      <c r="A817">
        <v>48</v>
      </c>
      <c r="B817">
        <v>15</v>
      </c>
      <c r="C817" t="s">
        <v>128</v>
      </c>
      <c r="D817" t="s">
        <v>726</v>
      </c>
      <c r="E817" t="s">
        <v>128</v>
      </c>
      <c r="F817">
        <v>0</v>
      </c>
      <c r="G817" t="s">
        <v>128</v>
      </c>
      <c r="H817" t="s">
        <v>128</v>
      </c>
      <c r="I817" t="s">
        <v>128</v>
      </c>
      <c r="J817" t="s">
        <v>128</v>
      </c>
      <c r="K817" t="s">
        <v>128</v>
      </c>
      <c r="L817" t="s">
        <v>128</v>
      </c>
      <c r="M817" t="s">
        <v>1467</v>
      </c>
      <c r="N817" t="b">
        <v>0</v>
      </c>
    </row>
    <row r="818" spans="1:14">
      <c r="A818">
        <v>48</v>
      </c>
      <c r="B818">
        <v>16</v>
      </c>
      <c r="C818" t="s">
        <v>350</v>
      </c>
      <c r="D818" t="s">
        <v>743</v>
      </c>
      <c r="E818" t="s">
        <v>545</v>
      </c>
      <c r="F818">
        <v>40</v>
      </c>
      <c r="G818" t="s">
        <v>762</v>
      </c>
      <c r="H818" t="s">
        <v>128</v>
      </c>
      <c r="I818" t="s">
        <v>128</v>
      </c>
      <c r="J818" t="s">
        <v>1104</v>
      </c>
      <c r="K818" t="s">
        <v>1105</v>
      </c>
      <c r="L818" t="s">
        <v>1058</v>
      </c>
      <c r="M818" t="s">
        <v>1468</v>
      </c>
      <c r="N818" t="b">
        <v>0</v>
      </c>
    </row>
    <row r="819" spans="1:14">
      <c r="A819">
        <v>48</v>
      </c>
      <c r="B819">
        <v>17</v>
      </c>
      <c r="C819" t="s">
        <v>351</v>
      </c>
      <c r="D819" t="s">
        <v>743</v>
      </c>
      <c r="E819" t="s">
        <v>87</v>
      </c>
      <c r="F819">
        <v>40</v>
      </c>
      <c r="G819" t="s">
        <v>128</v>
      </c>
      <c r="H819" t="s">
        <v>128</v>
      </c>
      <c r="I819" t="s">
        <v>87</v>
      </c>
      <c r="J819" t="s">
        <v>128</v>
      </c>
      <c r="K819" t="s">
        <v>128</v>
      </c>
      <c r="L819" t="s">
        <v>128</v>
      </c>
      <c r="M819" t="s">
        <v>1469</v>
      </c>
      <c r="N819" t="b">
        <v>0</v>
      </c>
    </row>
    <row r="820" spans="1:14">
      <c r="A820">
        <v>48</v>
      </c>
      <c r="B820">
        <v>18</v>
      </c>
      <c r="C820" t="s">
        <v>352</v>
      </c>
      <c r="D820" t="s">
        <v>743</v>
      </c>
      <c r="E820" t="s">
        <v>546</v>
      </c>
      <c r="F820">
        <v>40</v>
      </c>
      <c r="G820" t="s">
        <v>762</v>
      </c>
      <c r="H820" t="s">
        <v>128</v>
      </c>
      <c r="I820" t="s">
        <v>128</v>
      </c>
      <c r="J820" t="s">
        <v>819</v>
      </c>
      <c r="K820" t="s">
        <v>794</v>
      </c>
      <c r="L820" t="s">
        <v>795</v>
      </c>
      <c r="M820" t="s">
        <v>1470</v>
      </c>
      <c r="N820" t="b">
        <v>0</v>
      </c>
    </row>
    <row r="821" spans="1:14">
      <c r="A821">
        <v>48</v>
      </c>
      <c r="B821">
        <v>19</v>
      </c>
      <c r="C821" t="s">
        <v>353</v>
      </c>
      <c r="D821" t="s">
        <v>743</v>
      </c>
      <c r="E821" t="s">
        <v>299</v>
      </c>
      <c r="F821">
        <v>40</v>
      </c>
      <c r="G821" t="s">
        <v>762</v>
      </c>
      <c r="H821" t="s">
        <v>128</v>
      </c>
      <c r="I821" t="s">
        <v>128</v>
      </c>
      <c r="J821" t="s">
        <v>763</v>
      </c>
      <c r="K821" t="s">
        <v>767</v>
      </c>
      <c r="L821" t="s">
        <v>768</v>
      </c>
      <c r="M821" t="s">
        <v>1471</v>
      </c>
      <c r="N821" t="b">
        <v>0</v>
      </c>
    </row>
    <row r="822" spans="1:14">
      <c r="A822">
        <v>48</v>
      </c>
      <c r="B822">
        <v>20</v>
      </c>
      <c r="C822" t="s">
        <v>128</v>
      </c>
      <c r="D822" t="s">
        <v>743</v>
      </c>
      <c r="E822" t="s">
        <v>128</v>
      </c>
      <c r="F822">
        <v>0</v>
      </c>
      <c r="G822" t="s">
        <v>128</v>
      </c>
      <c r="H822" t="s">
        <v>128</v>
      </c>
      <c r="I822" t="s">
        <v>128</v>
      </c>
      <c r="J822" t="s">
        <v>128</v>
      </c>
      <c r="K822" t="s">
        <v>128</v>
      </c>
      <c r="L822" t="s">
        <v>128</v>
      </c>
      <c r="M822" t="s">
        <v>1472</v>
      </c>
      <c r="N822" t="b">
        <v>0</v>
      </c>
    </row>
    <row r="823" spans="1:14">
      <c r="A823">
        <v>48</v>
      </c>
      <c r="B823">
        <v>21</v>
      </c>
      <c r="C823" t="s">
        <v>128</v>
      </c>
      <c r="D823" t="s">
        <v>743</v>
      </c>
      <c r="E823" t="s">
        <v>128</v>
      </c>
      <c r="F823">
        <v>0</v>
      </c>
      <c r="G823" t="s">
        <v>128</v>
      </c>
      <c r="H823" t="s">
        <v>128</v>
      </c>
      <c r="I823" t="s">
        <v>128</v>
      </c>
      <c r="J823" t="s">
        <v>128</v>
      </c>
      <c r="K823" t="s">
        <v>128</v>
      </c>
      <c r="L823" t="s">
        <v>128</v>
      </c>
      <c r="M823" t="s">
        <v>1473</v>
      </c>
      <c r="N823" t="b">
        <v>0</v>
      </c>
    </row>
    <row r="824" spans="1:14">
      <c r="A824">
        <v>48</v>
      </c>
      <c r="B824">
        <v>22</v>
      </c>
      <c r="C824" t="s">
        <v>128</v>
      </c>
      <c r="D824" t="s">
        <v>743</v>
      </c>
      <c r="E824" t="s">
        <v>128</v>
      </c>
      <c r="F824">
        <v>0</v>
      </c>
      <c r="G824" t="s">
        <v>128</v>
      </c>
      <c r="H824" t="s">
        <v>128</v>
      </c>
      <c r="I824" t="s">
        <v>128</v>
      </c>
      <c r="J824" t="s">
        <v>128</v>
      </c>
      <c r="K824" t="s">
        <v>128</v>
      </c>
      <c r="L824" t="s">
        <v>128</v>
      </c>
      <c r="M824" t="s">
        <v>1474</v>
      </c>
      <c r="N824" t="b">
        <v>0</v>
      </c>
    </row>
    <row r="825" spans="1:14">
      <c r="A825">
        <v>48</v>
      </c>
      <c r="B825">
        <v>23</v>
      </c>
      <c r="C825" t="s">
        <v>128</v>
      </c>
      <c r="D825" t="s">
        <v>743</v>
      </c>
      <c r="E825" t="s">
        <v>128</v>
      </c>
      <c r="F825">
        <v>0</v>
      </c>
      <c r="G825" t="s">
        <v>128</v>
      </c>
      <c r="H825" t="s">
        <v>128</v>
      </c>
      <c r="I825" t="s">
        <v>128</v>
      </c>
      <c r="J825" t="s">
        <v>128</v>
      </c>
      <c r="K825" t="s">
        <v>128</v>
      </c>
      <c r="L825" t="s">
        <v>128</v>
      </c>
      <c r="M825" t="s">
        <v>1475</v>
      </c>
      <c r="N825" t="b">
        <v>0</v>
      </c>
    </row>
    <row r="826" spans="1:14">
      <c r="A826">
        <v>48</v>
      </c>
      <c r="B826">
        <v>24</v>
      </c>
      <c r="C826" t="s">
        <v>128</v>
      </c>
      <c r="D826" t="s">
        <v>743</v>
      </c>
      <c r="E826" t="s">
        <v>128</v>
      </c>
      <c r="F826">
        <v>0</v>
      </c>
      <c r="G826" t="s">
        <v>128</v>
      </c>
      <c r="H826" t="s">
        <v>128</v>
      </c>
      <c r="I826" t="s">
        <v>128</v>
      </c>
      <c r="J826" t="s">
        <v>128</v>
      </c>
      <c r="K826" t="s">
        <v>128</v>
      </c>
      <c r="L826" t="s">
        <v>128</v>
      </c>
      <c r="M826" t="s">
        <v>1476</v>
      </c>
      <c r="N826" t="b">
        <v>0</v>
      </c>
    </row>
    <row r="827" spans="1:14">
      <c r="A827">
        <v>48</v>
      </c>
      <c r="B827">
        <v>25</v>
      </c>
      <c r="C827" t="s">
        <v>128</v>
      </c>
      <c r="D827" t="s">
        <v>743</v>
      </c>
      <c r="E827" t="s">
        <v>128</v>
      </c>
      <c r="F827">
        <v>0</v>
      </c>
      <c r="G827" t="s">
        <v>128</v>
      </c>
      <c r="H827" t="s">
        <v>128</v>
      </c>
      <c r="I827" t="s">
        <v>128</v>
      </c>
      <c r="J827" t="s">
        <v>128</v>
      </c>
      <c r="K827" t="s">
        <v>128</v>
      </c>
      <c r="L827" t="s">
        <v>128</v>
      </c>
      <c r="M827" t="s">
        <v>1477</v>
      </c>
      <c r="N827" t="b">
        <v>0</v>
      </c>
    </row>
    <row r="828" spans="1:14">
      <c r="A828">
        <v>48</v>
      </c>
      <c r="B828">
        <v>26</v>
      </c>
      <c r="C828" t="s">
        <v>128</v>
      </c>
      <c r="D828" t="s">
        <v>743</v>
      </c>
      <c r="E828" t="s">
        <v>128</v>
      </c>
      <c r="F828">
        <v>0</v>
      </c>
      <c r="G828" t="s">
        <v>128</v>
      </c>
      <c r="H828" t="s">
        <v>128</v>
      </c>
      <c r="I828" t="s">
        <v>128</v>
      </c>
      <c r="J828" t="s">
        <v>128</v>
      </c>
      <c r="K828" t="s">
        <v>128</v>
      </c>
      <c r="L828" t="s">
        <v>128</v>
      </c>
      <c r="M828" t="s">
        <v>1478</v>
      </c>
      <c r="N828" t="b">
        <v>0</v>
      </c>
    </row>
    <row r="829" spans="1:14">
      <c r="A829">
        <v>49</v>
      </c>
      <c r="B829">
        <v>0</v>
      </c>
      <c r="C829" t="s">
        <v>218</v>
      </c>
      <c r="D829" t="s">
        <v>726</v>
      </c>
      <c r="E829" t="s">
        <v>65</v>
      </c>
      <c r="F829">
        <v>60</v>
      </c>
      <c r="G829" t="s">
        <v>128</v>
      </c>
      <c r="H829" t="s">
        <v>128</v>
      </c>
      <c r="I829" t="s">
        <v>65</v>
      </c>
      <c r="J829" t="s">
        <v>128</v>
      </c>
      <c r="K829" t="s">
        <v>128</v>
      </c>
      <c r="L829" t="s">
        <v>128</v>
      </c>
      <c r="M829" t="s">
        <v>1479</v>
      </c>
      <c r="N829" t="b">
        <v>0</v>
      </c>
    </row>
    <row r="830" spans="1:14">
      <c r="A830">
        <v>49</v>
      </c>
      <c r="B830">
        <v>1</v>
      </c>
      <c r="C830" t="s">
        <v>228</v>
      </c>
      <c r="D830" t="s">
        <v>726</v>
      </c>
      <c r="E830" t="s">
        <v>77</v>
      </c>
      <c r="F830">
        <v>50</v>
      </c>
      <c r="G830" t="s">
        <v>128</v>
      </c>
      <c r="H830" t="s">
        <v>128</v>
      </c>
      <c r="I830" t="s">
        <v>77</v>
      </c>
      <c r="J830" t="s">
        <v>128</v>
      </c>
      <c r="K830" t="s">
        <v>128</v>
      </c>
      <c r="L830" t="s">
        <v>128</v>
      </c>
      <c r="M830" t="s">
        <v>1480</v>
      </c>
      <c r="N830" t="b">
        <v>0</v>
      </c>
    </row>
    <row r="831" spans="1:14">
      <c r="A831">
        <v>49</v>
      </c>
      <c r="B831">
        <v>2</v>
      </c>
      <c r="C831" t="s">
        <v>270</v>
      </c>
      <c r="D831" t="s">
        <v>726</v>
      </c>
      <c r="E831" t="s">
        <v>83</v>
      </c>
      <c r="F831">
        <v>30</v>
      </c>
      <c r="G831" t="s">
        <v>128</v>
      </c>
      <c r="H831" t="s">
        <v>128</v>
      </c>
      <c r="I831" t="s">
        <v>83</v>
      </c>
      <c r="J831" t="s">
        <v>128</v>
      </c>
      <c r="K831" t="s">
        <v>128</v>
      </c>
      <c r="L831" t="s">
        <v>128</v>
      </c>
      <c r="M831" t="s">
        <v>1481</v>
      </c>
      <c r="N831" t="b">
        <v>0</v>
      </c>
    </row>
    <row r="832" spans="1:14">
      <c r="A832">
        <v>49</v>
      </c>
      <c r="B832">
        <v>3</v>
      </c>
      <c r="C832" t="s">
        <v>240</v>
      </c>
      <c r="D832" t="s">
        <v>726</v>
      </c>
      <c r="E832" t="s">
        <v>546</v>
      </c>
      <c r="F832">
        <v>40</v>
      </c>
      <c r="G832" t="s">
        <v>128</v>
      </c>
      <c r="H832" t="s">
        <v>549</v>
      </c>
      <c r="I832" t="s">
        <v>510</v>
      </c>
      <c r="J832" t="s">
        <v>128</v>
      </c>
      <c r="K832" t="s">
        <v>794</v>
      </c>
      <c r="L832" t="s">
        <v>795</v>
      </c>
      <c r="M832" t="s">
        <v>1482</v>
      </c>
      <c r="N832" t="b">
        <v>0</v>
      </c>
    </row>
    <row r="833" spans="1:14">
      <c r="A833">
        <v>49</v>
      </c>
      <c r="B833">
        <v>4</v>
      </c>
      <c r="C833" t="s">
        <v>241</v>
      </c>
      <c r="D833" t="s">
        <v>726</v>
      </c>
      <c r="E833" t="s">
        <v>546</v>
      </c>
      <c r="F833">
        <v>40</v>
      </c>
      <c r="G833" t="s">
        <v>128</v>
      </c>
      <c r="H833" t="s">
        <v>559</v>
      </c>
      <c r="I833" t="s">
        <v>488</v>
      </c>
      <c r="J833" t="s">
        <v>128</v>
      </c>
      <c r="K833" t="s">
        <v>797</v>
      </c>
      <c r="L833" t="s">
        <v>798</v>
      </c>
      <c r="M833" t="s">
        <v>1483</v>
      </c>
      <c r="N833" t="b">
        <v>0</v>
      </c>
    </row>
    <row r="834" spans="1:14">
      <c r="A834">
        <v>49</v>
      </c>
      <c r="B834">
        <v>5</v>
      </c>
      <c r="C834" t="s">
        <v>231</v>
      </c>
      <c r="D834" t="s">
        <v>726</v>
      </c>
      <c r="E834" t="s">
        <v>101</v>
      </c>
      <c r="F834">
        <v>40</v>
      </c>
      <c r="G834" t="s">
        <v>128</v>
      </c>
      <c r="H834" t="s">
        <v>128</v>
      </c>
      <c r="I834" t="s">
        <v>101</v>
      </c>
      <c r="J834" t="s">
        <v>128</v>
      </c>
      <c r="K834" t="s">
        <v>128</v>
      </c>
      <c r="L834" t="s">
        <v>128</v>
      </c>
      <c r="M834" t="s">
        <v>1484</v>
      </c>
      <c r="N834" t="b">
        <v>0</v>
      </c>
    </row>
    <row r="835" spans="1:14">
      <c r="A835">
        <v>49</v>
      </c>
      <c r="B835">
        <v>6</v>
      </c>
      <c r="C835" t="s">
        <v>200</v>
      </c>
      <c r="D835" t="s">
        <v>726</v>
      </c>
      <c r="E835" t="s">
        <v>113</v>
      </c>
      <c r="F835">
        <v>50</v>
      </c>
      <c r="G835" t="s">
        <v>128</v>
      </c>
      <c r="H835" t="s">
        <v>128</v>
      </c>
      <c r="I835" t="s">
        <v>113</v>
      </c>
      <c r="J835" t="s">
        <v>128</v>
      </c>
      <c r="K835" t="s">
        <v>128</v>
      </c>
      <c r="L835" t="s">
        <v>128</v>
      </c>
      <c r="M835" t="s">
        <v>1485</v>
      </c>
      <c r="N835" t="b">
        <v>0</v>
      </c>
    </row>
    <row r="836" spans="1:14">
      <c r="A836">
        <v>49</v>
      </c>
      <c r="B836">
        <v>7</v>
      </c>
      <c r="C836" t="s">
        <v>355</v>
      </c>
      <c r="D836" t="s">
        <v>726</v>
      </c>
      <c r="E836" t="s">
        <v>333</v>
      </c>
      <c r="F836">
        <v>60</v>
      </c>
      <c r="G836" t="s">
        <v>128</v>
      </c>
      <c r="H836" t="s">
        <v>555</v>
      </c>
      <c r="I836" t="s">
        <v>1486</v>
      </c>
      <c r="J836" t="s">
        <v>128</v>
      </c>
      <c r="K836" t="s">
        <v>923</v>
      </c>
      <c r="L836" t="s">
        <v>924</v>
      </c>
      <c r="M836" t="s">
        <v>1487</v>
      </c>
      <c r="N836" t="b">
        <v>0</v>
      </c>
    </row>
    <row r="837" spans="1:14">
      <c r="A837">
        <v>49</v>
      </c>
      <c r="B837">
        <v>8</v>
      </c>
      <c r="C837" t="s">
        <v>356</v>
      </c>
      <c r="D837" t="s">
        <v>726</v>
      </c>
      <c r="E837" t="s">
        <v>333</v>
      </c>
      <c r="F837">
        <v>20</v>
      </c>
      <c r="G837" t="s">
        <v>128</v>
      </c>
      <c r="H837" t="s">
        <v>550</v>
      </c>
      <c r="I837" t="s">
        <v>447</v>
      </c>
      <c r="J837" t="s">
        <v>128</v>
      </c>
      <c r="K837" t="s">
        <v>1488</v>
      </c>
      <c r="L837" t="s">
        <v>1489</v>
      </c>
      <c r="M837" t="s">
        <v>1490</v>
      </c>
      <c r="N837" t="b">
        <v>0</v>
      </c>
    </row>
    <row r="838" spans="1:14">
      <c r="A838">
        <v>49</v>
      </c>
      <c r="B838">
        <v>9</v>
      </c>
      <c r="C838" t="s">
        <v>357</v>
      </c>
      <c r="D838" t="s">
        <v>726</v>
      </c>
      <c r="E838" t="s">
        <v>74</v>
      </c>
      <c r="F838">
        <v>60</v>
      </c>
      <c r="G838" t="s">
        <v>128</v>
      </c>
      <c r="H838" t="s">
        <v>128</v>
      </c>
      <c r="I838" t="s">
        <v>74</v>
      </c>
      <c r="J838" t="s">
        <v>128</v>
      </c>
      <c r="K838" t="s">
        <v>128</v>
      </c>
      <c r="L838" t="s">
        <v>128</v>
      </c>
      <c r="M838" t="s">
        <v>1491</v>
      </c>
      <c r="N838" t="b">
        <v>0</v>
      </c>
    </row>
    <row r="839" spans="1:14">
      <c r="A839">
        <v>49</v>
      </c>
      <c r="B839">
        <v>10</v>
      </c>
      <c r="C839" t="s">
        <v>358</v>
      </c>
      <c r="D839" t="s">
        <v>726</v>
      </c>
      <c r="E839" t="s">
        <v>360</v>
      </c>
      <c r="F839">
        <v>60</v>
      </c>
      <c r="G839" t="s">
        <v>128</v>
      </c>
      <c r="H839" t="s">
        <v>561</v>
      </c>
      <c r="I839" t="s">
        <v>365</v>
      </c>
      <c r="J839" t="s">
        <v>128</v>
      </c>
      <c r="K839" t="s">
        <v>1166</v>
      </c>
      <c r="L839" t="s">
        <v>1167</v>
      </c>
      <c r="M839" t="s">
        <v>1492</v>
      </c>
      <c r="N839" t="b">
        <v>0</v>
      </c>
    </row>
    <row r="840" spans="1:14">
      <c r="A840">
        <v>49</v>
      </c>
      <c r="B840">
        <v>11</v>
      </c>
      <c r="C840" t="s">
        <v>359</v>
      </c>
      <c r="D840" t="s">
        <v>726</v>
      </c>
      <c r="E840" t="s">
        <v>547</v>
      </c>
      <c r="F840">
        <v>50</v>
      </c>
      <c r="G840" t="s">
        <v>128</v>
      </c>
      <c r="H840" t="s">
        <v>585</v>
      </c>
      <c r="I840" t="s">
        <v>498</v>
      </c>
      <c r="J840" t="s">
        <v>128</v>
      </c>
      <c r="K840" t="s">
        <v>803</v>
      </c>
      <c r="L840" t="s">
        <v>804</v>
      </c>
      <c r="M840" t="s">
        <v>1493</v>
      </c>
      <c r="N840" t="b">
        <v>0</v>
      </c>
    </row>
    <row r="841" spans="1:14">
      <c r="A841">
        <v>49</v>
      </c>
      <c r="B841">
        <v>12</v>
      </c>
      <c r="C841" t="s">
        <v>225</v>
      </c>
      <c r="D841" t="s">
        <v>726</v>
      </c>
      <c r="E841" t="s">
        <v>107</v>
      </c>
      <c r="F841">
        <v>50</v>
      </c>
      <c r="G841" t="s">
        <v>128</v>
      </c>
      <c r="H841" t="s">
        <v>128</v>
      </c>
      <c r="I841" t="s">
        <v>107</v>
      </c>
      <c r="J841" t="s">
        <v>128</v>
      </c>
      <c r="K841" t="s">
        <v>128</v>
      </c>
      <c r="L841" t="s">
        <v>128</v>
      </c>
      <c r="M841" t="s">
        <v>1494</v>
      </c>
      <c r="N841" t="b">
        <v>0</v>
      </c>
    </row>
    <row r="842" spans="1:14">
      <c r="A842">
        <v>49</v>
      </c>
      <c r="B842">
        <v>13</v>
      </c>
      <c r="C842" t="s">
        <v>128</v>
      </c>
      <c r="D842" t="s">
        <v>726</v>
      </c>
      <c r="E842" t="s">
        <v>128</v>
      </c>
      <c r="F842">
        <v>0</v>
      </c>
      <c r="G842" t="s">
        <v>128</v>
      </c>
      <c r="H842" t="s">
        <v>128</v>
      </c>
      <c r="I842" t="s">
        <v>128</v>
      </c>
      <c r="J842" t="s">
        <v>128</v>
      </c>
      <c r="K842" t="s">
        <v>128</v>
      </c>
      <c r="L842" t="s">
        <v>128</v>
      </c>
      <c r="M842" t="s">
        <v>1495</v>
      </c>
      <c r="N842" t="b">
        <v>0</v>
      </c>
    </row>
    <row r="843" spans="1:14">
      <c r="A843">
        <v>49</v>
      </c>
      <c r="B843">
        <v>14</v>
      </c>
      <c r="C843" t="s">
        <v>128</v>
      </c>
      <c r="D843" t="s">
        <v>726</v>
      </c>
      <c r="E843" t="s">
        <v>128</v>
      </c>
      <c r="F843">
        <v>0</v>
      </c>
      <c r="G843" t="s">
        <v>128</v>
      </c>
      <c r="H843" t="s">
        <v>128</v>
      </c>
      <c r="I843" t="s">
        <v>128</v>
      </c>
      <c r="J843" t="s">
        <v>128</v>
      </c>
      <c r="K843" t="s">
        <v>128</v>
      </c>
      <c r="L843" t="s">
        <v>128</v>
      </c>
      <c r="M843" t="s">
        <v>1496</v>
      </c>
      <c r="N843" t="b">
        <v>0</v>
      </c>
    </row>
    <row r="844" spans="1:14">
      <c r="A844">
        <v>49</v>
      </c>
      <c r="B844">
        <v>15</v>
      </c>
      <c r="C844" t="s">
        <v>128</v>
      </c>
      <c r="D844" t="s">
        <v>726</v>
      </c>
      <c r="E844" t="s">
        <v>128</v>
      </c>
      <c r="F844">
        <v>0</v>
      </c>
      <c r="G844" t="s">
        <v>128</v>
      </c>
      <c r="H844" t="s">
        <v>128</v>
      </c>
      <c r="I844" t="s">
        <v>128</v>
      </c>
      <c r="J844" t="s">
        <v>128</v>
      </c>
      <c r="K844" t="s">
        <v>128</v>
      </c>
      <c r="L844" t="s">
        <v>128</v>
      </c>
      <c r="M844" t="s">
        <v>1497</v>
      </c>
      <c r="N844" t="b">
        <v>0</v>
      </c>
    </row>
    <row r="845" spans="1:14">
      <c r="A845">
        <v>49</v>
      </c>
      <c r="B845">
        <v>16</v>
      </c>
      <c r="C845" t="s">
        <v>128</v>
      </c>
      <c r="D845" t="s">
        <v>743</v>
      </c>
      <c r="E845" t="s">
        <v>128</v>
      </c>
      <c r="F845">
        <v>0</v>
      </c>
      <c r="G845" t="s">
        <v>128</v>
      </c>
      <c r="H845" t="s">
        <v>128</v>
      </c>
      <c r="I845" t="s">
        <v>128</v>
      </c>
      <c r="J845" t="s">
        <v>128</v>
      </c>
      <c r="K845" t="s">
        <v>128</v>
      </c>
      <c r="L845" t="s">
        <v>128</v>
      </c>
      <c r="M845" t="s">
        <v>1498</v>
      </c>
      <c r="N845" t="b">
        <v>0</v>
      </c>
    </row>
    <row r="846" spans="1:14">
      <c r="A846">
        <v>49</v>
      </c>
      <c r="B846">
        <v>17</v>
      </c>
      <c r="C846" t="s">
        <v>128</v>
      </c>
      <c r="D846" t="s">
        <v>743</v>
      </c>
      <c r="E846" t="s">
        <v>128</v>
      </c>
      <c r="F846">
        <v>0</v>
      </c>
      <c r="G846" t="s">
        <v>128</v>
      </c>
      <c r="H846" t="s">
        <v>128</v>
      </c>
      <c r="I846" t="s">
        <v>128</v>
      </c>
      <c r="J846" t="s">
        <v>128</v>
      </c>
      <c r="K846" t="s">
        <v>128</v>
      </c>
      <c r="L846" t="s">
        <v>128</v>
      </c>
      <c r="M846" t="s">
        <v>1499</v>
      </c>
      <c r="N846" t="b">
        <v>0</v>
      </c>
    </row>
    <row r="847" spans="1:14">
      <c r="A847">
        <v>49</v>
      </c>
      <c r="B847">
        <v>18</v>
      </c>
      <c r="C847" t="s">
        <v>128</v>
      </c>
      <c r="D847" t="s">
        <v>743</v>
      </c>
      <c r="E847" t="s">
        <v>128</v>
      </c>
      <c r="F847">
        <v>0</v>
      </c>
      <c r="G847" t="s">
        <v>128</v>
      </c>
      <c r="H847" t="s">
        <v>128</v>
      </c>
      <c r="I847" t="s">
        <v>128</v>
      </c>
      <c r="J847" t="s">
        <v>128</v>
      </c>
      <c r="K847" t="s">
        <v>128</v>
      </c>
      <c r="L847" t="s">
        <v>128</v>
      </c>
      <c r="M847" t="s">
        <v>1500</v>
      </c>
      <c r="N847" t="b">
        <v>0</v>
      </c>
    </row>
    <row r="848" spans="1:14">
      <c r="A848">
        <v>49</v>
      </c>
      <c r="B848">
        <v>19</v>
      </c>
      <c r="C848" t="s">
        <v>128</v>
      </c>
      <c r="D848" t="s">
        <v>743</v>
      </c>
      <c r="E848" t="s">
        <v>128</v>
      </c>
      <c r="F848">
        <v>0</v>
      </c>
      <c r="G848" t="s">
        <v>128</v>
      </c>
      <c r="H848" t="s">
        <v>128</v>
      </c>
      <c r="I848" t="s">
        <v>128</v>
      </c>
      <c r="J848" t="s">
        <v>128</v>
      </c>
      <c r="K848" t="s">
        <v>128</v>
      </c>
      <c r="L848" t="s">
        <v>128</v>
      </c>
      <c r="M848" t="s">
        <v>1501</v>
      </c>
      <c r="N848" t="b">
        <v>0</v>
      </c>
    </row>
    <row r="849" spans="1:14">
      <c r="A849">
        <v>49</v>
      </c>
      <c r="B849">
        <v>20</v>
      </c>
      <c r="C849" t="s">
        <v>128</v>
      </c>
      <c r="D849" t="s">
        <v>743</v>
      </c>
      <c r="E849" t="s">
        <v>128</v>
      </c>
      <c r="F849">
        <v>0</v>
      </c>
      <c r="G849" t="s">
        <v>128</v>
      </c>
      <c r="H849" t="s">
        <v>128</v>
      </c>
      <c r="I849" t="s">
        <v>128</v>
      </c>
      <c r="J849" t="s">
        <v>128</v>
      </c>
      <c r="K849" t="s">
        <v>128</v>
      </c>
      <c r="L849" t="s">
        <v>128</v>
      </c>
      <c r="M849" t="s">
        <v>1502</v>
      </c>
      <c r="N849" t="b">
        <v>0</v>
      </c>
    </row>
    <row r="850" spans="1:14">
      <c r="A850">
        <v>49</v>
      </c>
      <c r="B850">
        <v>21</v>
      </c>
      <c r="C850" t="s">
        <v>128</v>
      </c>
      <c r="D850" t="s">
        <v>743</v>
      </c>
      <c r="E850" t="s">
        <v>128</v>
      </c>
      <c r="F850">
        <v>0</v>
      </c>
      <c r="G850" t="s">
        <v>128</v>
      </c>
      <c r="H850" t="s">
        <v>128</v>
      </c>
      <c r="I850" t="s">
        <v>128</v>
      </c>
      <c r="J850" t="s">
        <v>128</v>
      </c>
      <c r="K850" t="s">
        <v>128</v>
      </c>
      <c r="L850" t="s">
        <v>128</v>
      </c>
      <c r="M850" t="s">
        <v>1503</v>
      </c>
      <c r="N850" t="b">
        <v>0</v>
      </c>
    </row>
    <row r="851" spans="1:14">
      <c r="A851">
        <v>49</v>
      </c>
      <c r="B851">
        <v>22</v>
      </c>
      <c r="C851" t="s">
        <v>128</v>
      </c>
      <c r="D851" t="s">
        <v>743</v>
      </c>
      <c r="E851" t="s">
        <v>128</v>
      </c>
      <c r="F851">
        <v>0</v>
      </c>
      <c r="G851" t="s">
        <v>128</v>
      </c>
      <c r="H851" t="s">
        <v>128</v>
      </c>
      <c r="I851" t="s">
        <v>128</v>
      </c>
      <c r="J851" t="s">
        <v>128</v>
      </c>
      <c r="K851" t="s">
        <v>128</v>
      </c>
      <c r="L851" t="s">
        <v>128</v>
      </c>
      <c r="M851" t="s">
        <v>1504</v>
      </c>
      <c r="N851" t="b">
        <v>0</v>
      </c>
    </row>
    <row r="852" spans="1:14">
      <c r="A852">
        <v>49</v>
      </c>
      <c r="B852">
        <v>23</v>
      </c>
      <c r="C852" t="s">
        <v>128</v>
      </c>
      <c r="D852" t="s">
        <v>743</v>
      </c>
      <c r="E852" t="s">
        <v>128</v>
      </c>
      <c r="F852">
        <v>0</v>
      </c>
      <c r="G852" t="s">
        <v>128</v>
      </c>
      <c r="H852" t="s">
        <v>128</v>
      </c>
      <c r="I852" t="s">
        <v>128</v>
      </c>
      <c r="J852" t="s">
        <v>128</v>
      </c>
      <c r="K852" t="s">
        <v>128</v>
      </c>
      <c r="L852" t="s">
        <v>128</v>
      </c>
      <c r="M852" t="s">
        <v>1505</v>
      </c>
      <c r="N852" t="b">
        <v>0</v>
      </c>
    </row>
    <row r="853" spans="1:14">
      <c r="A853">
        <v>49</v>
      </c>
      <c r="B853">
        <v>24</v>
      </c>
      <c r="C853" t="s">
        <v>128</v>
      </c>
      <c r="D853" t="s">
        <v>743</v>
      </c>
      <c r="E853" t="s">
        <v>128</v>
      </c>
      <c r="F853">
        <v>0</v>
      </c>
      <c r="G853" t="s">
        <v>128</v>
      </c>
      <c r="H853" t="s">
        <v>128</v>
      </c>
      <c r="I853" t="s">
        <v>128</v>
      </c>
      <c r="J853" t="s">
        <v>128</v>
      </c>
      <c r="K853" t="s">
        <v>128</v>
      </c>
      <c r="L853" t="s">
        <v>128</v>
      </c>
      <c r="M853" t="s">
        <v>1506</v>
      </c>
      <c r="N853" t="b">
        <v>0</v>
      </c>
    </row>
    <row r="854" spans="1:14">
      <c r="A854">
        <v>49</v>
      </c>
      <c r="B854">
        <v>25</v>
      </c>
      <c r="C854" t="s">
        <v>128</v>
      </c>
      <c r="D854" t="s">
        <v>743</v>
      </c>
      <c r="E854" t="s">
        <v>128</v>
      </c>
      <c r="F854">
        <v>0</v>
      </c>
      <c r="G854" t="s">
        <v>128</v>
      </c>
      <c r="H854" t="s">
        <v>128</v>
      </c>
      <c r="I854" t="s">
        <v>128</v>
      </c>
      <c r="J854" t="s">
        <v>128</v>
      </c>
      <c r="K854" t="s">
        <v>128</v>
      </c>
      <c r="L854" t="s">
        <v>128</v>
      </c>
      <c r="M854" t="s">
        <v>1507</v>
      </c>
      <c r="N854" t="b">
        <v>0</v>
      </c>
    </row>
    <row r="855" spans="1:14">
      <c r="A855">
        <v>49</v>
      </c>
      <c r="B855">
        <v>26</v>
      </c>
      <c r="C855" t="s">
        <v>128</v>
      </c>
      <c r="D855" t="s">
        <v>743</v>
      </c>
      <c r="E855" t="s">
        <v>128</v>
      </c>
      <c r="F855">
        <v>0</v>
      </c>
      <c r="G855" t="s">
        <v>128</v>
      </c>
      <c r="H855" t="s">
        <v>128</v>
      </c>
      <c r="I855" t="s">
        <v>128</v>
      </c>
      <c r="J855" t="s">
        <v>128</v>
      </c>
      <c r="K855" t="s">
        <v>128</v>
      </c>
      <c r="L855" t="s">
        <v>128</v>
      </c>
      <c r="M855" t="s">
        <v>1508</v>
      </c>
      <c r="N855" t="b">
        <v>0</v>
      </c>
    </row>
    <row r="856" spans="1:14">
      <c r="A856">
        <v>50</v>
      </c>
      <c r="B856">
        <v>0</v>
      </c>
      <c r="C856" t="s">
        <v>218</v>
      </c>
      <c r="D856" t="s">
        <v>726</v>
      </c>
      <c r="E856" t="s">
        <v>65</v>
      </c>
      <c r="F856">
        <v>60</v>
      </c>
      <c r="G856" t="s">
        <v>128</v>
      </c>
      <c r="H856" t="s">
        <v>128</v>
      </c>
      <c r="I856" t="s">
        <v>65</v>
      </c>
      <c r="J856" t="s">
        <v>128</v>
      </c>
      <c r="K856" t="s">
        <v>128</v>
      </c>
      <c r="L856" t="s">
        <v>128</v>
      </c>
      <c r="M856" t="s">
        <v>1509</v>
      </c>
      <c r="N856" t="b">
        <v>0</v>
      </c>
    </row>
    <row r="857" spans="1:14">
      <c r="A857">
        <v>50</v>
      </c>
      <c r="B857">
        <v>1</v>
      </c>
      <c r="C857" t="s">
        <v>219</v>
      </c>
      <c r="D857" t="s">
        <v>726</v>
      </c>
      <c r="E857" t="s">
        <v>77</v>
      </c>
      <c r="F857">
        <v>60</v>
      </c>
      <c r="G857" t="s">
        <v>128</v>
      </c>
      <c r="H857" t="s">
        <v>128</v>
      </c>
      <c r="I857" t="s">
        <v>77</v>
      </c>
      <c r="J857" t="s">
        <v>128</v>
      </c>
      <c r="K857" t="s">
        <v>128</v>
      </c>
      <c r="L857" t="s">
        <v>128</v>
      </c>
      <c r="M857" t="s">
        <v>1510</v>
      </c>
      <c r="N857" t="b">
        <v>0</v>
      </c>
    </row>
    <row r="858" spans="1:14">
      <c r="A858">
        <v>50</v>
      </c>
      <c r="B858">
        <v>2</v>
      </c>
      <c r="C858" t="s">
        <v>221</v>
      </c>
      <c r="D858" t="s">
        <v>726</v>
      </c>
      <c r="E858" t="s">
        <v>101</v>
      </c>
      <c r="F858">
        <v>60</v>
      </c>
      <c r="G858" t="s">
        <v>128</v>
      </c>
      <c r="H858" t="s">
        <v>128</v>
      </c>
      <c r="I858" t="s">
        <v>101</v>
      </c>
      <c r="J858" t="s">
        <v>128</v>
      </c>
      <c r="K858" t="s">
        <v>128</v>
      </c>
      <c r="L858" t="s">
        <v>128</v>
      </c>
      <c r="M858" t="s">
        <v>1511</v>
      </c>
      <c r="N858" t="b">
        <v>0</v>
      </c>
    </row>
    <row r="859" spans="1:14">
      <c r="A859">
        <v>50</v>
      </c>
      <c r="B859">
        <v>3</v>
      </c>
      <c r="C859" t="s">
        <v>200</v>
      </c>
      <c r="D859" t="s">
        <v>726</v>
      </c>
      <c r="E859" t="s">
        <v>113</v>
      </c>
      <c r="F859">
        <v>50</v>
      </c>
      <c r="G859" t="s">
        <v>128</v>
      </c>
      <c r="H859" t="s">
        <v>128</v>
      </c>
      <c r="I859" t="s">
        <v>113</v>
      </c>
      <c r="J859" t="s">
        <v>128</v>
      </c>
      <c r="K859" t="s">
        <v>128</v>
      </c>
      <c r="L859" t="s">
        <v>128</v>
      </c>
      <c r="M859" t="s">
        <v>1512</v>
      </c>
      <c r="N859" t="b">
        <v>0</v>
      </c>
    </row>
    <row r="860" spans="1:14">
      <c r="A860">
        <v>50</v>
      </c>
      <c r="B860">
        <v>4</v>
      </c>
      <c r="C860" t="s">
        <v>168</v>
      </c>
      <c r="D860" t="s">
        <v>726</v>
      </c>
      <c r="E860" t="s">
        <v>115</v>
      </c>
      <c r="F860">
        <v>50</v>
      </c>
      <c r="G860" t="s">
        <v>128</v>
      </c>
      <c r="H860" t="s">
        <v>128</v>
      </c>
      <c r="I860" t="s">
        <v>115</v>
      </c>
      <c r="J860" t="s">
        <v>128</v>
      </c>
      <c r="K860" t="s">
        <v>128</v>
      </c>
      <c r="L860" t="s">
        <v>128</v>
      </c>
      <c r="M860" t="s">
        <v>1513</v>
      </c>
      <c r="N860" t="b">
        <v>0</v>
      </c>
    </row>
    <row r="861" spans="1:14">
      <c r="A861">
        <v>50</v>
      </c>
      <c r="B861">
        <v>5</v>
      </c>
      <c r="C861" t="s">
        <v>222</v>
      </c>
      <c r="D861" t="s">
        <v>726</v>
      </c>
      <c r="E861" t="s">
        <v>68</v>
      </c>
      <c r="F861">
        <v>50</v>
      </c>
      <c r="G861" t="s">
        <v>128</v>
      </c>
      <c r="H861" t="s">
        <v>128</v>
      </c>
      <c r="I861" t="s">
        <v>68</v>
      </c>
      <c r="J861" t="s">
        <v>128</v>
      </c>
      <c r="K861" t="s">
        <v>128</v>
      </c>
      <c r="L861" t="s">
        <v>128</v>
      </c>
      <c r="M861" t="s">
        <v>1514</v>
      </c>
      <c r="N861" t="b">
        <v>0</v>
      </c>
    </row>
    <row r="862" spans="1:14">
      <c r="A862">
        <v>50</v>
      </c>
      <c r="B862">
        <v>6</v>
      </c>
      <c r="C862" t="s">
        <v>223</v>
      </c>
      <c r="D862" t="s">
        <v>726</v>
      </c>
      <c r="E862" t="s">
        <v>333</v>
      </c>
      <c r="F862">
        <v>60</v>
      </c>
      <c r="G862" t="s">
        <v>128</v>
      </c>
      <c r="H862" t="s">
        <v>550</v>
      </c>
      <c r="I862" t="s">
        <v>447</v>
      </c>
      <c r="J862" t="s">
        <v>128</v>
      </c>
      <c r="K862" t="s">
        <v>923</v>
      </c>
      <c r="L862" t="s">
        <v>924</v>
      </c>
      <c r="M862" t="s">
        <v>1515</v>
      </c>
      <c r="N862" t="b">
        <v>0</v>
      </c>
    </row>
    <row r="863" spans="1:14">
      <c r="A863">
        <v>50</v>
      </c>
      <c r="B863">
        <v>7</v>
      </c>
      <c r="C863" t="s">
        <v>169</v>
      </c>
      <c r="D863" t="s">
        <v>726</v>
      </c>
      <c r="E863" t="s">
        <v>74</v>
      </c>
      <c r="F863">
        <v>50</v>
      </c>
      <c r="G863" t="s">
        <v>128</v>
      </c>
      <c r="H863" t="s">
        <v>128</v>
      </c>
      <c r="I863" t="s">
        <v>74</v>
      </c>
      <c r="J863" t="s">
        <v>128</v>
      </c>
      <c r="K863" t="s">
        <v>128</v>
      </c>
      <c r="L863" t="s">
        <v>128</v>
      </c>
      <c r="M863" t="s">
        <v>1516</v>
      </c>
      <c r="N863" t="b">
        <v>0</v>
      </c>
    </row>
    <row r="864" spans="1:14">
      <c r="A864">
        <v>50</v>
      </c>
      <c r="B864">
        <v>8</v>
      </c>
      <c r="C864" t="s">
        <v>362</v>
      </c>
      <c r="D864" t="s">
        <v>726</v>
      </c>
      <c r="E864" t="s">
        <v>100</v>
      </c>
      <c r="F864">
        <v>50</v>
      </c>
      <c r="G864" t="s">
        <v>128</v>
      </c>
      <c r="H864" t="s">
        <v>128</v>
      </c>
      <c r="I864" t="s">
        <v>100</v>
      </c>
      <c r="J864" t="s">
        <v>128</v>
      </c>
      <c r="K864" t="s">
        <v>128</v>
      </c>
      <c r="L864" t="s">
        <v>128</v>
      </c>
      <c r="M864" t="s">
        <v>1517</v>
      </c>
      <c r="N864" t="b">
        <v>0</v>
      </c>
    </row>
    <row r="865" spans="1:14">
      <c r="A865">
        <v>50</v>
      </c>
      <c r="B865">
        <v>9</v>
      </c>
      <c r="C865" t="s">
        <v>224</v>
      </c>
      <c r="D865" t="s">
        <v>726</v>
      </c>
      <c r="E865" t="s">
        <v>102</v>
      </c>
      <c r="F865">
        <v>50</v>
      </c>
      <c r="G865" t="s">
        <v>128</v>
      </c>
      <c r="H865" t="s">
        <v>128</v>
      </c>
      <c r="I865" t="s">
        <v>102</v>
      </c>
      <c r="J865" t="s">
        <v>128</v>
      </c>
      <c r="K865" t="s">
        <v>128</v>
      </c>
      <c r="L865" t="s">
        <v>128</v>
      </c>
      <c r="M865" t="s">
        <v>1518</v>
      </c>
      <c r="N865" t="b">
        <v>0</v>
      </c>
    </row>
    <row r="866" spans="1:14">
      <c r="A866">
        <v>50</v>
      </c>
      <c r="B866">
        <v>10</v>
      </c>
      <c r="C866" t="s">
        <v>172</v>
      </c>
      <c r="D866" t="s">
        <v>726</v>
      </c>
      <c r="E866" t="s">
        <v>106</v>
      </c>
      <c r="F866">
        <v>50</v>
      </c>
      <c r="G866" t="s">
        <v>128</v>
      </c>
      <c r="H866" t="s">
        <v>128</v>
      </c>
      <c r="I866" t="s">
        <v>106</v>
      </c>
      <c r="J866" t="s">
        <v>128</v>
      </c>
      <c r="K866" t="s">
        <v>128</v>
      </c>
      <c r="L866" t="s">
        <v>128</v>
      </c>
      <c r="M866" t="s">
        <v>1519</v>
      </c>
      <c r="N866" t="b">
        <v>0</v>
      </c>
    </row>
    <row r="867" spans="1:14">
      <c r="A867">
        <v>50</v>
      </c>
      <c r="B867">
        <v>11</v>
      </c>
      <c r="C867" t="s">
        <v>225</v>
      </c>
      <c r="D867" t="s">
        <v>726</v>
      </c>
      <c r="E867" t="s">
        <v>107</v>
      </c>
      <c r="F867">
        <v>50</v>
      </c>
      <c r="G867" t="s">
        <v>128</v>
      </c>
      <c r="H867" t="s">
        <v>128</v>
      </c>
      <c r="I867" t="s">
        <v>107</v>
      </c>
      <c r="J867" t="s">
        <v>128</v>
      </c>
      <c r="K867" t="s">
        <v>128</v>
      </c>
      <c r="L867" t="s">
        <v>128</v>
      </c>
      <c r="M867" t="s">
        <v>1520</v>
      </c>
      <c r="N867" t="b">
        <v>0</v>
      </c>
    </row>
    <row r="868" spans="1:14">
      <c r="A868">
        <v>50</v>
      </c>
      <c r="B868">
        <v>12</v>
      </c>
      <c r="C868" t="s">
        <v>197</v>
      </c>
      <c r="D868" t="s">
        <v>726</v>
      </c>
      <c r="E868" t="s">
        <v>108</v>
      </c>
      <c r="F868">
        <v>60</v>
      </c>
      <c r="G868" t="s">
        <v>128</v>
      </c>
      <c r="H868" t="s">
        <v>128</v>
      </c>
      <c r="I868" t="s">
        <v>108</v>
      </c>
      <c r="J868" t="s">
        <v>128</v>
      </c>
      <c r="K868" t="s">
        <v>128</v>
      </c>
      <c r="L868" t="s">
        <v>128</v>
      </c>
      <c r="M868" t="s">
        <v>1521</v>
      </c>
      <c r="N868" t="b">
        <v>0</v>
      </c>
    </row>
    <row r="869" spans="1:14">
      <c r="A869">
        <v>50</v>
      </c>
      <c r="B869">
        <v>13</v>
      </c>
      <c r="C869" t="s">
        <v>128</v>
      </c>
      <c r="D869" t="s">
        <v>726</v>
      </c>
      <c r="E869" t="s">
        <v>128</v>
      </c>
      <c r="F869">
        <v>0</v>
      </c>
      <c r="G869" t="s">
        <v>128</v>
      </c>
      <c r="H869" t="s">
        <v>128</v>
      </c>
      <c r="I869" t="s">
        <v>128</v>
      </c>
      <c r="J869" t="s">
        <v>128</v>
      </c>
      <c r="K869" t="s">
        <v>128</v>
      </c>
      <c r="L869" t="s">
        <v>128</v>
      </c>
      <c r="M869" t="s">
        <v>1522</v>
      </c>
      <c r="N869" t="b">
        <v>0</v>
      </c>
    </row>
    <row r="870" spans="1:14">
      <c r="A870">
        <v>50</v>
      </c>
      <c r="B870">
        <v>14</v>
      </c>
      <c r="C870" t="s">
        <v>128</v>
      </c>
      <c r="D870" t="s">
        <v>726</v>
      </c>
      <c r="E870" t="s">
        <v>128</v>
      </c>
      <c r="F870">
        <v>0</v>
      </c>
      <c r="G870" t="s">
        <v>128</v>
      </c>
      <c r="H870" t="s">
        <v>128</v>
      </c>
      <c r="I870" t="s">
        <v>128</v>
      </c>
      <c r="J870" t="s">
        <v>128</v>
      </c>
      <c r="K870" t="s">
        <v>128</v>
      </c>
      <c r="L870" t="s">
        <v>128</v>
      </c>
      <c r="M870" t="s">
        <v>1523</v>
      </c>
      <c r="N870" t="b">
        <v>0</v>
      </c>
    </row>
    <row r="871" spans="1:14">
      <c r="A871">
        <v>50</v>
      </c>
      <c r="B871">
        <v>15</v>
      </c>
      <c r="C871" t="s">
        <v>128</v>
      </c>
      <c r="D871" t="s">
        <v>726</v>
      </c>
      <c r="E871" t="s">
        <v>128</v>
      </c>
      <c r="F871">
        <v>0</v>
      </c>
      <c r="G871" t="s">
        <v>128</v>
      </c>
      <c r="H871" t="s">
        <v>128</v>
      </c>
      <c r="I871" t="s">
        <v>128</v>
      </c>
      <c r="J871" t="s">
        <v>128</v>
      </c>
      <c r="K871" t="s">
        <v>128</v>
      </c>
      <c r="L871" t="s">
        <v>128</v>
      </c>
      <c r="M871" t="s">
        <v>1524</v>
      </c>
      <c r="N871" t="b">
        <v>0</v>
      </c>
    </row>
    <row r="872" spans="1:14">
      <c r="A872">
        <v>50</v>
      </c>
      <c r="B872">
        <v>16</v>
      </c>
      <c r="C872" t="s">
        <v>128</v>
      </c>
      <c r="D872" t="s">
        <v>743</v>
      </c>
      <c r="E872" t="s">
        <v>128</v>
      </c>
      <c r="F872">
        <v>0</v>
      </c>
      <c r="G872" t="s">
        <v>128</v>
      </c>
      <c r="H872" t="s">
        <v>128</v>
      </c>
      <c r="I872" t="s">
        <v>128</v>
      </c>
      <c r="J872" t="s">
        <v>128</v>
      </c>
      <c r="K872" t="s">
        <v>128</v>
      </c>
      <c r="L872" t="s">
        <v>128</v>
      </c>
      <c r="M872" t="s">
        <v>1525</v>
      </c>
      <c r="N872" t="b">
        <v>0</v>
      </c>
    </row>
    <row r="873" spans="1:14">
      <c r="A873">
        <v>50</v>
      </c>
      <c r="B873">
        <v>17</v>
      </c>
      <c r="C873" t="s">
        <v>128</v>
      </c>
      <c r="D873" t="s">
        <v>743</v>
      </c>
      <c r="E873" t="s">
        <v>128</v>
      </c>
      <c r="F873">
        <v>0</v>
      </c>
      <c r="G873" t="s">
        <v>128</v>
      </c>
      <c r="H873" t="s">
        <v>128</v>
      </c>
      <c r="I873" t="s">
        <v>128</v>
      </c>
      <c r="J873" t="s">
        <v>128</v>
      </c>
      <c r="K873" t="s">
        <v>128</v>
      </c>
      <c r="L873" t="s">
        <v>128</v>
      </c>
      <c r="M873" t="s">
        <v>1526</v>
      </c>
      <c r="N873" t="b">
        <v>0</v>
      </c>
    </row>
    <row r="874" spans="1:14">
      <c r="A874">
        <v>50</v>
      </c>
      <c r="B874">
        <v>18</v>
      </c>
      <c r="C874" t="s">
        <v>128</v>
      </c>
      <c r="D874" t="s">
        <v>743</v>
      </c>
      <c r="E874" t="s">
        <v>128</v>
      </c>
      <c r="F874">
        <v>0</v>
      </c>
      <c r="G874" t="s">
        <v>128</v>
      </c>
      <c r="H874" t="s">
        <v>128</v>
      </c>
      <c r="I874" t="s">
        <v>128</v>
      </c>
      <c r="J874" t="s">
        <v>128</v>
      </c>
      <c r="K874" t="s">
        <v>128</v>
      </c>
      <c r="L874" t="s">
        <v>128</v>
      </c>
      <c r="M874" t="s">
        <v>1527</v>
      </c>
      <c r="N874" t="b">
        <v>0</v>
      </c>
    </row>
    <row r="875" spans="1:14">
      <c r="A875">
        <v>50</v>
      </c>
      <c r="B875">
        <v>19</v>
      </c>
      <c r="C875" t="s">
        <v>128</v>
      </c>
      <c r="D875" t="s">
        <v>743</v>
      </c>
      <c r="E875" t="s">
        <v>128</v>
      </c>
      <c r="F875">
        <v>0</v>
      </c>
      <c r="G875" t="s">
        <v>128</v>
      </c>
      <c r="H875" t="s">
        <v>128</v>
      </c>
      <c r="I875" t="s">
        <v>128</v>
      </c>
      <c r="J875" t="s">
        <v>128</v>
      </c>
      <c r="K875" t="s">
        <v>128</v>
      </c>
      <c r="L875" t="s">
        <v>128</v>
      </c>
      <c r="M875" t="s">
        <v>1528</v>
      </c>
      <c r="N875" t="b">
        <v>0</v>
      </c>
    </row>
    <row r="876" spans="1:14">
      <c r="A876">
        <v>50</v>
      </c>
      <c r="B876">
        <v>20</v>
      </c>
      <c r="C876" t="s">
        <v>128</v>
      </c>
      <c r="D876" t="s">
        <v>743</v>
      </c>
      <c r="E876" t="s">
        <v>128</v>
      </c>
      <c r="F876">
        <v>0</v>
      </c>
      <c r="G876" t="s">
        <v>128</v>
      </c>
      <c r="H876" t="s">
        <v>128</v>
      </c>
      <c r="I876" t="s">
        <v>128</v>
      </c>
      <c r="J876" t="s">
        <v>128</v>
      </c>
      <c r="K876" t="s">
        <v>128</v>
      </c>
      <c r="L876" t="s">
        <v>128</v>
      </c>
      <c r="M876" t="s">
        <v>1529</v>
      </c>
      <c r="N876" t="b">
        <v>0</v>
      </c>
    </row>
    <row r="877" spans="1:14">
      <c r="A877">
        <v>50</v>
      </c>
      <c r="B877">
        <v>21</v>
      </c>
      <c r="C877" t="s">
        <v>128</v>
      </c>
      <c r="D877" t="s">
        <v>743</v>
      </c>
      <c r="E877" t="s">
        <v>128</v>
      </c>
      <c r="F877">
        <v>0</v>
      </c>
      <c r="G877" t="s">
        <v>128</v>
      </c>
      <c r="H877" t="s">
        <v>128</v>
      </c>
      <c r="I877" t="s">
        <v>128</v>
      </c>
      <c r="J877" t="s">
        <v>128</v>
      </c>
      <c r="K877" t="s">
        <v>128</v>
      </c>
      <c r="L877" t="s">
        <v>128</v>
      </c>
      <c r="M877" t="s">
        <v>1530</v>
      </c>
      <c r="N877" t="b">
        <v>0</v>
      </c>
    </row>
    <row r="878" spans="1:14">
      <c r="A878">
        <v>50</v>
      </c>
      <c r="B878">
        <v>22</v>
      </c>
      <c r="C878" t="s">
        <v>128</v>
      </c>
      <c r="D878" t="s">
        <v>743</v>
      </c>
      <c r="E878" t="s">
        <v>128</v>
      </c>
      <c r="F878">
        <v>0</v>
      </c>
      <c r="G878" t="s">
        <v>128</v>
      </c>
      <c r="H878" t="s">
        <v>128</v>
      </c>
      <c r="I878" t="s">
        <v>128</v>
      </c>
      <c r="J878" t="s">
        <v>128</v>
      </c>
      <c r="K878" t="s">
        <v>128</v>
      </c>
      <c r="L878" t="s">
        <v>128</v>
      </c>
      <c r="M878" t="s">
        <v>1531</v>
      </c>
      <c r="N878" t="b">
        <v>0</v>
      </c>
    </row>
    <row r="879" spans="1:14">
      <c r="A879">
        <v>50</v>
      </c>
      <c r="B879">
        <v>23</v>
      </c>
      <c r="C879" t="s">
        <v>128</v>
      </c>
      <c r="D879" t="s">
        <v>743</v>
      </c>
      <c r="E879" t="s">
        <v>128</v>
      </c>
      <c r="F879">
        <v>0</v>
      </c>
      <c r="G879" t="s">
        <v>128</v>
      </c>
      <c r="H879" t="s">
        <v>128</v>
      </c>
      <c r="I879" t="s">
        <v>128</v>
      </c>
      <c r="J879" t="s">
        <v>128</v>
      </c>
      <c r="K879" t="s">
        <v>128</v>
      </c>
      <c r="L879" t="s">
        <v>128</v>
      </c>
      <c r="M879" t="s">
        <v>1532</v>
      </c>
      <c r="N879" t="b">
        <v>0</v>
      </c>
    </row>
    <row r="880" spans="1:14">
      <c r="A880">
        <v>50</v>
      </c>
      <c r="B880">
        <v>24</v>
      </c>
      <c r="C880" t="s">
        <v>128</v>
      </c>
      <c r="D880" t="s">
        <v>743</v>
      </c>
      <c r="E880" t="s">
        <v>128</v>
      </c>
      <c r="F880">
        <v>0</v>
      </c>
      <c r="G880" t="s">
        <v>128</v>
      </c>
      <c r="H880" t="s">
        <v>128</v>
      </c>
      <c r="I880" t="s">
        <v>128</v>
      </c>
      <c r="J880" t="s">
        <v>128</v>
      </c>
      <c r="K880" t="s">
        <v>128</v>
      </c>
      <c r="L880" t="s">
        <v>128</v>
      </c>
      <c r="M880" t="s">
        <v>1533</v>
      </c>
      <c r="N880" t="b">
        <v>0</v>
      </c>
    </row>
    <row r="881" spans="1:14">
      <c r="A881">
        <v>50</v>
      </c>
      <c r="B881">
        <v>25</v>
      </c>
      <c r="C881" t="s">
        <v>128</v>
      </c>
      <c r="D881" t="s">
        <v>743</v>
      </c>
      <c r="E881" t="s">
        <v>128</v>
      </c>
      <c r="F881">
        <v>0</v>
      </c>
      <c r="G881" t="s">
        <v>128</v>
      </c>
      <c r="H881" t="s">
        <v>128</v>
      </c>
      <c r="I881" t="s">
        <v>128</v>
      </c>
      <c r="J881" t="s">
        <v>128</v>
      </c>
      <c r="K881" t="s">
        <v>128</v>
      </c>
      <c r="L881" t="s">
        <v>128</v>
      </c>
      <c r="M881" t="s">
        <v>1534</v>
      </c>
      <c r="N881" t="b">
        <v>0</v>
      </c>
    </row>
    <row r="882" spans="1:14">
      <c r="A882">
        <v>50</v>
      </c>
      <c r="B882">
        <v>26</v>
      </c>
      <c r="C882" t="s">
        <v>128</v>
      </c>
      <c r="D882" t="s">
        <v>743</v>
      </c>
      <c r="E882" t="s">
        <v>128</v>
      </c>
      <c r="F882">
        <v>0</v>
      </c>
      <c r="G882" t="s">
        <v>128</v>
      </c>
      <c r="H882" t="s">
        <v>128</v>
      </c>
      <c r="I882" t="s">
        <v>128</v>
      </c>
      <c r="J882" t="s">
        <v>128</v>
      </c>
      <c r="K882" t="s">
        <v>128</v>
      </c>
      <c r="L882" t="s">
        <v>128</v>
      </c>
      <c r="M882" t="s">
        <v>1535</v>
      </c>
      <c r="N882" t="b">
        <v>0</v>
      </c>
    </row>
    <row r="883" spans="1:14">
      <c r="A883">
        <v>57</v>
      </c>
      <c r="B883">
        <v>0</v>
      </c>
      <c r="C883" t="s">
        <v>218</v>
      </c>
      <c r="D883" t="s">
        <v>726</v>
      </c>
      <c r="E883" t="s">
        <v>65</v>
      </c>
      <c r="F883">
        <v>60</v>
      </c>
      <c r="G883" t="s">
        <v>128</v>
      </c>
      <c r="H883" t="s">
        <v>128</v>
      </c>
      <c r="I883" t="s">
        <v>65</v>
      </c>
      <c r="J883" t="s">
        <v>128</v>
      </c>
      <c r="K883" t="s">
        <v>128</v>
      </c>
      <c r="L883" t="s">
        <v>128</v>
      </c>
      <c r="M883" t="s">
        <v>1536</v>
      </c>
      <c r="N883" t="b">
        <v>0</v>
      </c>
    </row>
    <row r="884" spans="1:14">
      <c r="A884">
        <v>57</v>
      </c>
      <c r="B884">
        <v>1</v>
      </c>
      <c r="C884" t="s">
        <v>219</v>
      </c>
      <c r="D884" t="s">
        <v>726</v>
      </c>
      <c r="E884" t="s">
        <v>77</v>
      </c>
      <c r="F884">
        <v>60</v>
      </c>
      <c r="G884" t="s">
        <v>128</v>
      </c>
      <c r="H884" t="s">
        <v>128</v>
      </c>
      <c r="I884" t="s">
        <v>77</v>
      </c>
      <c r="J884" t="s">
        <v>128</v>
      </c>
      <c r="K884" t="s">
        <v>128</v>
      </c>
      <c r="L884" t="s">
        <v>128</v>
      </c>
      <c r="M884" t="s">
        <v>1537</v>
      </c>
      <c r="N884" t="b">
        <v>0</v>
      </c>
    </row>
    <row r="885" spans="1:14">
      <c r="A885">
        <v>57</v>
      </c>
      <c r="B885">
        <v>2</v>
      </c>
      <c r="C885" t="s">
        <v>220</v>
      </c>
      <c r="D885" t="s">
        <v>726</v>
      </c>
      <c r="E885" t="s">
        <v>95</v>
      </c>
      <c r="F885">
        <v>40</v>
      </c>
      <c r="G885" t="s">
        <v>128</v>
      </c>
      <c r="H885" t="s">
        <v>128</v>
      </c>
      <c r="I885" t="s">
        <v>95</v>
      </c>
      <c r="J885" t="s">
        <v>128</v>
      </c>
      <c r="K885" t="s">
        <v>128</v>
      </c>
      <c r="L885" t="s">
        <v>128</v>
      </c>
      <c r="M885" t="s">
        <v>1538</v>
      </c>
      <c r="N885" t="b">
        <v>0</v>
      </c>
    </row>
    <row r="886" spans="1:14">
      <c r="A886">
        <v>57</v>
      </c>
      <c r="B886">
        <v>3</v>
      </c>
      <c r="C886" t="s">
        <v>221</v>
      </c>
      <c r="D886" t="s">
        <v>726</v>
      </c>
      <c r="E886" t="s">
        <v>101</v>
      </c>
      <c r="F886">
        <v>60</v>
      </c>
      <c r="G886" t="s">
        <v>128</v>
      </c>
      <c r="H886" t="s">
        <v>128</v>
      </c>
      <c r="I886" t="s">
        <v>101</v>
      </c>
      <c r="J886" t="s">
        <v>128</v>
      </c>
      <c r="K886" t="s">
        <v>128</v>
      </c>
      <c r="L886" t="s">
        <v>128</v>
      </c>
      <c r="M886" t="s">
        <v>1539</v>
      </c>
      <c r="N886" t="b">
        <v>0</v>
      </c>
    </row>
    <row r="887" spans="1:14">
      <c r="A887">
        <v>57</v>
      </c>
      <c r="B887">
        <v>4</v>
      </c>
      <c r="C887" t="s">
        <v>200</v>
      </c>
      <c r="D887" t="s">
        <v>726</v>
      </c>
      <c r="E887" t="s">
        <v>113</v>
      </c>
      <c r="F887">
        <v>50</v>
      </c>
      <c r="G887" t="s">
        <v>128</v>
      </c>
      <c r="H887" t="s">
        <v>128</v>
      </c>
      <c r="I887" t="s">
        <v>113</v>
      </c>
      <c r="J887" t="s">
        <v>128</v>
      </c>
      <c r="K887" t="s">
        <v>128</v>
      </c>
      <c r="L887" t="s">
        <v>128</v>
      </c>
      <c r="M887" t="s">
        <v>1540</v>
      </c>
      <c r="N887" t="b">
        <v>0</v>
      </c>
    </row>
    <row r="888" spans="1:14">
      <c r="A888">
        <v>57</v>
      </c>
      <c r="B888">
        <v>5</v>
      </c>
      <c r="C888" t="s">
        <v>222</v>
      </c>
      <c r="D888" t="s">
        <v>726</v>
      </c>
      <c r="E888" t="s">
        <v>68</v>
      </c>
      <c r="F888">
        <v>50</v>
      </c>
      <c r="G888" t="s">
        <v>128</v>
      </c>
      <c r="H888" t="s">
        <v>128</v>
      </c>
      <c r="I888" t="s">
        <v>68</v>
      </c>
      <c r="J888" t="s">
        <v>128</v>
      </c>
      <c r="K888" t="s">
        <v>128</v>
      </c>
      <c r="L888" t="s">
        <v>128</v>
      </c>
      <c r="M888" t="s">
        <v>1541</v>
      </c>
      <c r="N888" t="b">
        <v>0</v>
      </c>
    </row>
    <row r="889" spans="1:14">
      <c r="A889">
        <v>57</v>
      </c>
      <c r="B889">
        <v>6</v>
      </c>
      <c r="C889" t="s">
        <v>223</v>
      </c>
      <c r="D889" t="s">
        <v>726</v>
      </c>
      <c r="E889" t="s">
        <v>333</v>
      </c>
      <c r="F889">
        <v>60</v>
      </c>
      <c r="G889" t="s">
        <v>128</v>
      </c>
      <c r="H889" t="s">
        <v>550</v>
      </c>
      <c r="I889" t="s">
        <v>447</v>
      </c>
      <c r="J889" t="s">
        <v>128</v>
      </c>
      <c r="K889" t="s">
        <v>923</v>
      </c>
      <c r="L889" t="s">
        <v>924</v>
      </c>
      <c r="M889" t="s">
        <v>1542</v>
      </c>
      <c r="N889" t="b">
        <v>0</v>
      </c>
    </row>
    <row r="890" spans="1:14">
      <c r="A890">
        <v>57</v>
      </c>
      <c r="B890">
        <v>7</v>
      </c>
      <c r="C890" t="s">
        <v>169</v>
      </c>
      <c r="D890" t="s">
        <v>726</v>
      </c>
      <c r="E890" t="s">
        <v>74</v>
      </c>
      <c r="F890">
        <v>50</v>
      </c>
      <c r="G890" t="s">
        <v>128</v>
      </c>
      <c r="H890" t="s">
        <v>128</v>
      </c>
      <c r="I890" t="s">
        <v>74</v>
      </c>
      <c r="J890" t="s">
        <v>128</v>
      </c>
      <c r="K890" t="s">
        <v>128</v>
      </c>
      <c r="L890" t="s">
        <v>128</v>
      </c>
      <c r="M890" t="s">
        <v>1543</v>
      </c>
      <c r="N890" t="b">
        <v>0</v>
      </c>
    </row>
    <row r="891" spans="1:14">
      <c r="A891">
        <v>57</v>
      </c>
      <c r="B891">
        <v>8</v>
      </c>
      <c r="C891" t="s">
        <v>224</v>
      </c>
      <c r="D891" t="s">
        <v>726</v>
      </c>
      <c r="E891" t="s">
        <v>102</v>
      </c>
      <c r="F891">
        <v>50</v>
      </c>
      <c r="G891" t="s">
        <v>128</v>
      </c>
      <c r="H891" t="s">
        <v>128</v>
      </c>
      <c r="I891" t="s">
        <v>102</v>
      </c>
      <c r="J891" t="s">
        <v>128</v>
      </c>
      <c r="K891" t="s">
        <v>128</v>
      </c>
      <c r="L891" t="s">
        <v>128</v>
      </c>
      <c r="M891" t="s">
        <v>1544</v>
      </c>
      <c r="N891" t="b">
        <v>0</v>
      </c>
    </row>
    <row r="892" spans="1:14">
      <c r="A892">
        <v>57</v>
      </c>
      <c r="B892">
        <v>9</v>
      </c>
      <c r="C892" t="s">
        <v>172</v>
      </c>
      <c r="D892" t="s">
        <v>726</v>
      </c>
      <c r="E892" t="s">
        <v>106</v>
      </c>
      <c r="F892">
        <v>50</v>
      </c>
      <c r="G892" t="s">
        <v>128</v>
      </c>
      <c r="H892" t="s">
        <v>128</v>
      </c>
      <c r="I892" t="s">
        <v>106</v>
      </c>
      <c r="J892" t="s">
        <v>128</v>
      </c>
      <c r="K892" t="s">
        <v>128</v>
      </c>
      <c r="L892" t="s">
        <v>128</v>
      </c>
      <c r="M892" t="s">
        <v>1545</v>
      </c>
      <c r="N892" t="b">
        <v>0</v>
      </c>
    </row>
    <row r="893" spans="1:14">
      <c r="A893">
        <v>57</v>
      </c>
      <c r="B893">
        <v>10</v>
      </c>
      <c r="C893" t="s">
        <v>225</v>
      </c>
      <c r="D893" t="s">
        <v>726</v>
      </c>
      <c r="E893" t="s">
        <v>107</v>
      </c>
      <c r="F893">
        <v>50</v>
      </c>
      <c r="G893" t="s">
        <v>128</v>
      </c>
      <c r="H893" t="s">
        <v>128</v>
      </c>
      <c r="I893" t="s">
        <v>107</v>
      </c>
      <c r="J893" t="s">
        <v>128</v>
      </c>
      <c r="K893" t="s">
        <v>128</v>
      </c>
      <c r="L893" t="s">
        <v>128</v>
      </c>
      <c r="M893" t="s">
        <v>1546</v>
      </c>
      <c r="N893" t="b">
        <v>0</v>
      </c>
    </row>
    <row r="894" spans="1:14">
      <c r="A894">
        <v>57</v>
      </c>
      <c r="B894">
        <v>11</v>
      </c>
      <c r="C894" t="s">
        <v>197</v>
      </c>
      <c r="D894" t="s">
        <v>726</v>
      </c>
      <c r="E894" t="s">
        <v>108</v>
      </c>
      <c r="F894">
        <v>60</v>
      </c>
      <c r="G894" t="s">
        <v>128</v>
      </c>
      <c r="H894" t="s">
        <v>128</v>
      </c>
      <c r="I894" t="s">
        <v>108</v>
      </c>
      <c r="J894" t="s">
        <v>128</v>
      </c>
      <c r="K894" t="s">
        <v>128</v>
      </c>
      <c r="L894" t="s">
        <v>128</v>
      </c>
      <c r="M894" t="s">
        <v>1547</v>
      </c>
      <c r="N894" t="b">
        <v>0</v>
      </c>
    </row>
    <row r="895" spans="1:14">
      <c r="A895">
        <v>57</v>
      </c>
      <c r="B895">
        <v>12</v>
      </c>
      <c r="C895" t="s">
        <v>128</v>
      </c>
      <c r="D895" t="s">
        <v>726</v>
      </c>
      <c r="E895" t="s">
        <v>128</v>
      </c>
      <c r="F895">
        <v>0</v>
      </c>
      <c r="G895" t="s">
        <v>128</v>
      </c>
      <c r="H895" t="s">
        <v>128</v>
      </c>
      <c r="I895" t="s">
        <v>128</v>
      </c>
      <c r="J895" t="s">
        <v>128</v>
      </c>
      <c r="K895" t="s">
        <v>128</v>
      </c>
      <c r="L895" t="s">
        <v>128</v>
      </c>
      <c r="M895" t="s">
        <v>1548</v>
      </c>
      <c r="N895" t="b">
        <v>0</v>
      </c>
    </row>
    <row r="896" spans="1:14">
      <c r="A896">
        <v>57</v>
      </c>
      <c r="B896">
        <v>13</v>
      </c>
      <c r="C896" t="s">
        <v>128</v>
      </c>
      <c r="D896" t="s">
        <v>726</v>
      </c>
      <c r="E896" t="s">
        <v>128</v>
      </c>
      <c r="F896">
        <v>0</v>
      </c>
      <c r="G896" t="s">
        <v>128</v>
      </c>
      <c r="H896" t="s">
        <v>128</v>
      </c>
      <c r="I896" t="s">
        <v>128</v>
      </c>
      <c r="J896" t="s">
        <v>128</v>
      </c>
      <c r="K896" t="s">
        <v>128</v>
      </c>
      <c r="L896" t="s">
        <v>128</v>
      </c>
      <c r="M896" t="s">
        <v>1549</v>
      </c>
      <c r="N896" t="b">
        <v>0</v>
      </c>
    </row>
    <row r="897" spans="1:14">
      <c r="A897">
        <v>57</v>
      </c>
      <c r="B897">
        <v>14</v>
      </c>
      <c r="C897" t="s">
        <v>128</v>
      </c>
      <c r="D897" t="s">
        <v>726</v>
      </c>
      <c r="E897" t="s">
        <v>128</v>
      </c>
      <c r="F897">
        <v>0</v>
      </c>
      <c r="G897" t="s">
        <v>128</v>
      </c>
      <c r="H897" t="s">
        <v>128</v>
      </c>
      <c r="I897" t="s">
        <v>128</v>
      </c>
      <c r="J897" t="s">
        <v>128</v>
      </c>
      <c r="K897" t="s">
        <v>128</v>
      </c>
      <c r="L897" t="s">
        <v>128</v>
      </c>
      <c r="M897" t="s">
        <v>1550</v>
      </c>
      <c r="N897" t="b">
        <v>0</v>
      </c>
    </row>
    <row r="898" spans="1:14">
      <c r="A898">
        <v>57</v>
      </c>
      <c r="B898">
        <v>15</v>
      </c>
      <c r="C898" t="s">
        <v>128</v>
      </c>
      <c r="D898" t="s">
        <v>726</v>
      </c>
      <c r="E898" t="s">
        <v>128</v>
      </c>
      <c r="F898">
        <v>0</v>
      </c>
      <c r="G898" t="s">
        <v>128</v>
      </c>
      <c r="H898" t="s">
        <v>128</v>
      </c>
      <c r="I898" t="s">
        <v>128</v>
      </c>
      <c r="J898" t="s">
        <v>128</v>
      </c>
      <c r="K898" t="s">
        <v>128</v>
      </c>
      <c r="L898" t="s">
        <v>128</v>
      </c>
      <c r="M898" t="s">
        <v>1551</v>
      </c>
      <c r="N898" t="b">
        <v>0</v>
      </c>
    </row>
    <row r="899" spans="1:14">
      <c r="A899">
        <v>57</v>
      </c>
      <c r="B899">
        <v>16</v>
      </c>
      <c r="C899" t="s">
        <v>204</v>
      </c>
      <c r="D899" t="s">
        <v>743</v>
      </c>
      <c r="E899" t="s">
        <v>103</v>
      </c>
      <c r="F899">
        <v>60</v>
      </c>
      <c r="G899" t="s">
        <v>128</v>
      </c>
      <c r="H899" t="s">
        <v>128</v>
      </c>
      <c r="I899" t="s">
        <v>103</v>
      </c>
      <c r="J899" t="s">
        <v>128</v>
      </c>
      <c r="K899" t="s">
        <v>128</v>
      </c>
      <c r="L899" t="s">
        <v>128</v>
      </c>
      <c r="M899" t="s">
        <v>1552</v>
      </c>
      <c r="N899" t="b">
        <v>0</v>
      </c>
    </row>
    <row r="900" spans="1:14">
      <c r="A900">
        <v>57</v>
      </c>
      <c r="B900">
        <v>17</v>
      </c>
      <c r="C900" t="s">
        <v>362</v>
      </c>
      <c r="D900" t="s">
        <v>743</v>
      </c>
      <c r="E900" t="s">
        <v>100</v>
      </c>
      <c r="F900">
        <v>50</v>
      </c>
      <c r="G900" t="s">
        <v>128</v>
      </c>
      <c r="H900" t="s">
        <v>128</v>
      </c>
      <c r="I900" t="s">
        <v>100</v>
      </c>
      <c r="J900" t="s">
        <v>128</v>
      </c>
      <c r="K900" t="s">
        <v>128</v>
      </c>
      <c r="L900" t="s">
        <v>128</v>
      </c>
      <c r="M900" t="s">
        <v>1553</v>
      </c>
      <c r="N900" t="b">
        <v>0</v>
      </c>
    </row>
    <row r="901" spans="1:14">
      <c r="A901">
        <v>57</v>
      </c>
      <c r="B901">
        <v>18</v>
      </c>
      <c r="C901" t="s">
        <v>128</v>
      </c>
      <c r="D901" t="s">
        <v>743</v>
      </c>
      <c r="E901" t="s">
        <v>128</v>
      </c>
      <c r="F901">
        <v>0</v>
      </c>
      <c r="G901" t="s">
        <v>128</v>
      </c>
      <c r="H901" t="s">
        <v>128</v>
      </c>
      <c r="I901" t="s">
        <v>128</v>
      </c>
      <c r="J901" t="s">
        <v>128</v>
      </c>
      <c r="K901" t="s">
        <v>128</v>
      </c>
      <c r="L901" t="s">
        <v>128</v>
      </c>
      <c r="M901" t="s">
        <v>1554</v>
      </c>
      <c r="N901" t="b">
        <v>0</v>
      </c>
    </row>
    <row r="902" spans="1:14">
      <c r="A902">
        <v>57</v>
      </c>
      <c r="B902">
        <v>19</v>
      </c>
      <c r="C902" t="s">
        <v>128</v>
      </c>
      <c r="D902" t="s">
        <v>743</v>
      </c>
      <c r="E902" t="s">
        <v>128</v>
      </c>
      <c r="F902">
        <v>0</v>
      </c>
      <c r="G902" t="s">
        <v>128</v>
      </c>
      <c r="H902" t="s">
        <v>128</v>
      </c>
      <c r="I902" t="s">
        <v>128</v>
      </c>
      <c r="J902" t="s">
        <v>128</v>
      </c>
      <c r="K902" t="s">
        <v>128</v>
      </c>
      <c r="L902" t="s">
        <v>128</v>
      </c>
      <c r="M902" t="s">
        <v>1555</v>
      </c>
      <c r="N902" t="b">
        <v>0</v>
      </c>
    </row>
    <row r="903" spans="1:14">
      <c r="A903">
        <v>57</v>
      </c>
      <c r="B903">
        <v>20</v>
      </c>
      <c r="C903" t="s">
        <v>128</v>
      </c>
      <c r="D903" t="s">
        <v>743</v>
      </c>
      <c r="E903" t="s">
        <v>128</v>
      </c>
      <c r="F903">
        <v>0</v>
      </c>
      <c r="G903" t="s">
        <v>128</v>
      </c>
      <c r="H903" t="s">
        <v>128</v>
      </c>
      <c r="I903" t="s">
        <v>128</v>
      </c>
      <c r="J903" t="s">
        <v>128</v>
      </c>
      <c r="K903" t="s">
        <v>128</v>
      </c>
      <c r="L903" t="s">
        <v>128</v>
      </c>
      <c r="M903" t="s">
        <v>1556</v>
      </c>
      <c r="N903" t="b">
        <v>0</v>
      </c>
    </row>
    <row r="904" spans="1:14">
      <c r="A904">
        <v>57</v>
      </c>
      <c r="B904">
        <v>21</v>
      </c>
      <c r="C904" t="s">
        <v>128</v>
      </c>
      <c r="D904" t="s">
        <v>743</v>
      </c>
      <c r="E904" t="s">
        <v>128</v>
      </c>
      <c r="F904">
        <v>0</v>
      </c>
      <c r="G904" t="s">
        <v>128</v>
      </c>
      <c r="H904" t="s">
        <v>128</v>
      </c>
      <c r="I904" t="s">
        <v>128</v>
      </c>
      <c r="J904" t="s">
        <v>128</v>
      </c>
      <c r="K904" t="s">
        <v>128</v>
      </c>
      <c r="L904" t="s">
        <v>128</v>
      </c>
      <c r="M904" t="s">
        <v>1557</v>
      </c>
      <c r="N904" t="b">
        <v>0</v>
      </c>
    </row>
    <row r="905" spans="1:14">
      <c r="A905">
        <v>57</v>
      </c>
      <c r="B905">
        <v>22</v>
      </c>
      <c r="C905" t="s">
        <v>128</v>
      </c>
      <c r="D905" t="s">
        <v>743</v>
      </c>
      <c r="E905" t="s">
        <v>128</v>
      </c>
      <c r="F905">
        <v>0</v>
      </c>
      <c r="G905" t="s">
        <v>128</v>
      </c>
      <c r="H905" t="s">
        <v>128</v>
      </c>
      <c r="I905" t="s">
        <v>128</v>
      </c>
      <c r="J905" t="s">
        <v>128</v>
      </c>
      <c r="K905" t="s">
        <v>128</v>
      </c>
      <c r="L905" t="s">
        <v>128</v>
      </c>
      <c r="M905" t="s">
        <v>1558</v>
      </c>
      <c r="N905" t="b">
        <v>0</v>
      </c>
    </row>
    <row r="906" spans="1:14">
      <c r="A906">
        <v>57</v>
      </c>
      <c r="B906">
        <v>23</v>
      </c>
      <c r="C906" t="s">
        <v>128</v>
      </c>
      <c r="D906" t="s">
        <v>743</v>
      </c>
      <c r="E906" t="s">
        <v>128</v>
      </c>
      <c r="F906">
        <v>0</v>
      </c>
      <c r="G906" t="s">
        <v>128</v>
      </c>
      <c r="H906" t="s">
        <v>128</v>
      </c>
      <c r="I906" t="s">
        <v>128</v>
      </c>
      <c r="J906" t="s">
        <v>128</v>
      </c>
      <c r="K906" t="s">
        <v>128</v>
      </c>
      <c r="L906" t="s">
        <v>128</v>
      </c>
      <c r="M906" t="s">
        <v>1559</v>
      </c>
      <c r="N906" t="b">
        <v>0</v>
      </c>
    </row>
    <row r="907" spans="1:14">
      <c r="A907">
        <v>57</v>
      </c>
      <c r="B907">
        <v>24</v>
      </c>
      <c r="C907" t="s">
        <v>128</v>
      </c>
      <c r="D907" t="s">
        <v>743</v>
      </c>
      <c r="E907" t="s">
        <v>128</v>
      </c>
      <c r="F907">
        <v>0</v>
      </c>
      <c r="G907" t="s">
        <v>128</v>
      </c>
      <c r="H907" t="s">
        <v>128</v>
      </c>
      <c r="I907" t="s">
        <v>128</v>
      </c>
      <c r="J907" t="s">
        <v>128</v>
      </c>
      <c r="K907" t="s">
        <v>128</v>
      </c>
      <c r="L907" t="s">
        <v>128</v>
      </c>
      <c r="M907" t="s">
        <v>1560</v>
      </c>
      <c r="N907" t="b">
        <v>0</v>
      </c>
    </row>
    <row r="908" spans="1:14">
      <c r="A908">
        <v>57</v>
      </c>
      <c r="B908">
        <v>25</v>
      </c>
      <c r="C908" t="s">
        <v>128</v>
      </c>
      <c r="D908" t="s">
        <v>743</v>
      </c>
      <c r="E908" t="s">
        <v>128</v>
      </c>
      <c r="F908">
        <v>0</v>
      </c>
      <c r="G908" t="s">
        <v>128</v>
      </c>
      <c r="H908" t="s">
        <v>128</v>
      </c>
      <c r="I908" t="s">
        <v>128</v>
      </c>
      <c r="J908" t="s">
        <v>128</v>
      </c>
      <c r="K908" t="s">
        <v>128</v>
      </c>
      <c r="L908" t="s">
        <v>128</v>
      </c>
      <c r="M908" t="s">
        <v>1561</v>
      </c>
      <c r="N908" t="b">
        <v>0</v>
      </c>
    </row>
    <row r="909" spans="1:14">
      <c r="A909">
        <v>57</v>
      </c>
      <c r="B909">
        <v>26</v>
      </c>
      <c r="C909" t="s">
        <v>128</v>
      </c>
      <c r="D909" t="s">
        <v>743</v>
      </c>
      <c r="E909" t="s">
        <v>128</v>
      </c>
      <c r="F909">
        <v>0</v>
      </c>
      <c r="G909" t="s">
        <v>128</v>
      </c>
      <c r="H909" t="s">
        <v>128</v>
      </c>
      <c r="I909" t="s">
        <v>128</v>
      </c>
      <c r="J909" t="s">
        <v>128</v>
      </c>
      <c r="K909" t="s">
        <v>128</v>
      </c>
      <c r="L909" t="s">
        <v>128</v>
      </c>
      <c r="M909" t="s">
        <v>1562</v>
      </c>
      <c r="N909" t="b">
        <v>0</v>
      </c>
    </row>
    <row r="910" spans="1:14">
      <c r="A910">
        <v>59</v>
      </c>
      <c r="B910">
        <v>0</v>
      </c>
      <c r="C910" t="s">
        <v>218</v>
      </c>
      <c r="D910" t="s">
        <v>726</v>
      </c>
      <c r="E910" t="s">
        <v>65</v>
      </c>
      <c r="F910">
        <v>60</v>
      </c>
      <c r="G910" t="s">
        <v>128</v>
      </c>
      <c r="H910" t="s">
        <v>128</v>
      </c>
      <c r="I910" t="s">
        <v>65</v>
      </c>
      <c r="J910" t="s">
        <v>128</v>
      </c>
      <c r="K910" t="s">
        <v>128</v>
      </c>
      <c r="L910" t="s">
        <v>128</v>
      </c>
      <c r="M910" t="s">
        <v>1563</v>
      </c>
      <c r="N910" t="b">
        <v>0</v>
      </c>
    </row>
    <row r="911" spans="1:14">
      <c r="A911">
        <v>59</v>
      </c>
      <c r="B911">
        <v>1</v>
      </c>
      <c r="C911" t="s">
        <v>331</v>
      </c>
      <c r="D911" t="s">
        <v>726</v>
      </c>
      <c r="E911" t="s">
        <v>77</v>
      </c>
      <c r="F911">
        <v>40</v>
      </c>
      <c r="G911" t="s">
        <v>128</v>
      </c>
      <c r="H911" t="s">
        <v>128</v>
      </c>
      <c r="I911" t="s">
        <v>77</v>
      </c>
      <c r="J911" t="s">
        <v>128</v>
      </c>
      <c r="K911" t="s">
        <v>128</v>
      </c>
      <c r="L911" t="s">
        <v>128</v>
      </c>
      <c r="M911" t="s">
        <v>1564</v>
      </c>
      <c r="N911" t="b">
        <v>0</v>
      </c>
    </row>
    <row r="912" spans="1:14">
      <c r="A912">
        <v>59</v>
      </c>
      <c r="B912">
        <v>2</v>
      </c>
      <c r="C912" t="s">
        <v>270</v>
      </c>
      <c r="D912" t="s">
        <v>726</v>
      </c>
      <c r="E912" t="s">
        <v>83</v>
      </c>
      <c r="F912">
        <v>30</v>
      </c>
      <c r="G912" t="s">
        <v>128</v>
      </c>
      <c r="H912" t="s">
        <v>128</v>
      </c>
      <c r="I912" t="s">
        <v>83</v>
      </c>
      <c r="J912" t="s">
        <v>128</v>
      </c>
      <c r="K912" t="s">
        <v>128</v>
      </c>
      <c r="L912" t="s">
        <v>128</v>
      </c>
      <c r="M912" t="s">
        <v>1565</v>
      </c>
      <c r="N912" t="b">
        <v>0</v>
      </c>
    </row>
    <row r="913" spans="1:14">
      <c r="A913">
        <v>59</v>
      </c>
      <c r="B913">
        <v>3</v>
      </c>
      <c r="C913" t="s">
        <v>240</v>
      </c>
      <c r="D913" t="s">
        <v>726</v>
      </c>
      <c r="E913" t="s">
        <v>546</v>
      </c>
      <c r="F913">
        <v>40</v>
      </c>
      <c r="G913" t="s">
        <v>128</v>
      </c>
      <c r="H913" t="s">
        <v>549</v>
      </c>
      <c r="I913" t="s">
        <v>510</v>
      </c>
      <c r="J913" t="s">
        <v>128</v>
      </c>
      <c r="K913" t="s">
        <v>794</v>
      </c>
      <c r="L913" t="s">
        <v>795</v>
      </c>
      <c r="M913" t="s">
        <v>1566</v>
      </c>
      <c r="N913" t="b">
        <v>0</v>
      </c>
    </row>
    <row r="914" spans="1:14">
      <c r="A914">
        <v>59</v>
      </c>
      <c r="B914">
        <v>4</v>
      </c>
      <c r="C914" t="s">
        <v>241</v>
      </c>
      <c r="D914" t="s">
        <v>726</v>
      </c>
      <c r="E914" t="s">
        <v>546</v>
      </c>
      <c r="F914">
        <v>40</v>
      </c>
      <c r="G914" t="s">
        <v>128</v>
      </c>
      <c r="H914" t="s">
        <v>559</v>
      </c>
      <c r="I914" t="s">
        <v>488</v>
      </c>
      <c r="J914" t="s">
        <v>128</v>
      </c>
      <c r="K914" t="s">
        <v>797</v>
      </c>
      <c r="L914" t="s">
        <v>798</v>
      </c>
      <c r="M914" t="s">
        <v>1567</v>
      </c>
      <c r="N914" t="b">
        <v>0</v>
      </c>
    </row>
    <row r="915" spans="1:14">
      <c r="A915">
        <v>59</v>
      </c>
      <c r="B915">
        <v>5</v>
      </c>
      <c r="C915" t="s">
        <v>383</v>
      </c>
      <c r="D915" t="s">
        <v>726</v>
      </c>
      <c r="E915" t="s">
        <v>95</v>
      </c>
      <c r="F915">
        <v>60</v>
      </c>
      <c r="G915" t="s">
        <v>128</v>
      </c>
      <c r="H915" t="s">
        <v>128</v>
      </c>
      <c r="I915" t="s">
        <v>95</v>
      </c>
      <c r="J915" t="s">
        <v>128</v>
      </c>
      <c r="K915" t="s">
        <v>128</v>
      </c>
      <c r="L915" t="s">
        <v>128</v>
      </c>
      <c r="M915" t="s">
        <v>1568</v>
      </c>
      <c r="N915" t="b">
        <v>0</v>
      </c>
    </row>
    <row r="916" spans="1:14">
      <c r="A916">
        <v>59</v>
      </c>
      <c r="B916">
        <v>6</v>
      </c>
      <c r="C916" t="s">
        <v>384</v>
      </c>
      <c r="D916" t="s">
        <v>726</v>
      </c>
      <c r="E916" t="s">
        <v>333</v>
      </c>
      <c r="F916">
        <v>50</v>
      </c>
      <c r="G916" t="s">
        <v>128</v>
      </c>
      <c r="H916" t="s">
        <v>560</v>
      </c>
      <c r="I916" t="s">
        <v>479</v>
      </c>
      <c r="J916" t="s">
        <v>128</v>
      </c>
      <c r="K916" t="s">
        <v>923</v>
      </c>
      <c r="L916" t="s">
        <v>924</v>
      </c>
      <c r="M916" t="s">
        <v>1569</v>
      </c>
      <c r="N916" t="b">
        <v>0</v>
      </c>
    </row>
    <row r="917" spans="1:14">
      <c r="A917">
        <v>59</v>
      </c>
      <c r="B917">
        <v>7</v>
      </c>
      <c r="C917" t="s">
        <v>169</v>
      </c>
      <c r="D917" t="s">
        <v>726</v>
      </c>
      <c r="E917" t="s">
        <v>74</v>
      </c>
      <c r="F917">
        <v>50</v>
      </c>
      <c r="G917" t="s">
        <v>128</v>
      </c>
      <c r="H917" t="s">
        <v>128</v>
      </c>
      <c r="I917" t="s">
        <v>74</v>
      </c>
      <c r="J917" t="s">
        <v>128</v>
      </c>
      <c r="K917" t="s">
        <v>128</v>
      </c>
      <c r="L917" t="s">
        <v>128</v>
      </c>
      <c r="M917" t="s">
        <v>1570</v>
      </c>
      <c r="N917" t="b">
        <v>0</v>
      </c>
    </row>
    <row r="918" spans="1:14">
      <c r="A918">
        <v>59</v>
      </c>
      <c r="B918">
        <v>8</v>
      </c>
      <c r="C918" t="s">
        <v>385</v>
      </c>
      <c r="D918" t="s">
        <v>755</v>
      </c>
      <c r="E918" t="s">
        <v>360</v>
      </c>
      <c r="F918">
        <v>40</v>
      </c>
      <c r="G918" t="s">
        <v>762</v>
      </c>
      <c r="H918" t="s">
        <v>128</v>
      </c>
      <c r="I918" t="s">
        <v>128</v>
      </c>
      <c r="J918" t="s">
        <v>1165</v>
      </c>
      <c r="K918" t="s">
        <v>1166</v>
      </c>
      <c r="L918" t="s">
        <v>1167</v>
      </c>
      <c r="M918" t="s">
        <v>1571</v>
      </c>
      <c r="N918" t="b">
        <v>0</v>
      </c>
    </row>
    <row r="919" spans="1:14">
      <c r="A919">
        <v>59</v>
      </c>
      <c r="B919">
        <v>9</v>
      </c>
      <c r="C919" t="s">
        <v>272</v>
      </c>
      <c r="D919" t="s">
        <v>726</v>
      </c>
      <c r="E919" t="s">
        <v>547</v>
      </c>
      <c r="F919">
        <v>40</v>
      </c>
      <c r="G919" t="s">
        <v>128</v>
      </c>
      <c r="H919" t="s">
        <v>585</v>
      </c>
      <c r="I919" t="s">
        <v>498</v>
      </c>
      <c r="J919" t="s">
        <v>128</v>
      </c>
      <c r="K919" t="s">
        <v>803</v>
      </c>
      <c r="L919" t="s">
        <v>804</v>
      </c>
      <c r="M919" t="s">
        <v>1572</v>
      </c>
      <c r="N919" t="b">
        <v>0</v>
      </c>
    </row>
    <row r="920" spans="1:14">
      <c r="A920">
        <v>59</v>
      </c>
      <c r="B920">
        <v>10</v>
      </c>
      <c r="C920" t="s">
        <v>196</v>
      </c>
      <c r="D920" t="s">
        <v>726</v>
      </c>
      <c r="E920" t="s">
        <v>98</v>
      </c>
      <c r="F920">
        <v>50</v>
      </c>
      <c r="G920" t="s">
        <v>128</v>
      </c>
      <c r="H920" t="s">
        <v>128</v>
      </c>
      <c r="I920" t="s">
        <v>98</v>
      </c>
      <c r="J920" t="s">
        <v>128</v>
      </c>
      <c r="K920" t="s">
        <v>128</v>
      </c>
      <c r="L920" t="s">
        <v>128</v>
      </c>
      <c r="M920" t="s">
        <v>1573</v>
      </c>
      <c r="N920" t="b">
        <v>0</v>
      </c>
    </row>
    <row r="921" spans="1:14">
      <c r="A921">
        <v>59</v>
      </c>
      <c r="B921">
        <v>11</v>
      </c>
      <c r="C921" t="s">
        <v>294</v>
      </c>
      <c r="D921" t="s">
        <v>726</v>
      </c>
      <c r="E921" t="s">
        <v>107</v>
      </c>
      <c r="F921">
        <v>60</v>
      </c>
      <c r="G921" t="s">
        <v>128</v>
      </c>
      <c r="H921" t="s">
        <v>128</v>
      </c>
      <c r="I921" t="s">
        <v>107</v>
      </c>
      <c r="J921" t="s">
        <v>128</v>
      </c>
      <c r="K921" t="s">
        <v>128</v>
      </c>
      <c r="L921" t="s">
        <v>128</v>
      </c>
      <c r="M921" t="s">
        <v>1574</v>
      </c>
      <c r="N921" t="b">
        <v>0</v>
      </c>
    </row>
    <row r="922" spans="1:14">
      <c r="A922">
        <v>59</v>
      </c>
      <c r="B922">
        <v>12</v>
      </c>
      <c r="C922" t="s">
        <v>128</v>
      </c>
      <c r="D922" t="s">
        <v>726</v>
      </c>
      <c r="E922" t="s">
        <v>128</v>
      </c>
      <c r="F922">
        <v>0</v>
      </c>
      <c r="G922" t="s">
        <v>128</v>
      </c>
      <c r="H922" t="s">
        <v>128</v>
      </c>
      <c r="I922" t="s">
        <v>128</v>
      </c>
      <c r="J922" t="s">
        <v>128</v>
      </c>
      <c r="K922" t="s">
        <v>128</v>
      </c>
      <c r="L922" t="s">
        <v>128</v>
      </c>
      <c r="M922" t="s">
        <v>1575</v>
      </c>
      <c r="N922" t="b">
        <v>0</v>
      </c>
    </row>
    <row r="923" spans="1:14">
      <c r="A923">
        <v>59</v>
      </c>
      <c r="B923">
        <v>13</v>
      </c>
      <c r="C923" t="s">
        <v>128</v>
      </c>
      <c r="D923" t="s">
        <v>726</v>
      </c>
      <c r="E923" t="s">
        <v>128</v>
      </c>
      <c r="F923">
        <v>0</v>
      </c>
      <c r="G923" t="s">
        <v>128</v>
      </c>
      <c r="H923" t="s">
        <v>128</v>
      </c>
      <c r="I923" t="s">
        <v>128</v>
      </c>
      <c r="J923" t="s">
        <v>128</v>
      </c>
      <c r="K923" t="s">
        <v>128</v>
      </c>
      <c r="L923" t="s">
        <v>128</v>
      </c>
      <c r="M923" t="s">
        <v>1576</v>
      </c>
      <c r="N923" t="b">
        <v>0</v>
      </c>
    </row>
    <row r="924" spans="1:14">
      <c r="A924">
        <v>59</v>
      </c>
      <c r="B924">
        <v>14</v>
      </c>
      <c r="C924" t="s">
        <v>128</v>
      </c>
      <c r="D924" t="s">
        <v>726</v>
      </c>
      <c r="E924" t="s">
        <v>128</v>
      </c>
      <c r="F924">
        <v>0</v>
      </c>
      <c r="G924" t="s">
        <v>128</v>
      </c>
      <c r="H924" t="s">
        <v>128</v>
      </c>
      <c r="I924" t="s">
        <v>128</v>
      </c>
      <c r="J924" t="s">
        <v>128</v>
      </c>
      <c r="K924" t="s">
        <v>128</v>
      </c>
      <c r="L924" t="s">
        <v>128</v>
      </c>
      <c r="M924" t="s">
        <v>1577</v>
      </c>
      <c r="N924" t="b">
        <v>0</v>
      </c>
    </row>
    <row r="925" spans="1:14">
      <c r="A925">
        <v>59</v>
      </c>
      <c r="B925">
        <v>15</v>
      </c>
      <c r="C925" t="s">
        <v>128</v>
      </c>
      <c r="D925" t="s">
        <v>726</v>
      </c>
      <c r="E925" t="s">
        <v>128</v>
      </c>
      <c r="F925">
        <v>0</v>
      </c>
      <c r="G925" t="s">
        <v>128</v>
      </c>
      <c r="H925" t="s">
        <v>128</v>
      </c>
      <c r="I925" t="s">
        <v>128</v>
      </c>
      <c r="J925" t="s">
        <v>128</v>
      </c>
      <c r="K925" t="s">
        <v>128</v>
      </c>
      <c r="L925" t="s">
        <v>128</v>
      </c>
      <c r="M925" t="s">
        <v>1578</v>
      </c>
      <c r="N925" t="b">
        <v>0</v>
      </c>
    </row>
    <row r="926" spans="1:14">
      <c r="A926">
        <v>59</v>
      </c>
      <c r="B926">
        <v>16</v>
      </c>
      <c r="C926" t="s">
        <v>128</v>
      </c>
      <c r="D926" t="s">
        <v>743</v>
      </c>
      <c r="E926" t="s">
        <v>128</v>
      </c>
      <c r="F926">
        <v>0</v>
      </c>
      <c r="G926" t="s">
        <v>128</v>
      </c>
      <c r="H926" t="s">
        <v>128</v>
      </c>
      <c r="I926" t="s">
        <v>128</v>
      </c>
      <c r="J926" t="s">
        <v>128</v>
      </c>
      <c r="K926" t="s">
        <v>128</v>
      </c>
      <c r="L926" t="s">
        <v>128</v>
      </c>
      <c r="M926" t="s">
        <v>1579</v>
      </c>
      <c r="N926" t="b">
        <v>0</v>
      </c>
    </row>
    <row r="927" spans="1:14">
      <c r="A927">
        <v>59</v>
      </c>
      <c r="B927">
        <v>17</v>
      </c>
      <c r="C927" t="s">
        <v>128</v>
      </c>
      <c r="D927" t="s">
        <v>743</v>
      </c>
      <c r="E927" t="s">
        <v>128</v>
      </c>
      <c r="F927">
        <v>0</v>
      </c>
      <c r="G927" t="s">
        <v>128</v>
      </c>
      <c r="H927" t="s">
        <v>128</v>
      </c>
      <c r="I927" t="s">
        <v>128</v>
      </c>
      <c r="J927" t="s">
        <v>128</v>
      </c>
      <c r="K927" t="s">
        <v>128</v>
      </c>
      <c r="L927" t="s">
        <v>128</v>
      </c>
      <c r="M927" t="s">
        <v>1580</v>
      </c>
      <c r="N927" t="b">
        <v>0</v>
      </c>
    </row>
    <row r="928" spans="1:14">
      <c r="A928">
        <v>59</v>
      </c>
      <c r="B928">
        <v>18</v>
      </c>
      <c r="C928" t="s">
        <v>128</v>
      </c>
      <c r="D928" t="s">
        <v>743</v>
      </c>
      <c r="E928" t="s">
        <v>128</v>
      </c>
      <c r="F928">
        <v>0</v>
      </c>
      <c r="G928" t="s">
        <v>128</v>
      </c>
      <c r="H928" t="s">
        <v>128</v>
      </c>
      <c r="I928" t="s">
        <v>128</v>
      </c>
      <c r="J928" t="s">
        <v>128</v>
      </c>
      <c r="K928" t="s">
        <v>128</v>
      </c>
      <c r="L928" t="s">
        <v>128</v>
      </c>
      <c r="M928" t="s">
        <v>1581</v>
      </c>
      <c r="N928" t="b">
        <v>0</v>
      </c>
    </row>
    <row r="929" spans="1:14">
      <c r="A929">
        <v>59</v>
      </c>
      <c r="B929">
        <v>19</v>
      </c>
      <c r="C929" t="s">
        <v>128</v>
      </c>
      <c r="D929" t="s">
        <v>743</v>
      </c>
      <c r="E929" t="s">
        <v>128</v>
      </c>
      <c r="F929">
        <v>0</v>
      </c>
      <c r="G929" t="s">
        <v>128</v>
      </c>
      <c r="H929" t="s">
        <v>128</v>
      </c>
      <c r="I929" t="s">
        <v>128</v>
      </c>
      <c r="J929" t="s">
        <v>128</v>
      </c>
      <c r="K929" t="s">
        <v>128</v>
      </c>
      <c r="L929" t="s">
        <v>128</v>
      </c>
      <c r="M929" t="s">
        <v>1582</v>
      </c>
      <c r="N929" t="b">
        <v>0</v>
      </c>
    </row>
    <row r="930" spans="1:14">
      <c r="A930">
        <v>59</v>
      </c>
      <c r="B930">
        <v>20</v>
      </c>
      <c r="C930" t="s">
        <v>128</v>
      </c>
      <c r="D930" t="s">
        <v>743</v>
      </c>
      <c r="E930" t="s">
        <v>128</v>
      </c>
      <c r="F930">
        <v>0</v>
      </c>
      <c r="G930" t="s">
        <v>128</v>
      </c>
      <c r="H930" t="s">
        <v>128</v>
      </c>
      <c r="I930" t="s">
        <v>128</v>
      </c>
      <c r="J930" t="s">
        <v>128</v>
      </c>
      <c r="K930" t="s">
        <v>128</v>
      </c>
      <c r="L930" t="s">
        <v>128</v>
      </c>
      <c r="M930" t="s">
        <v>1583</v>
      </c>
      <c r="N930" t="b">
        <v>0</v>
      </c>
    </row>
    <row r="931" spans="1:14">
      <c r="A931">
        <v>59</v>
      </c>
      <c r="B931">
        <v>21</v>
      </c>
      <c r="C931" t="s">
        <v>128</v>
      </c>
      <c r="D931" t="s">
        <v>743</v>
      </c>
      <c r="E931" t="s">
        <v>128</v>
      </c>
      <c r="F931">
        <v>0</v>
      </c>
      <c r="G931" t="s">
        <v>128</v>
      </c>
      <c r="H931" t="s">
        <v>128</v>
      </c>
      <c r="I931" t="s">
        <v>128</v>
      </c>
      <c r="J931" t="s">
        <v>128</v>
      </c>
      <c r="K931" t="s">
        <v>128</v>
      </c>
      <c r="L931" t="s">
        <v>128</v>
      </c>
      <c r="M931" t="s">
        <v>1584</v>
      </c>
      <c r="N931" t="b">
        <v>0</v>
      </c>
    </row>
    <row r="932" spans="1:14">
      <c r="A932">
        <v>59</v>
      </c>
      <c r="B932">
        <v>22</v>
      </c>
      <c r="C932" t="s">
        <v>128</v>
      </c>
      <c r="D932" t="s">
        <v>743</v>
      </c>
      <c r="E932" t="s">
        <v>128</v>
      </c>
      <c r="F932">
        <v>0</v>
      </c>
      <c r="G932" t="s">
        <v>128</v>
      </c>
      <c r="H932" t="s">
        <v>128</v>
      </c>
      <c r="I932" t="s">
        <v>128</v>
      </c>
      <c r="J932" t="s">
        <v>128</v>
      </c>
      <c r="K932" t="s">
        <v>128</v>
      </c>
      <c r="L932" t="s">
        <v>128</v>
      </c>
      <c r="M932" t="s">
        <v>1585</v>
      </c>
      <c r="N932" t="b">
        <v>0</v>
      </c>
    </row>
    <row r="933" spans="1:14">
      <c r="A933">
        <v>59</v>
      </c>
      <c r="B933">
        <v>23</v>
      </c>
      <c r="C933" t="s">
        <v>128</v>
      </c>
      <c r="D933" t="s">
        <v>743</v>
      </c>
      <c r="E933" t="s">
        <v>128</v>
      </c>
      <c r="F933">
        <v>0</v>
      </c>
      <c r="G933" t="s">
        <v>128</v>
      </c>
      <c r="H933" t="s">
        <v>128</v>
      </c>
      <c r="I933" t="s">
        <v>128</v>
      </c>
      <c r="J933" t="s">
        <v>128</v>
      </c>
      <c r="K933" t="s">
        <v>128</v>
      </c>
      <c r="L933" t="s">
        <v>128</v>
      </c>
      <c r="M933" t="s">
        <v>1586</v>
      </c>
      <c r="N933" t="b">
        <v>0</v>
      </c>
    </row>
    <row r="934" spans="1:14">
      <c r="A934">
        <v>59</v>
      </c>
      <c r="B934">
        <v>24</v>
      </c>
      <c r="C934" t="s">
        <v>128</v>
      </c>
      <c r="D934" t="s">
        <v>743</v>
      </c>
      <c r="E934" t="s">
        <v>128</v>
      </c>
      <c r="F934">
        <v>0</v>
      </c>
      <c r="G934" t="s">
        <v>128</v>
      </c>
      <c r="H934" t="s">
        <v>128</v>
      </c>
      <c r="I934" t="s">
        <v>128</v>
      </c>
      <c r="J934" t="s">
        <v>128</v>
      </c>
      <c r="K934" t="s">
        <v>128</v>
      </c>
      <c r="L934" t="s">
        <v>128</v>
      </c>
      <c r="M934" t="s">
        <v>1587</v>
      </c>
      <c r="N934" t="b">
        <v>0</v>
      </c>
    </row>
    <row r="935" spans="1:14">
      <c r="A935">
        <v>59</v>
      </c>
      <c r="B935">
        <v>25</v>
      </c>
      <c r="C935" t="s">
        <v>128</v>
      </c>
      <c r="D935" t="s">
        <v>743</v>
      </c>
      <c r="E935" t="s">
        <v>128</v>
      </c>
      <c r="F935">
        <v>0</v>
      </c>
      <c r="G935" t="s">
        <v>128</v>
      </c>
      <c r="H935" t="s">
        <v>128</v>
      </c>
      <c r="I935" t="s">
        <v>128</v>
      </c>
      <c r="J935" t="s">
        <v>128</v>
      </c>
      <c r="K935" t="s">
        <v>128</v>
      </c>
      <c r="L935" t="s">
        <v>128</v>
      </c>
      <c r="M935" t="s">
        <v>1588</v>
      </c>
      <c r="N935" t="b">
        <v>0</v>
      </c>
    </row>
    <row r="936" spans="1:14">
      <c r="A936">
        <v>59</v>
      </c>
      <c r="B936">
        <v>26</v>
      </c>
      <c r="C936" t="s">
        <v>128</v>
      </c>
      <c r="D936" t="s">
        <v>743</v>
      </c>
      <c r="E936" t="s">
        <v>128</v>
      </c>
      <c r="F936">
        <v>0</v>
      </c>
      <c r="G936" t="s">
        <v>128</v>
      </c>
      <c r="H936" t="s">
        <v>128</v>
      </c>
      <c r="I936" t="s">
        <v>128</v>
      </c>
      <c r="J936" t="s">
        <v>128</v>
      </c>
      <c r="K936" t="s">
        <v>128</v>
      </c>
      <c r="L936" t="s">
        <v>128</v>
      </c>
      <c r="M936" t="s">
        <v>1589</v>
      </c>
      <c r="N936" t="b">
        <v>0</v>
      </c>
    </row>
    <row r="937" spans="1:14">
      <c r="A937">
        <v>60</v>
      </c>
      <c r="B937">
        <v>0</v>
      </c>
      <c r="C937" t="s">
        <v>188</v>
      </c>
      <c r="D937" t="s">
        <v>726</v>
      </c>
      <c r="E937" t="s">
        <v>65</v>
      </c>
      <c r="F937">
        <v>50</v>
      </c>
      <c r="G937" t="s">
        <v>128</v>
      </c>
      <c r="H937" t="s">
        <v>128</v>
      </c>
      <c r="I937" t="s">
        <v>65</v>
      </c>
      <c r="J937" t="s">
        <v>128</v>
      </c>
      <c r="K937" t="s">
        <v>128</v>
      </c>
      <c r="L937" t="s">
        <v>128</v>
      </c>
      <c r="M937" t="s">
        <v>1590</v>
      </c>
      <c r="N937" t="b">
        <v>0</v>
      </c>
    </row>
    <row r="938" spans="1:14">
      <c r="A938">
        <v>60</v>
      </c>
      <c r="B938">
        <v>1</v>
      </c>
      <c r="C938" t="s">
        <v>228</v>
      </c>
      <c r="D938" t="s">
        <v>726</v>
      </c>
      <c r="E938" t="s">
        <v>77</v>
      </c>
      <c r="F938">
        <v>50</v>
      </c>
      <c r="G938" t="s">
        <v>128</v>
      </c>
      <c r="H938" t="s">
        <v>128</v>
      </c>
      <c r="I938" t="s">
        <v>77</v>
      </c>
      <c r="J938" t="s">
        <v>128</v>
      </c>
      <c r="K938" t="s">
        <v>128</v>
      </c>
      <c r="L938" t="s">
        <v>128</v>
      </c>
      <c r="M938" t="s">
        <v>1591</v>
      </c>
      <c r="N938" t="b">
        <v>0</v>
      </c>
    </row>
    <row r="939" spans="1:14">
      <c r="A939">
        <v>60</v>
      </c>
      <c r="B939">
        <v>2</v>
      </c>
      <c r="C939" t="s">
        <v>160</v>
      </c>
      <c r="D939" t="s">
        <v>726</v>
      </c>
      <c r="E939" t="s">
        <v>83</v>
      </c>
      <c r="F939">
        <v>40</v>
      </c>
      <c r="G939" t="s">
        <v>128</v>
      </c>
      <c r="H939" t="s">
        <v>128</v>
      </c>
      <c r="I939" t="s">
        <v>83</v>
      </c>
      <c r="J939" t="s">
        <v>128</v>
      </c>
      <c r="K939" t="s">
        <v>128</v>
      </c>
      <c r="L939" t="s">
        <v>128</v>
      </c>
      <c r="M939" t="s">
        <v>1592</v>
      </c>
      <c r="N939" t="b">
        <v>0</v>
      </c>
    </row>
    <row r="940" spans="1:14">
      <c r="A940">
        <v>60</v>
      </c>
      <c r="B940">
        <v>3</v>
      </c>
      <c r="C940" t="s">
        <v>231</v>
      </c>
      <c r="D940" t="s">
        <v>726</v>
      </c>
      <c r="E940" t="s">
        <v>101</v>
      </c>
      <c r="F940">
        <v>40</v>
      </c>
      <c r="G940" t="s">
        <v>128</v>
      </c>
      <c r="H940" t="s">
        <v>128</v>
      </c>
      <c r="I940" t="s">
        <v>101</v>
      </c>
      <c r="J940" t="s">
        <v>128</v>
      </c>
      <c r="K940" t="s">
        <v>128</v>
      </c>
      <c r="L940" t="s">
        <v>128</v>
      </c>
      <c r="M940" t="s">
        <v>1593</v>
      </c>
      <c r="N940" t="b">
        <v>0</v>
      </c>
    </row>
    <row r="941" spans="1:14">
      <c r="A941">
        <v>60</v>
      </c>
      <c r="B941">
        <v>4</v>
      </c>
      <c r="C941" t="s">
        <v>204</v>
      </c>
      <c r="D941" t="s">
        <v>726</v>
      </c>
      <c r="E941" t="s">
        <v>103</v>
      </c>
      <c r="F941">
        <v>60</v>
      </c>
      <c r="G941" t="s">
        <v>128</v>
      </c>
      <c r="H941" t="s">
        <v>128</v>
      </c>
      <c r="I941" t="s">
        <v>103</v>
      </c>
      <c r="J941" t="s">
        <v>128</v>
      </c>
      <c r="K941" t="s">
        <v>128</v>
      </c>
      <c r="L941" t="s">
        <v>128</v>
      </c>
      <c r="M941" t="s">
        <v>1594</v>
      </c>
      <c r="N941" t="b">
        <v>0</v>
      </c>
    </row>
    <row r="942" spans="1:14">
      <c r="A942">
        <v>60</v>
      </c>
      <c r="B942">
        <v>5</v>
      </c>
      <c r="C942" t="s">
        <v>256</v>
      </c>
      <c r="D942" t="s">
        <v>726</v>
      </c>
      <c r="E942" t="s">
        <v>115</v>
      </c>
      <c r="F942">
        <v>40</v>
      </c>
      <c r="G942" t="s">
        <v>128</v>
      </c>
      <c r="H942" t="s">
        <v>128</v>
      </c>
      <c r="I942" t="s">
        <v>115</v>
      </c>
      <c r="J942" t="s">
        <v>128</v>
      </c>
      <c r="K942" t="s">
        <v>128</v>
      </c>
      <c r="L942" t="s">
        <v>128</v>
      </c>
      <c r="M942" t="s">
        <v>1595</v>
      </c>
      <c r="N942" t="b">
        <v>0</v>
      </c>
    </row>
    <row r="943" spans="1:14">
      <c r="A943">
        <v>60</v>
      </c>
      <c r="B943">
        <v>6</v>
      </c>
      <c r="C943" t="s">
        <v>264</v>
      </c>
      <c r="D943" t="s">
        <v>726</v>
      </c>
      <c r="E943" t="s">
        <v>66</v>
      </c>
      <c r="F943">
        <v>40</v>
      </c>
      <c r="G943" t="s">
        <v>128</v>
      </c>
      <c r="H943" t="s">
        <v>128</v>
      </c>
      <c r="I943" t="s">
        <v>66</v>
      </c>
      <c r="J943" t="s">
        <v>128</v>
      </c>
      <c r="K943" t="s">
        <v>128</v>
      </c>
      <c r="L943" t="s">
        <v>128</v>
      </c>
      <c r="M943" t="s">
        <v>1596</v>
      </c>
      <c r="N943" t="b">
        <v>0</v>
      </c>
    </row>
    <row r="944" spans="1:14">
      <c r="A944">
        <v>60</v>
      </c>
      <c r="B944">
        <v>7</v>
      </c>
      <c r="C944" t="s">
        <v>195</v>
      </c>
      <c r="D944" t="s">
        <v>726</v>
      </c>
      <c r="E944" t="s">
        <v>78</v>
      </c>
      <c r="F944">
        <v>50</v>
      </c>
      <c r="G944" t="s">
        <v>128</v>
      </c>
      <c r="H944" t="s">
        <v>128</v>
      </c>
      <c r="I944" t="s">
        <v>78</v>
      </c>
      <c r="J944" t="s">
        <v>128</v>
      </c>
      <c r="K944" t="s">
        <v>128</v>
      </c>
      <c r="L944" t="s">
        <v>128</v>
      </c>
      <c r="M944" t="s">
        <v>1597</v>
      </c>
      <c r="N944" t="b">
        <v>0</v>
      </c>
    </row>
    <row r="945" spans="1:14">
      <c r="A945">
        <v>60</v>
      </c>
      <c r="B945">
        <v>8</v>
      </c>
      <c r="C945" t="s">
        <v>215</v>
      </c>
      <c r="D945" t="s">
        <v>726</v>
      </c>
      <c r="E945" t="s">
        <v>84</v>
      </c>
      <c r="F945">
        <v>40</v>
      </c>
      <c r="G945" t="s">
        <v>128</v>
      </c>
      <c r="H945" t="s">
        <v>128</v>
      </c>
      <c r="I945" t="s">
        <v>84</v>
      </c>
      <c r="J945" t="s">
        <v>128</v>
      </c>
      <c r="K945" t="s">
        <v>128</v>
      </c>
      <c r="L945" t="s">
        <v>128</v>
      </c>
      <c r="M945" t="s">
        <v>1598</v>
      </c>
      <c r="N945" t="b">
        <v>0</v>
      </c>
    </row>
    <row r="946" spans="1:14">
      <c r="A946">
        <v>60</v>
      </c>
      <c r="B946">
        <v>9</v>
      </c>
      <c r="C946" t="s">
        <v>265</v>
      </c>
      <c r="D946" t="s">
        <v>726</v>
      </c>
      <c r="E946" t="s">
        <v>547</v>
      </c>
      <c r="F946">
        <v>40</v>
      </c>
      <c r="G946" t="s">
        <v>128</v>
      </c>
      <c r="H946" t="s">
        <v>557</v>
      </c>
      <c r="I946" t="s">
        <v>334</v>
      </c>
      <c r="J946" t="s">
        <v>128</v>
      </c>
      <c r="K946" t="s">
        <v>803</v>
      </c>
      <c r="L946" t="s">
        <v>804</v>
      </c>
      <c r="M946" t="s">
        <v>1599</v>
      </c>
      <c r="N946" t="b">
        <v>0</v>
      </c>
    </row>
    <row r="947" spans="1:14">
      <c r="A947">
        <v>60</v>
      </c>
      <c r="B947">
        <v>10</v>
      </c>
      <c r="C947" t="s">
        <v>172</v>
      </c>
      <c r="D947" t="s">
        <v>726</v>
      </c>
      <c r="E947" t="s">
        <v>106</v>
      </c>
      <c r="F947">
        <v>50</v>
      </c>
      <c r="G947" t="s">
        <v>128</v>
      </c>
      <c r="H947" t="s">
        <v>128</v>
      </c>
      <c r="I947" t="s">
        <v>106</v>
      </c>
      <c r="J947" t="s">
        <v>128</v>
      </c>
      <c r="K947" t="s">
        <v>128</v>
      </c>
      <c r="L947" t="s">
        <v>128</v>
      </c>
      <c r="M947" t="s">
        <v>1600</v>
      </c>
      <c r="N947" t="b">
        <v>0</v>
      </c>
    </row>
    <row r="948" spans="1:14">
      <c r="A948">
        <v>60</v>
      </c>
      <c r="B948">
        <v>11</v>
      </c>
      <c r="C948" t="s">
        <v>128</v>
      </c>
      <c r="D948" t="s">
        <v>726</v>
      </c>
      <c r="E948" t="s">
        <v>128</v>
      </c>
      <c r="F948">
        <v>0</v>
      </c>
      <c r="G948" t="s">
        <v>128</v>
      </c>
      <c r="H948" t="s">
        <v>128</v>
      </c>
      <c r="I948" t="s">
        <v>128</v>
      </c>
      <c r="J948" t="s">
        <v>128</v>
      </c>
      <c r="K948" t="s">
        <v>128</v>
      </c>
      <c r="L948" t="s">
        <v>128</v>
      </c>
      <c r="M948" t="s">
        <v>1601</v>
      </c>
      <c r="N948" t="b">
        <v>0</v>
      </c>
    </row>
    <row r="949" spans="1:14">
      <c r="A949">
        <v>60</v>
      </c>
      <c r="B949">
        <v>12</v>
      </c>
      <c r="C949" t="s">
        <v>128</v>
      </c>
      <c r="D949" t="s">
        <v>726</v>
      </c>
      <c r="E949" t="s">
        <v>128</v>
      </c>
      <c r="F949">
        <v>0</v>
      </c>
      <c r="G949" t="s">
        <v>128</v>
      </c>
      <c r="H949" t="s">
        <v>128</v>
      </c>
      <c r="I949" t="s">
        <v>128</v>
      </c>
      <c r="J949" t="s">
        <v>128</v>
      </c>
      <c r="K949" t="s">
        <v>128</v>
      </c>
      <c r="L949" t="s">
        <v>128</v>
      </c>
      <c r="M949" t="s">
        <v>1602</v>
      </c>
      <c r="N949" t="b">
        <v>0</v>
      </c>
    </row>
    <row r="950" spans="1:14">
      <c r="A950">
        <v>60</v>
      </c>
      <c r="B950">
        <v>13</v>
      </c>
      <c r="C950" t="s">
        <v>128</v>
      </c>
      <c r="D950" t="s">
        <v>726</v>
      </c>
      <c r="E950" t="s">
        <v>128</v>
      </c>
      <c r="F950">
        <v>0</v>
      </c>
      <c r="G950" t="s">
        <v>128</v>
      </c>
      <c r="H950" t="s">
        <v>128</v>
      </c>
      <c r="I950" t="s">
        <v>128</v>
      </c>
      <c r="J950" t="s">
        <v>128</v>
      </c>
      <c r="K950" t="s">
        <v>128</v>
      </c>
      <c r="L950" t="s">
        <v>128</v>
      </c>
      <c r="M950" t="s">
        <v>1603</v>
      </c>
      <c r="N950" t="b">
        <v>0</v>
      </c>
    </row>
    <row r="951" spans="1:14">
      <c r="A951">
        <v>60</v>
      </c>
      <c r="B951">
        <v>14</v>
      </c>
      <c r="C951" t="s">
        <v>128</v>
      </c>
      <c r="D951" t="s">
        <v>726</v>
      </c>
      <c r="E951" t="s">
        <v>128</v>
      </c>
      <c r="F951">
        <v>0</v>
      </c>
      <c r="G951" t="s">
        <v>128</v>
      </c>
      <c r="H951" t="s">
        <v>128</v>
      </c>
      <c r="I951" t="s">
        <v>128</v>
      </c>
      <c r="J951" t="s">
        <v>128</v>
      </c>
      <c r="K951" t="s">
        <v>128</v>
      </c>
      <c r="L951" t="s">
        <v>128</v>
      </c>
      <c r="M951" t="s">
        <v>1604</v>
      </c>
      <c r="N951" t="b">
        <v>0</v>
      </c>
    </row>
    <row r="952" spans="1:14">
      <c r="A952">
        <v>60</v>
      </c>
      <c r="B952">
        <v>15</v>
      </c>
      <c r="C952" t="s">
        <v>128</v>
      </c>
      <c r="D952" t="s">
        <v>726</v>
      </c>
      <c r="E952" t="s">
        <v>128</v>
      </c>
      <c r="F952">
        <v>0</v>
      </c>
      <c r="G952" t="s">
        <v>128</v>
      </c>
      <c r="H952" t="s">
        <v>128</v>
      </c>
      <c r="I952" t="s">
        <v>128</v>
      </c>
      <c r="J952" t="s">
        <v>128</v>
      </c>
      <c r="K952" t="s">
        <v>128</v>
      </c>
      <c r="L952" t="s">
        <v>128</v>
      </c>
      <c r="M952" t="s">
        <v>1605</v>
      </c>
      <c r="N952" t="b">
        <v>0</v>
      </c>
    </row>
    <row r="953" spans="1:14">
      <c r="A953">
        <v>60</v>
      </c>
      <c r="B953">
        <v>16</v>
      </c>
      <c r="C953" t="s">
        <v>266</v>
      </c>
      <c r="D953" t="s">
        <v>743</v>
      </c>
      <c r="E953" t="s">
        <v>99</v>
      </c>
      <c r="F953">
        <v>60</v>
      </c>
      <c r="G953" t="s">
        <v>128</v>
      </c>
      <c r="H953" t="s">
        <v>128</v>
      </c>
      <c r="I953" t="s">
        <v>99</v>
      </c>
      <c r="J953" t="s">
        <v>128</v>
      </c>
      <c r="K953" t="s">
        <v>128</v>
      </c>
      <c r="L953" t="s">
        <v>128</v>
      </c>
      <c r="M953" t="s">
        <v>1606</v>
      </c>
      <c r="N953" t="b">
        <v>0</v>
      </c>
    </row>
    <row r="954" spans="1:14">
      <c r="A954">
        <v>60</v>
      </c>
      <c r="B954">
        <v>17</v>
      </c>
      <c r="C954" t="s">
        <v>214</v>
      </c>
      <c r="D954" t="s">
        <v>743</v>
      </c>
      <c r="E954" t="s">
        <v>109</v>
      </c>
      <c r="F954">
        <v>40</v>
      </c>
      <c r="G954" t="s">
        <v>128</v>
      </c>
      <c r="H954" t="s">
        <v>128</v>
      </c>
      <c r="I954" t="s">
        <v>109</v>
      </c>
      <c r="J954" t="s">
        <v>128</v>
      </c>
      <c r="K954" t="s">
        <v>128</v>
      </c>
      <c r="L954" t="s">
        <v>128</v>
      </c>
      <c r="M954" t="s">
        <v>1607</v>
      </c>
      <c r="N954" t="b">
        <v>0</v>
      </c>
    </row>
    <row r="955" spans="1:14">
      <c r="A955">
        <v>60</v>
      </c>
      <c r="B955">
        <v>18</v>
      </c>
      <c r="C955" t="s">
        <v>169</v>
      </c>
      <c r="D955" t="s">
        <v>743</v>
      </c>
      <c r="E955" t="s">
        <v>74</v>
      </c>
      <c r="F955">
        <v>50</v>
      </c>
      <c r="G955" t="s">
        <v>128</v>
      </c>
      <c r="H955" t="s">
        <v>128</v>
      </c>
      <c r="I955" t="s">
        <v>74</v>
      </c>
      <c r="J955" t="s">
        <v>128</v>
      </c>
      <c r="K955" t="s">
        <v>128</v>
      </c>
      <c r="L955" t="s">
        <v>128</v>
      </c>
      <c r="M955" t="s">
        <v>1608</v>
      </c>
      <c r="N955" t="b">
        <v>0</v>
      </c>
    </row>
    <row r="956" spans="1:14">
      <c r="A956">
        <v>60</v>
      </c>
      <c r="B956">
        <v>19</v>
      </c>
      <c r="C956" t="s">
        <v>267</v>
      </c>
      <c r="D956" t="s">
        <v>743</v>
      </c>
      <c r="E956" t="s">
        <v>91</v>
      </c>
      <c r="F956">
        <v>50</v>
      </c>
      <c r="G956" t="s">
        <v>128</v>
      </c>
      <c r="H956" t="s">
        <v>128</v>
      </c>
      <c r="I956" t="s">
        <v>91</v>
      </c>
      <c r="J956" t="s">
        <v>128</v>
      </c>
      <c r="K956" t="s">
        <v>128</v>
      </c>
      <c r="L956" t="s">
        <v>128</v>
      </c>
      <c r="M956" t="s">
        <v>1609</v>
      </c>
      <c r="N956" t="b">
        <v>0</v>
      </c>
    </row>
    <row r="957" spans="1:14">
      <c r="A957">
        <v>60</v>
      </c>
      <c r="B957">
        <v>20</v>
      </c>
      <c r="C957" t="s">
        <v>171</v>
      </c>
      <c r="D957" t="s">
        <v>743</v>
      </c>
      <c r="E957" t="s">
        <v>98</v>
      </c>
      <c r="F957">
        <v>60</v>
      </c>
      <c r="G957" t="s">
        <v>128</v>
      </c>
      <c r="H957" t="s">
        <v>128</v>
      </c>
      <c r="I957" t="s">
        <v>98</v>
      </c>
      <c r="J957" t="s">
        <v>128</v>
      </c>
      <c r="K957" t="s">
        <v>128</v>
      </c>
      <c r="L957" t="s">
        <v>128</v>
      </c>
      <c r="M957" t="s">
        <v>1610</v>
      </c>
      <c r="N957" t="b">
        <v>0</v>
      </c>
    </row>
    <row r="958" spans="1:14">
      <c r="A958">
        <v>60</v>
      </c>
      <c r="B958">
        <v>21</v>
      </c>
      <c r="C958" t="s">
        <v>128</v>
      </c>
      <c r="D958" t="s">
        <v>743</v>
      </c>
      <c r="E958" t="s">
        <v>128</v>
      </c>
      <c r="F958">
        <v>0</v>
      </c>
      <c r="G958" t="s">
        <v>128</v>
      </c>
      <c r="H958" t="s">
        <v>128</v>
      </c>
      <c r="I958" t="s">
        <v>128</v>
      </c>
      <c r="J958" t="s">
        <v>128</v>
      </c>
      <c r="K958" t="s">
        <v>128</v>
      </c>
      <c r="L958" t="s">
        <v>128</v>
      </c>
      <c r="M958" t="s">
        <v>1611</v>
      </c>
      <c r="N958" t="b">
        <v>0</v>
      </c>
    </row>
    <row r="959" spans="1:14">
      <c r="A959">
        <v>60</v>
      </c>
      <c r="B959">
        <v>22</v>
      </c>
      <c r="C959" t="s">
        <v>128</v>
      </c>
      <c r="D959" t="s">
        <v>743</v>
      </c>
      <c r="E959" t="s">
        <v>128</v>
      </c>
      <c r="F959">
        <v>0</v>
      </c>
      <c r="G959" t="s">
        <v>128</v>
      </c>
      <c r="H959" t="s">
        <v>128</v>
      </c>
      <c r="I959" t="s">
        <v>128</v>
      </c>
      <c r="J959" t="s">
        <v>128</v>
      </c>
      <c r="K959" t="s">
        <v>128</v>
      </c>
      <c r="L959" t="s">
        <v>128</v>
      </c>
      <c r="M959" t="s">
        <v>1612</v>
      </c>
      <c r="N959" t="b">
        <v>0</v>
      </c>
    </row>
    <row r="960" spans="1:14">
      <c r="A960">
        <v>60</v>
      </c>
      <c r="B960">
        <v>23</v>
      </c>
      <c r="C960" t="s">
        <v>128</v>
      </c>
      <c r="D960" t="s">
        <v>743</v>
      </c>
      <c r="E960" t="s">
        <v>128</v>
      </c>
      <c r="F960">
        <v>0</v>
      </c>
      <c r="G960" t="s">
        <v>128</v>
      </c>
      <c r="H960" t="s">
        <v>128</v>
      </c>
      <c r="I960" t="s">
        <v>128</v>
      </c>
      <c r="J960" t="s">
        <v>128</v>
      </c>
      <c r="K960" t="s">
        <v>128</v>
      </c>
      <c r="L960" t="s">
        <v>128</v>
      </c>
      <c r="M960" t="s">
        <v>1613</v>
      </c>
      <c r="N960" t="b">
        <v>0</v>
      </c>
    </row>
    <row r="961" spans="1:14">
      <c r="A961">
        <v>60</v>
      </c>
      <c r="B961">
        <v>24</v>
      </c>
      <c r="C961" t="s">
        <v>128</v>
      </c>
      <c r="D961" t="s">
        <v>743</v>
      </c>
      <c r="E961" t="s">
        <v>128</v>
      </c>
      <c r="F961">
        <v>0</v>
      </c>
      <c r="G961" t="s">
        <v>128</v>
      </c>
      <c r="H961" t="s">
        <v>128</v>
      </c>
      <c r="I961" t="s">
        <v>128</v>
      </c>
      <c r="J961" t="s">
        <v>128</v>
      </c>
      <c r="K961" t="s">
        <v>128</v>
      </c>
      <c r="L961" t="s">
        <v>128</v>
      </c>
      <c r="M961" t="s">
        <v>1614</v>
      </c>
      <c r="N961" t="b">
        <v>0</v>
      </c>
    </row>
    <row r="962" spans="1:14">
      <c r="A962">
        <v>60</v>
      </c>
      <c r="B962">
        <v>25</v>
      </c>
      <c r="C962" t="s">
        <v>128</v>
      </c>
      <c r="D962" t="s">
        <v>743</v>
      </c>
      <c r="E962" t="s">
        <v>128</v>
      </c>
      <c r="F962">
        <v>0</v>
      </c>
      <c r="G962" t="s">
        <v>128</v>
      </c>
      <c r="H962" t="s">
        <v>128</v>
      </c>
      <c r="I962" t="s">
        <v>128</v>
      </c>
      <c r="J962" t="s">
        <v>128</v>
      </c>
      <c r="K962" t="s">
        <v>128</v>
      </c>
      <c r="L962" t="s">
        <v>128</v>
      </c>
      <c r="M962" t="s">
        <v>1615</v>
      </c>
      <c r="N962" t="b">
        <v>0</v>
      </c>
    </row>
    <row r="963" spans="1:14">
      <c r="A963">
        <v>60</v>
      </c>
      <c r="B963">
        <v>26</v>
      </c>
      <c r="C963" t="s">
        <v>128</v>
      </c>
      <c r="D963" t="s">
        <v>743</v>
      </c>
      <c r="E963" t="s">
        <v>128</v>
      </c>
      <c r="F963">
        <v>0</v>
      </c>
      <c r="G963" t="s">
        <v>128</v>
      </c>
      <c r="H963" t="s">
        <v>128</v>
      </c>
      <c r="I963" t="s">
        <v>128</v>
      </c>
      <c r="J963" t="s">
        <v>128</v>
      </c>
      <c r="K963" t="s">
        <v>128</v>
      </c>
      <c r="L963" t="s">
        <v>128</v>
      </c>
      <c r="M963" t="s">
        <v>1616</v>
      </c>
      <c r="N963" t="b">
        <v>0</v>
      </c>
    </row>
    <row r="964" spans="1:14">
      <c r="A964">
        <v>61</v>
      </c>
      <c r="B964">
        <v>0</v>
      </c>
      <c r="C964" t="s">
        <v>188</v>
      </c>
      <c r="D964" t="s">
        <v>726</v>
      </c>
      <c r="E964" t="s">
        <v>65</v>
      </c>
      <c r="F964">
        <v>50</v>
      </c>
      <c r="G964" t="s">
        <v>128</v>
      </c>
      <c r="H964" t="s">
        <v>128</v>
      </c>
      <c r="I964" t="s">
        <v>65</v>
      </c>
      <c r="J964" t="s">
        <v>128</v>
      </c>
      <c r="K964" t="s">
        <v>128</v>
      </c>
      <c r="L964" t="s">
        <v>128</v>
      </c>
      <c r="M964" t="s">
        <v>1617</v>
      </c>
      <c r="N964" t="b">
        <v>0</v>
      </c>
    </row>
    <row r="965" spans="1:14">
      <c r="A965">
        <v>61</v>
      </c>
      <c r="B965">
        <v>1</v>
      </c>
      <c r="C965" t="s">
        <v>219</v>
      </c>
      <c r="D965" t="s">
        <v>726</v>
      </c>
      <c r="E965" t="s">
        <v>77</v>
      </c>
      <c r="F965">
        <v>60</v>
      </c>
      <c r="G965" t="s">
        <v>128</v>
      </c>
      <c r="H965" t="s">
        <v>128</v>
      </c>
      <c r="I965" t="s">
        <v>77</v>
      </c>
      <c r="J965" t="s">
        <v>128</v>
      </c>
      <c r="K965" t="s">
        <v>128</v>
      </c>
      <c r="L965" t="s">
        <v>128</v>
      </c>
      <c r="M965" t="s">
        <v>1618</v>
      </c>
      <c r="N965" t="b">
        <v>0</v>
      </c>
    </row>
    <row r="966" spans="1:14">
      <c r="A966">
        <v>61</v>
      </c>
      <c r="B966">
        <v>2</v>
      </c>
      <c r="C966" t="s">
        <v>220</v>
      </c>
      <c r="D966" t="s">
        <v>726</v>
      </c>
      <c r="E966" t="s">
        <v>95</v>
      </c>
      <c r="F966">
        <v>40</v>
      </c>
      <c r="G966" t="s">
        <v>128</v>
      </c>
      <c r="H966" t="s">
        <v>128</v>
      </c>
      <c r="I966" t="s">
        <v>95</v>
      </c>
      <c r="J966" t="s">
        <v>128</v>
      </c>
      <c r="K966" t="s">
        <v>128</v>
      </c>
      <c r="L966" t="s">
        <v>128</v>
      </c>
      <c r="M966" t="s">
        <v>1619</v>
      </c>
      <c r="N966" t="b">
        <v>0</v>
      </c>
    </row>
    <row r="967" spans="1:14">
      <c r="A967">
        <v>61</v>
      </c>
      <c r="B967">
        <v>3</v>
      </c>
      <c r="C967" t="s">
        <v>221</v>
      </c>
      <c r="D967" t="s">
        <v>726</v>
      </c>
      <c r="E967" t="s">
        <v>101</v>
      </c>
      <c r="F967">
        <v>60</v>
      </c>
      <c r="G967" t="s">
        <v>128</v>
      </c>
      <c r="H967" t="s">
        <v>128</v>
      </c>
      <c r="I967" t="s">
        <v>101</v>
      </c>
      <c r="J967" t="s">
        <v>128</v>
      </c>
      <c r="K967" t="s">
        <v>128</v>
      </c>
      <c r="L967" t="s">
        <v>128</v>
      </c>
      <c r="M967" t="s">
        <v>1620</v>
      </c>
      <c r="N967" t="b">
        <v>0</v>
      </c>
    </row>
    <row r="968" spans="1:14">
      <c r="A968">
        <v>61</v>
      </c>
      <c r="B968">
        <v>4</v>
      </c>
      <c r="C968" t="s">
        <v>200</v>
      </c>
      <c r="D968" t="s">
        <v>726</v>
      </c>
      <c r="E968" t="s">
        <v>113</v>
      </c>
      <c r="F968">
        <v>50</v>
      </c>
      <c r="G968" t="s">
        <v>128</v>
      </c>
      <c r="H968" t="s">
        <v>128</v>
      </c>
      <c r="I968" t="s">
        <v>113</v>
      </c>
      <c r="J968" t="s">
        <v>128</v>
      </c>
      <c r="K968" t="s">
        <v>128</v>
      </c>
      <c r="L968" t="s">
        <v>128</v>
      </c>
      <c r="M968" t="s">
        <v>1621</v>
      </c>
      <c r="N968" t="b">
        <v>0</v>
      </c>
    </row>
    <row r="969" spans="1:14">
      <c r="A969">
        <v>61</v>
      </c>
      <c r="B969">
        <v>5</v>
      </c>
      <c r="C969" t="s">
        <v>222</v>
      </c>
      <c r="D969" t="s">
        <v>726</v>
      </c>
      <c r="E969" t="s">
        <v>68</v>
      </c>
      <c r="F969">
        <v>50</v>
      </c>
      <c r="G969" t="s">
        <v>128</v>
      </c>
      <c r="H969" t="s">
        <v>128</v>
      </c>
      <c r="I969" t="s">
        <v>68</v>
      </c>
      <c r="J969" t="s">
        <v>128</v>
      </c>
      <c r="K969" t="s">
        <v>128</v>
      </c>
      <c r="L969" t="s">
        <v>128</v>
      </c>
      <c r="M969" t="s">
        <v>1622</v>
      </c>
      <c r="N969" t="b">
        <v>0</v>
      </c>
    </row>
    <row r="970" spans="1:14">
      <c r="A970">
        <v>61</v>
      </c>
      <c r="B970">
        <v>6</v>
      </c>
      <c r="C970" t="s">
        <v>223</v>
      </c>
      <c r="D970" t="s">
        <v>726</v>
      </c>
      <c r="E970" t="s">
        <v>333</v>
      </c>
      <c r="F970">
        <v>60</v>
      </c>
      <c r="G970" t="s">
        <v>128</v>
      </c>
      <c r="H970" t="s">
        <v>550</v>
      </c>
      <c r="I970" t="s">
        <v>447</v>
      </c>
      <c r="J970" t="s">
        <v>128</v>
      </c>
      <c r="K970" t="s">
        <v>923</v>
      </c>
      <c r="L970" t="s">
        <v>924</v>
      </c>
      <c r="M970" t="s">
        <v>1623</v>
      </c>
      <c r="N970" t="b">
        <v>0</v>
      </c>
    </row>
    <row r="971" spans="1:14">
      <c r="A971">
        <v>61</v>
      </c>
      <c r="B971">
        <v>7</v>
      </c>
      <c r="C971" t="s">
        <v>169</v>
      </c>
      <c r="D971" t="s">
        <v>726</v>
      </c>
      <c r="E971" t="s">
        <v>74</v>
      </c>
      <c r="F971">
        <v>50</v>
      </c>
      <c r="G971" t="s">
        <v>128</v>
      </c>
      <c r="H971" t="s">
        <v>128</v>
      </c>
      <c r="I971" t="s">
        <v>74</v>
      </c>
      <c r="J971" t="s">
        <v>128</v>
      </c>
      <c r="K971" t="s">
        <v>128</v>
      </c>
      <c r="L971" t="s">
        <v>128</v>
      </c>
      <c r="M971" t="s">
        <v>1624</v>
      </c>
      <c r="N971" t="b">
        <v>0</v>
      </c>
    </row>
    <row r="972" spans="1:14">
      <c r="A972">
        <v>61</v>
      </c>
      <c r="B972">
        <v>8</v>
      </c>
      <c r="C972" t="s">
        <v>390</v>
      </c>
      <c r="D972" t="s">
        <v>726</v>
      </c>
      <c r="E972" t="s">
        <v>360</v>
      </c>
      <c r="F972">
        <v>40</v>
      </c>
      <c r="G972" t="s">
        <v>128</v>
      </c>
      <c r="H972" t="s">
        <v>565</v>
      </c>
      <c r="I972" t="s">
        <v>1625</v>
      </c>
      <c r="J972" t="s">
        <v>128</v>
      </c>
      <c r="K972" t="s">
        <v>1166</v>
      </c>
      <c r="L972" t="s">
        <v>1167</v>
      </c>
      <c r="M972" t="s">
        <v>1626</v>
      </c>
      <c r="N972" t="b">
        <v>0</v>
      </c>
    </row>
    <row r="973" spans="1:14">
      <c r="A973">
        <v>61</v>
      </c>
      <c r="B973">
        <v>9</v>
      </c>
      <c r="C973" t="s">
        <v>224</v>
      </c>
      <c r="D973" t="s">
        <v>726</v>
      </c>
      <c r="E973" t="s">
        <v>102</v>
      </c>
      <c r="F973">
        <v>50</v>
      </c>
      <c r="G973" t="s">
        <v>128</v>
      </c>
      <c r="H973" t="s">
        <v>128</v>
      </c>
      <c r="I973" t="s">
        <v>102</v>
      </c>
      <c r="J973" t="s">
        <v>128</v>
      </c>
      <c r="K973" t="s">
        <v>128</v>
      </c>
      <c r="L973" t="s">
        <v>128</v>
      </c>
      <c r="M973" t="s">
        <v>1627</v>
      </c>
      <c r="N973" t="b">
        <v>0</v>
      </c>
    </row>
    <row r="974" spans="1:14">
      <c r="A974">
        <v>61</v>
      </c>
      <c r="B974">
        <v>10</v>
      </c>
      <c r="C974" t="s">
        <v>391</v>
      </c>
      <c r="D974" t="s">
        <v>726</v>
      </c>
      <c r="E974" t="s">
        <v>106</v>
      </c>
      <c r="F974">
        <v>60</v>
      </c>
      <c r="G974" t="s">
        <v>128</v>
      </c>
      <c r="H974" t="s">
        <v>128</v>
      </c>
      <c r="I974" t="s">
        <v>106</v>
      </c>
      <c r="J974" t="s">
        <v>128</v>
      </c>
      <c r="K974" t="s">
        <v>128</v>
      </c>
      <c r="L974" t="s">
        <v>128</v>
      </c>
      <c r="M974" t="s">
        <v>1628</v>
      </c>
      <c r="N974" t="b">
        <v>0</v>
      </c>
    </row>
    <row r="975" spans="1:14">
      <c r="A975">
        <v>61</v>
      </c>
      <c r="B975">
        <v>11</v>
      </c>
      <c r="C975" t="s">
        <v>294</v>
      </c>
      <c r="D975" t="s">
        <v>726</v>
      </c>
      <c r="E975" t="s">
        <v>107</v>
      </c>
      <c r="F975">
        <v>60</v>
      </c>
      <c r="G975" t="s">
        <v>128</v>
      </c>
      <c r="H975" t="s">
        <v>128</v>
      </c>
      <c r="I975" t="s">
        <v>107</v>
      </c>
      <c r="J975" t="s">
        <v>128</v>
      </c>
      <c r="K975" t="s">
        <v>128</v>
      </c>
      <c r="L975" t="s">
        <v>128</v>
      </c>
      <c r="M975" t="s">
        <v>1629</v>
      </c>
      <c r="N975" t="b">
        <v>0</v>
      </c>
    </row>
    <row r="976" spans="1:14">
      <c r="A976">
        <v>61</v>
      </c>
      <c r="B976">
        <v>12</v>
      </c>
      <c r="C976" t="s">
        <v>197</v>
      </c>
      <c r="D976" t="s">
        <v>726</v>
      </c>
      <c r="E976" t="s">
        <v>108</v>
      </c>
      <c r="F976">
        <v>60</v>
      </c>
      <c r="G976" t="s">
        <v>128</v>
      </c>
      <c r="H976" t="s">
        <v>128</v>
      </c>
      <c r="I976" t="s">
        <v>108</v>
      </c>
      <c r="J976" t="s">
        <v>128</v>
      </c>
      <c r="K976" t="s">
        <v>128</v>
      </c>
      <c r="L976" t="s">
        <v>128</v>
      </c>
      <c r="M976" t="s">
        <v>1630</v>
      </c>
      <c r="N976" t="b">
        <v>0</v>
      </c>
    </row>
    <row r="977" spans="1:14">
      <c r="A977">
        <v>61</v>
      </c>
      <c r="B977">
        <v>13</v>
      </c>
      <c r="C977" t="s">
        <v>128</v>
      </c>
      <c r="D977" t="s">
        <v>726</v>
      </c>
      <c r="E977" t="s">
        <v>128</v>
      </c>
      <c r="F977">
        <v>0</v>
      </c>
      <c r="G977" t="s">
        <v>128</v>
      </c>
      <c r="H977" t="s">
        <v>128</v>
      </c>
      <c r="I977" t="s">
        <v>128</v>
      </c>
      <c r="J977" t="s">
        <v>128</v>
      </c>
      <c r="K977" t="s">
        <v>128</v>
      </c>
      <c r="L977" t="s">
        <v>128</v>
      </c>
      <c r="M977" t="s">
        <v>1631</v>
      </c>
      <c r="N977" t="b">
        <v>0</v>
      </c>
    </row>
    <row r="978" spans="1:14">
      <c r="A978">
        <v>61</v>
      </c>
      <c r="B978">
        <v>14</v>
      </c>
      <c r="C978" t="s">
        <v>128</v>
      </c>
      <c r="D978" t="s">
        <v>726</v>
      </c>
      <c r="E978" t="s">
        <v>128</v>
      </c>
      <c r="F978">
        <v>0</v>
      </c>
      <c r="G978" t="s">
        <v>128</v>
      </c>
      <c r="H978" t="s">
        <v>128</v>
      </c>
      <c r="I978" t="s">
        <v>128</v>
      </c>
      <c r="J978" t="s">
        <v>128</v>
      </c>
      <c r="K978" t="s">
        <v>128</v>
      </c>
      <c r="L978" t="s">
        <v>128</v>
      </c>
      <c r="M978" t="s">
        <v>1632</v>
      </c>
      <c r="N978" t="b">
        <v>0</v>
      </c>
    </row>
    <row r="979" spans="1:14">
      <c r="A979">
        <v>61</v>
      </c>
      <c r="B979">
        <v>15</v>
      </c>
      <c r="C979" t="s">
        <v>128</v>
      </c>
      <c r="D979" t="s">
        <v>726</v>
      </c>
      <c r="E979" t="s">
        <v>128</v>
      </c>
      <c r="F979">
        <v>0</v>
      </c>
      <c r="G979" t="s">
        <v>128</v>
      </c>
      <c r="H979" t="s">
        <v>128</v>
      </c>
      <c r="I979" t="s">
        <v>128</v>
      </c>
      <c r="J979" t="s">
        <v>128</v>
      </c>
      <c r="K979" t="s">
        <v>128</v>
      </c>
      <c r="L979" t="s">
        <v>128</v>
      </c>
      <c r="M979" t="s">
        <v>1633</v>
      </c>
      <c r="N979" t="b">
        <v>0</v>
      </c>
    </row>
    <row r="980" spans="1:14">
      <c r="A980">
        <v>61</v>
      </c>
      <c r="B980">
        <v>16</v>
      </c>
      <c r="C980" t="s">
        <v>128</v>
      </c>
      <c r="D980" t="s">
        <v>743</v>
      </c>
      <c r="E980" t="s">
        <v>128</v>
      </c>
      <c r="F980">
        <v>0</v>
      </c>
      <c r="G980" t="s">
        <v>128</v>
      </c>
      <c r="H980" t="s">
        <v>128</v>
      </c>
      <c r="I980" t="s">
        <v>128</v>
      </c>
      <c r="J980" t="s">
        <v>128</v>
      </c>
      <c r="K980" t="s">
        <v>128</v>
      </c>
      <c r="L980" t="s">
        <v>128</v>
      </c>
      <c r="M980" t="s">
        <v>1634</v>
      </c>
      <c r="N980" t="b">
        <v>0</v>
      </c>
    </row>
    <row r="981" spans="1:14">
      <c r="A981">
        <v>61</v>
      </c>
      <c r="B981">
        <v>17</v>
      </c>
      <c r="C981" t="s">
        <v>128</v>
      </c>
      <c r="D981" t="s">
        <v>743</v>
      </c>
      <c r="E981" t="s">
        <v>128</v>
      </c>
      <c r="F981">
        <v>0</v>
      </c>
      <c r="G981" t="s">
        <v>128</v>
      </c>
      <c r="H981" t="s">
        <v>128</v>
      </c>
      <c r="I981" t="s">
        <v>128</v>
      </c>
      <c r="J981" t="s">
        <v>128</v>
      </c>
      <c r="K981" t="s">
        <v>128</v>
      </c>
      <c r="L981" t="s">
        <v>128</v>
      </c>
      <c r="M981" t="s">
        <v>1635</v>
      </c>
      <c r="N981" t="b">
        <v>0</v>
      </c>
    </row>
    <row r="982" spans="1:14">
      <c r="A982">
        <v>61</v>
      </c>
      <c r="B982">
        <v>18</v>
      </c>
      <c r="C982" t="s">
        <v>128</v>
      </c>
      <c r="D982" t="s">
        <v>743</v>
      </c>
      <c r="E982" t="s">
        <v>128</v>
      </c>
      <c r="F982">
        <v>0</v>
      </c>
      <c r="G982" t="s">
        <v>128</v>
      </c>
      <c r="H982" t="s">
        <v>128</v>
      </c>
      <c r="I982" t="s">
        <v>128</v>
      </c>
      <c r="J982" t="s">
        <v>128</v>
      </c>
      <c r="K982" t="s">
        <v>128</v>
      </c>
      <c r="L982" t="s">
        <v>128</v>
      </c>
      <c r="M982" t="s">
        <v>1636</v>
      </c>
      <c r="N982" t="b">
        <v>0</v>
      </c>
    </row>
    <row r="983" spans="1:14">
      <c r="A983">
        <v>61</v>
      </c>
      <c r="B983">
        <v>19</v>
      </c>
      <c r="C983" t="s">
        <v>128</v>
      </c>
      <c r="D983" t="s">
        <v>743</v>
      </c>
      <c r="E983" t="s">
        <v>128</v>
      </c>
      <c r="F983">
        <v>0</v>
      </c>
      <c r="G983" t="s">
        <v>128</v>
      </c>
      <c r="H983" t="s">
        <v>128</v>
      </c>
      <c r="I983" t="s">
        <v>128</v>
      </c>
      <c r="J983" t="s">
        <v>128</v>
      </c>
      <c r="K983" t="s">
        <v>128</v>
      </c>
      <c r="L983" t="s">
        <v>128</v>
      </c>
      <c r="M983" t="s">
        <v>1637</v>
      </c>
      <c r="N983" t="b">
        <v>0</v>
      </c>
    </row>
    <row r="984" spans="1:14">
      <c r="A984">
        <v>61</v>
      </c>
      <c r="B984">
        <v>20</v>
      </c>
      <c r="C984" t="s">
        <v>128</v>
      </c>
      <c r="D984" t="s">
        <v>743</v>
      </c>
      <c r="E984" t="s">
        <v>128</v>
      </c>
      <c r="F984">
        <v>0</v>
      </c>
      <c r="G984" t="s">
        <v>128</v>
      </c>
      <c r="H984" t="s">
        <v>128</v>
      </c>
      <c r="I984" t="s">
        <v>128</v>
      </c>
      <c r="J984" t="s">
        <v>128</v>
      </c>
      <c r="K984" t="s">
        <v>128</v>
      </c>
      <c r="L984" t="s">
        <v>128</v>
      </c>
      <c r="M984" t="s">
        <v>1638</v>
      </c>
      <c r="N984" t="b">
        <v>0</v>
      </c>
    </row>
    <row r="985" spans="1:14">
      <c r="A985">
        <v>61</v>
      </c>
      <c r="B985">
        <v>21</v>
      </c>
      <c r="C985" t="s">
        <v>128</v>
      </c>
      <c r="D985" t="s">
        <v>743</v>
      </c>
      <c r="E985" t="s">
        <v>128</v>
      </c>
      <c r="F985">
        <v>0</v>
      </c>
      <c r="G985" t="s">
        <v>128</v>
      </c>
      <c r="H985" t="s">
        <v>128</v>
      </c>
      <c r="I985" t="s">
        <v>128</v>
      </c>
      <c r="J985" t="s">
        <v>128</v>
      </c>
      <c r="K985" t="s">
        <v>128</v>
      </c>
      <c r="L985" t="s">
        <v>128</v>
      </c>
      <c r="M985" t="s">
        <v>1639</v>
      </c>
      <c r="N985" t="b">
        <v>0</v>
      </c>
    </row>
    <row r="986" spans="1:14">
      <c r="A986">
        <v>61</v>
      </c>
      <c r="B986">
        <v>22</v>
      </c>
      <c r="C986" t="s">
        <v>128</v>
      </c>
      <c r="D986" t="s">
        <v>743</v>
      </c>
      <c r="E986" t="s">
        <v>128</v>
      </c>
      <c r="F986">
        <v>0</v>
      </c>
      <c r="G986" t="s">
        <v>128</v>
      </c>
      <c r="H986" t="s">
        <v>128</v>
      </c>
      <c r="I986" t="s">
        <v>128</v>
      </c>
      <c r="J986" t="s">
        <v>128</v>
      </c>
      <c r="K986" t="s">
        <v>128</v>
      </c>
      <c r="L986" t="s">
        <v>128</v>
      </c>
      <c r="M986" t="s">
        <v>1640</v>
      </c>
      <c r="N986" t="b">
        <v>0</v>
      </c>
    </row>
    <row r="987" spans="1:14">
      <c r="A987">
        <v>61</v>
      </c>
      <c r="B987">
        <v>23</v>
      </c>
      <c r="C987" t="s">
        <v>128</v>
      </c>
      <c r="D987" t="s">
        <v>743</v>
      </c>
      <c r="E987" t="s">
        <v>128</v>
      </c>
      <c r="F987">
        <v>0</v>
      </c>
      <c r="G987" t="s">
        <v>128</v>
      </c>
      <c r="H987" t="s">
        <v>128</v>
      </c>
      <c r="I987" t="s">
        <v>128</v>
      </c>
      <c r="J987" t="s">
        <v>128</v>
      </c>
      <c r="K987" t="s">
        <v>128</v>
      </c>
      <c r="L987" t="s">
        <v>128</v>
      </c>
      <c r="M987" t="s">
        <v>1641</v>
      </c>
      <c r="N987" t="b">
        <v>0</v>
      </c>
    </row>
    <row r="988" spans="1:14">
      <c r="A988">
        <v>61</v>
      </c>
      <c r="B988">
        <v>24</v>
      </c>
      <c r="C988" t="s">
        <v>128</v>
      </c>
      <c r="D988" t="s">
        <v>743</v>
      </c>
      <c r="E988" t="s">
        <v>128</v>
      </c>
      <c r="F988">
        <v>0</v>
      </c>
      <c r="G988" t="s">
        <v>128</v>
      </c>
      <c r="H988" t="s">
        <v>128</v>
      </c>
      <c r="I988" t="s">
        <v>128</v>
      </c>
      <c r="J988" t="s">
        <v>128</v>
      </c>
      <c r="K988" t="s">
        <v>128</v>
      </c>
      <c r="L988" t="s">
        <v>128</v>
      </c>
      <c r="M988" t="s">
        <v>1642</v>
      </c>
      <c r="N988" t="b">
        <v>0</v>
      </c>
    </row>
    <row r="989" spans="1:14">
      <c r="A989">
        <v>61</v>
      </c>
      <c r="B989">
        <v>25</v>
      </c>
      <c r="C989" t="s">
        <v>128</v>
      </c>
      <c r="D989" t="s">
        <v>743</v>
      </c>
      <c r="E989" t="s">
        <v>128</v>
      </c>
      <c r="F989">
        <v>0</v>
      </c>
      <c r="G989" t="s">
        <v>128</v>
      </c>
      <c r="H989" t="s">
        <v>128</v>
      </c>
      <c r="I989" t="s">
        <v>128</v>
      </c>
      <c r="J989" t="s">
        <v>128</v>
      </c>
      <c r="K989" t="s">
        <v>128</v>
      </c>
      <c r="L989" t="s">
        <v>128</v>
      </c>
      <c r="M989" t="s">
        <v>1643</v>
      </c>
      <c r="N989" t="b">
        <v>0</v>
      </c>
    </row>
    <row r="990" spans="1:14">
      <c r="A990">
        <v>61</v>
      </c>
      <c r="B990">
        <v>26</v>
      </c>
      <c r="C990" t="s">
        <v>128</v>
      </c>
      <c r="D990" t="s">
        <v>743</v>
      </c>
      <c r="E990" t="s">
        <v>128</v>
      </c>
      <c r="F990">
        <v>0</v>
      </c>
      <c r="G990" t="s">
        <v>128</v>
      </c>
      <c r="H990" t="s">
        <v>128</v>
      </c>
      <c r="I990" t="s">
        <v>128</v>
      </c>
      <c r="J990" t="s">
        <v>128</v>
      </c>
      <c r="K990" t="s">
        <v>128</v>
      </c>
      <c r="L990" t="s">
        <v>128</v>
      </c>
      <c r="M990" t="s">
        <v>1644</v>
      </c>
      <c r="N990" t="b">
        <v>0</v>
      </c>
    </row>
    <row r="991" spans="1:14">
      <c r="A991">
        <v>62</v>
      </c>
      <c r="B991">
        <v>0</v>
      </c>
      <c r="C991" t="s">
        <v>218</v>
      </c>
      <c r="D991" t="s">
        <v>726</v>
      </c>
      <c r="E991" t="s">
        <v>65</v>
      </c>
      <c r="F991">
        <v>60</v>
      </c>
      <c r="G991" t="s">
        <v>128</v>
      </c>
      <c r="H991" t="s">
        <v>128</v>
      </c>
      <c r="I991" t="s">
        <v>65</v>
      </c>
      <c r="J991" t="s">
        <v>128</v>
      </c>
      <c r="K991" t="s">
        <v>128</v>
      </c>
      <c r="L991" t="s">
        <v>128</v>
      </c>
      <c r="M991" t="s">
        <v>1645</v>
      </c>
      <c r="N991" t="b">
        <v>0</v>
      </c>
    </row>
    <row r="992" spans="1:14">
      <c r="A992">
        <v>62</v>
      </c>
      <c r="B992">
        <v>1</v>
      </c>
      <c r="C992" t="s">
        <v>219</v>
      </c>
      <c r="D992" t="s">
        <v>726</v>
      </c>
      <c r="E992" t="s">
        <v>77</v>
      </c>
      <c r="F992">
        <v>60</v>
      </c>
      <c r="G992" t="s">
        <v>128</v>
      </c>
      <c r="H992" t="s">
        <v>128</v>
      </c>
      <c r="I992" t="s">
        <v>77</v>
      </c>
      <c r="J992" t="s">
        <v>128</v>
      </c>
      <c r="K992" t="s">
        <v>128</v>
      </c>
      <c r="L992" t="s">
        <v>128</v>
      </c>
      <c r="M992" t="s">
        <v>1646</v>
      </c>
      <c r="N992" t="b">
        <v>0</v>
      </c>
    </row>
    <row r="993" spans="1:14">
      <c r="A993">
        <v>62</v>
      </c>
      <c r="B993">
        <v>2</v>
      </c>
      <c r="C993" t="s">
        <v>220</v>
      </c>
      <c r="D993" t="s">
        <v>726</v>
      </c>
      <c r="E993" t="s">
        <v>95</v>
      </c>
      <c r="F993">
        <v>40</v>
      </c>
      <c r="G993" t="s">
        <v>128</v>
      </c>
      <c r="H993" t="s">
        <v>128</v>
      </c>
      <c r="I993" t="s">
        <v>95</v>
      </c>
      <c r="J993" t="s">
        <v>128</v>
      </c>
      <c r="K993" t="s">
        <v>128</v>
      </c>
      <c r="L993" t="s">
        <v>128</v>
      </c>
      <c r="M993" t="s">
        <v>1647</v>
      </c>
      <c r="N993" t="b">
        <v>0</v>
      </c>
    </row>
    <row r="994" spans="1:14">
      <c r="A994">
        <v>62</v>
      </c>
      <c r="B994">
        <v>3</v>
      </c>
      <c r="C994" t="s">
        <v>307</v>
      </c>
      <c r="D994" t="s">
        <v>726</v>
      </c>
      <c r="E994" t="s">
        <v>97</v>
      </c>
      <c r="F994">
        <v>50</v>
      </c>
      <c r="G994" t="s">
        <v>128</v>
      </c>
      <c r="H994" t="s">
        <v>128</v>
      </c>
      <c r="I994" t="s">
        <v>97</v>
      </c>
      <c r="J994" t="s">
        <v>128</v>
      </c>
      <c r="K994" t="s">
        <v>128</v>
      </c>
      <c r="L994" t="s">
        <v>128</v>
      </c>
      <c r="M994" t="s">
        <v>1648</v>
      </c>
      <c r="N994" t="b">
        <v>0</v>
      </c>
    </row>
    <row r="995" spans="1:14">
      <c r="A995">
        <v>62</v>
      </c>
      <c r="B995">
        <v>4</v>
      </c>
      <c r="C995" t="s">
        <v>221</v>
      </c>
      <c r="D995" t="s">
        <v>726</v>
      </c>
      <c r="E995" t="s">
        <v>101</v>
      </c>
      <c r="F995">
        <v>60</v>
      </c>
      <c r="G995" t="s">
        <v>128</v>
      </c>
      <c r="H995" t="s">
        <v>128</v>
      </c>
      <c r="I995" t="s">
        <v>101</v>
      </c>
      <c r="J995" t="s">
        <v>128</v>
      </c>
      <c r="K995" t="s">
        <v>128</v>
      </c>
      <c r="L995" t="s">
        <v>128</v>
      </c>
      <c r="M995" t="s">
        <v>1649</v>
      </c>
      <c r="N995" t="b">
        <v>0</v>
      </c>
    </row>
    <row r="996" spans="1:14">
      <c r="A996">
        <v>62</v>
      </c>
      <c r="B996">
        <v>5</v>
      </c>
      <c r="C996" t="s">
        <v>200</v>
      </c>
      <c r="D996" t="s">
        <v>726</v>
      </c>
      <c r="E996" t="s">
        <v>113</v>
      </c>
      <c r="F996">
        <v>50</v>
      </c>
      <c r="G996" t="s">
        <v>128</v>
      </c>
      <c r="H996" t="s">
        <v>128</v>
      </c>
      <c r="I996" t="s">
        <v>113</v>
      </c>
      <c r="J996" t="s">
        <v>128</v>
      </c>
      <c r="K996" t="s">
        <v>128</v>
      </c>
      <c r="L996" t="s">
        <v>128</v>
      </c>
      <c r="M996" t="s">
        <v>1650</v>
      </c>
      <c r="N996" t="b">
        <v>0</v>
      </c>
    </row>
    <row r="997" spans="1:14">
      <c r="A997">
        <v>62</v>
      </c>
      <c r="B997">
        <v>6</v>
      </c>
      <c r="C997" t="s">
        <v>222</v>
      </c>
      <c r="D997" t="s">
        <v>726</v>
      </c>
      <c r="E997" t="s">
        <v>68</v>
      </c>
      <c r="F997">
        <v>50</v>
      </c>
      <c r="G997" t="s">
        <v>128</v>
      </c>
      <c r="H997" t="s">
        <v>128</v>
      </c>
      <c r="I997" t="s">
        <v>68</v>
      </c>
      <c r="J997" t="s">
        <v>128</v>
      </c>
      <c r="K997" t="s">
        <v>128</v>
      </c>
      <c r="L997" t="s">
        <v>128</v>
      </c>
      <c r="M997" t="s">
        <v>1651</v>
      </c>
      <c r="N997" t="b">
        <v>0</v>
      </c>
    </row>
    <row r="998" spans="1:14">
      <c r="A998">
        <v>62</v>
      </c>
      <c r="B998">
        <v>7</v>
      </c>
      <c r="C998" t="s">
        <v>223</v>
      </c>
      <c r="D998" t="s">
        <v>726</v>
      </c>
      <c r="E998" t="s">
        <v>333</v>
      </c>
      <c r="F998">
        <v>60</v>
      </c>
      <c r="G998" t="s">
        <v>128</v>
      </c>
      <c r="H998" t="s">
        <v>550</v>
      </c>
      <c r="I998" t="s">
        <v>447</v>
      </c>
      <c r="J998" t="s">
        <v>128</v>
      </c>
      <c r="K998" t="s">
        <v>923</v>
      </c>
      <c r="L998" t="s">
        <v>924</v>
      </c>
      <c r="M998" t="s">
        <v>1652</v>
      </c>
      <c r="N998" t="b">
        <v>0</v>
      </c>
    </row>
    <row r="999" spans="1:14">
      <c r="A999">
        <v>62</v>
      </c>
      <c r="B999">
        <v>8</v>
      </c>
      <c r="C999" t="s">
        <v>357</v>
      </c>
      <c r="D999" t="s">
        <v>726</v>
      </c>
      <c r="E999" t="s">
        <v>74</v>
      </c>
      <c r="F999">
        <v>60</v>
      </c>
      <c r="G999" t="s">
        <v>128</v>
      </c>
      <c r="H999" t="s">
        <v>128</v>
      </c>
      <c r="I999" t="s">
        <v>74</v>
      </c>
      <c r="J999" t="s">
        <v>128</v>
      </c>
      <c r="K999" t="s">
        <v>128</v>
      </c>
      <c r="L999" t="s">
        <v>128</v>
      </c>
      <c r="M999" t="s">
        <v>1653</v>
      </c>
      <c r="N999" t="b">
        <v>0</v>
      </c>
    </row>
    <row r="1000" spans="1:14">
      <c r="A1000">
        <v>62</v>
      </c>
      <c r="B1000">
        <v>9</v>
      </c>
      <c r="C1000" t="s">
        <v>393</v>
      </c>
      <c r="D1000" t="s">
        <v>726</v>
      </c>
      <c r="E1000" t="s">
        <v>102</v>
      </c>
      <c r="F1000">
        <v>60</v>
      </c>
      <c r="G1000" t="s">
        <v>128</v>
      </c>
      <c r="H1000" t="s">
        <v>128</v>
      </c>
      <c r="I1000" t="s">
        <v>102</v>
      </c>
      <c r="J1000" t="s">
        <v>128</v>
      </c>
      <c r="K1000" t="s">
        <v>128</v>
      </c>
      <c r="L1000" t="s">
        <v>128</v>
      </c>
      <c r="M1000" t="s">
        <v>1654</v>
      </c>
      <c r="N1000" t="b">
        <v>0</v>
      </c>
    </row>
    <row r="1001" spans="1:14">
      <c r="A1001">
        <v>62</v>
      </c>
      <c r="B1001">
        <v>10</v>
      </c>
      <c r="C1001" t="s">
        <v>391</v>
      </c>
      <c r="D1001" t="s">
        <v>726</v>
      </c>
      <c r="E1001" t="s">
        <v>106</v>
      </c>
      <c r="F1001">
        <v>60</v>
      </c>
      <c r="G1001" t="s">
        <v>128</v>
      </c>
      <c r="H1001" t="s">
        <v>128</v>
      </c>
      <c r="I1001" t="s">
        <v>106</v>
      </c>
      <c r="J1001" t="s">
        <v>128</v>
      </c>
      <c r="K1001" t="s">
        <v>128</v>
      </c>
      <c r="L1001" t="s">
        <v>128</v>
      </c>
      <c r="M1001" t="s">
        <v>1655</v>
      </c>
      <c r="N1001" t="b">
        <v>0</v>
      </c>
    </row>
    <row r="1002" spans="1:14">
      <c r="A1002">
        <v>62</v>
      </c>
      <c r="B1002">
        <v>11</v>
      </c>
      <c r="C1002" t="s">
        <v>225</v>
      </c>
      <c r="D1002" t="s">
        <v>726</v>
      </c>
      <c r="E1002" t="s">
        <v>107</v>
      </c>
      <c r="F1002">
        <v>50</v>
      </c>
      <c r="G1002" t="s">
        <v>128</v>
      </c>
      <c r="H1002" t="s">
        <v>128</v>
      </c>
      <c r="I1002" t="s">
        <v>107</v>
      </c>
      <c r="J1002" t="s">
        <v>128</v>
      </c>
      <c r="K1002" t="s">
        <v>128</v>
      </c>
      <c r="L1002" t="s">
        <v>128</v>
      </c>
      <c r="M1002" t="s">
        <v>1656</v>
      </c>
      <c r="N1002" t="b">
        <v>0</v>
      </c>
    </row>
    <row r="1003" spans="1:14">
      <c r="A1003">
        <v>62</v>
      </c>
      <c r="B1003">
        <v>12</v>
      </c>
      <c r="C1003" t="s">
        <v>197</v>
      </c>
      <c r="D1003" t="s">
        <v>726</v>
      </c>
      <c r="E1003" t="s">
        <v>108</v>
      </c>
      <c r="F1003">
        <v>60</v>
      </c>
      <c r="G1003" t="s">
        <v>128</v>
      </c>
      <c r="H1003" t="s">
        <v>128</v>
      </c>
      <c r="I1003" t="s">
        <v>108</v>
      </c>
      <c r="J1003" t="s">
        <v>128</v>
      </c>
      <c r="K1003" t="s">
        <v>128</v>
      </c>
      <c r="L1003" t="s">
        <v>128</v>
      </c>
      <c r="M1003" t="s">
        <v>759</v>
      </c>
      <c r="N1003" t="b">
        <v>0</v>
      </c>
    </row>
    <row r="1004" spans="1:14">
      <c r="A1004">
        <v>62</v>
      </c>
      <c r="B1004">
        <v>13</v>
      </c>
      <c r="C1004" t="s">
        <v>128</v>
      </c>
      <c r="D1004" t="s">
        <v>726</v>
      </c>
      <c r="E1004" t="s">
        <v>128</v>
      </c>
      <c r="F1004">
        <v>0</v>
      </c>
      <c r="G1004" t="s">
        <v>128</v>
      </c>
      <c r="H1004" t="s">
        <v>128</v>
      </c>
      <c r="I1004" t="s">
        <v>128</v>
      </c>
      <c r="J1004" t="s">
        <v>128</v>
      </c>
      <c r="K1004" t="s">
        <v>128</v>
      </c>
      <c r="L1004" t="s">
        <v>128</v>
      </c>
      <c r="M1004" t="s">
        <v>1657</v>
      </c>
      <c r="N1004" t="b">
        <v>0</v>
      </c>
    </row>
    <row r="1005" spans="1:14">
      <c r="A1005">
        <v>62</v>
      </c>
      <c r="B1005">
        <v>14</v>
      </c>
      <c r="C1005" t="s">
        <v>128</v>
      </c>
      <c r="D1005" t="s">
        <v>726</v>
      </c>
      <c r="E1005" t="s">
        <v>128</v>
      </c>
      <c r="F1005">
        <v>0</v>
      </c>
      <c r="G1005" t="s">
        <v>128</v>
      </c>
      <c r="H1005" t="s">
        <v>128</v>
      </c>
      <c r="I1005" t="s">
        <v>128</v>
      </c>
      <c r="J1005" t="s">
        <v>128</v>
      </c>
      <c r="K1005" t="s">
        <v>128</v>
      </c>
      <c r="L1005" t="s">
        <v>128</v>
      </c>
      <c r="M1005" t="s">
        <v>1658</v>
      </c>
      <c r="N1005" t="b">
        <v>0</v>
      </c>
    </row>
    <row r="1006" spans="1:14">
      <c r="A1006">
        <v>62</v>
      </c>
      <c r="B1006">
        <v>15</v>
      </c>
      <c r="C1006" t="s">
        <v>128</v>
      </c>
      <c r="D1006" t="s">
        <v>726</v>
      </c>
      <c r="E1006" t="s">
        <v>128</v>
      </c>
      <c r="F1006">
        <v>0</v>
      </c>
      <c r="G1006" t="s">
        <v>128</v>
      </c>
      <c r="H1006" t="s">
        <v>128</v>
      </c>
      <c r="I1006" t="s">
        <v>128</v>
      </c>
      <c r="J1006" t="s">
        <v>128</v>
      </c>
      <c r="K1006" t="s">
        <v>128</v>
      </c>
      <c r="L1006" t="s">
        <v>128</v>
      </c>
      <c r="M1006" t="s">
        <v>1659</v>
      </c>
      <c r="N1006" t="b">
        <v>0</v>
      </c>
    </row>
    <row r="1007" spans="1:14">
      <c r="A1007">
        <v>62</v>
      </c>
      <c r="B1007">
        <v>16</v>
      </c>
      <c r="C1007" t="s">
        <v>128</v>
      </c>
      <c r="D1007" t="s">
        <v>743</v>
      </c>
      <c r="E1007" t="s">
        <v>128</v>
      </c>
      <c r="F1007">
        <v>0</v>
      </c>
      <c r="G1007" t="s">
        <v>128</v>
      </c>
      <c r="H1007" t="s">
        <v>128</v>
      </c>
      <c r="I1007" t="s">
        <v>128</v>
      </c>
      <c r="J1007" t="s">
        <v>128</v>
      </c>
      <c r="K1007" t="s">
        <v>128</v>
      </c>
      <c r="L1007" t="s">
        <v>128</v>
      </c>
      <c r="M1007" t="s">
        <v>1660</v>
      </c>
      <c r="N1007" t="b">
        <v>0</v>
      </c>
    </row>
    <row r="1008" spans="1:14">
      <c r="A1008">
        <v>62</v>
      </c>
      <c r="B1008">
        <v>17</v>
      </c>
      <c r="C1008" t="s">
        <v>128</v>
      </c>
      <c r="D1008" t="s">
        <v>743</v>
      </c>
      <c r="E1008" t="s">
        <v>128</v>
      </c>
      <c r="F1008">
        <v>0</v>
      </c>
      <c r="G1008" t="s">
        <v>128</v>
      </c>
      <c r="H1008" t="s">
        <v>128</v>
      </c>
      <c r="I1008" t="s">
        <v>128</v>
      </c>
      <c r="J1008" t="s">
        <v>128</v>
      </c>
      <c r="K1008" t="s">
        <v>128</v>
      </c>
      <c r="L1008" t="s">
        <v>128</v>
      </c>
      <c r="M1008" t="s">
        <v>1661</v>
      </c>
      <c r="N1008" t="b">
        <v>0</v>
      </c>
    </row>
    <row r="1009" spans="1:14">
      <c r="A1009">
        <v>62</v>
      </c>
      <c r="B1009">
        <v>18</v>
      </c>
      <c r="C1009" t="s">
        <v>128</v>
      </c>
      <c r="D1009" t="s">
        <v>743</v>
      </c>
      <c r="E1009" t="s">
        <v>128</v>
      </c>
      <c r="F1009">
        <v>0</v>
      </c>
      <c r="G1009" t="s">
        <v>128</v>
      </c>
      <c r="H1009" t="s">
        <v>128</v>
      </c>
      <c r="I1009" t="s">
        <v>128</v>
      </c>
      <c r="J1009" t="s">
        <v>128</v>
      </c>
      <c r="K1009" t="s">
        <v>128</v>
      </c>
      <c r="L1009" t="s">
        <v>128</v>
      </c>
      <c r="M1009" t="s">
        <v>1662</v>
      </c>
      <c r="N1009" t="b">
        <v>0</v>
      </c>
    </row>
    <row r="1010" spans="1:14">
      <c r="A1010">
        <v>62</v>
      </c>
      <c r="B1010">
        <v>19</v>
      </c>
      <c r="C1010" t="s">
        <v>128</v>
      </c>
      <c r="D1010" t="s">
        <v>743</v>
      </c>
      <c r="E1010" t="s">
        <v>128</v>
      </c>
      <c r="F1010">
        <v>0</v>
      </c>
      <c r="G1010" t="s">
        <v>128</v>
      </c>
      <c r="H1010" t="s">
        <v>128</v>
      </c>
      <c r="I1010" t="s">
        <v>128</v>
      </c>
      <c r="J1010" t="s">
        <v>128</v>
      </c>
      <c r="K1010" t="s">
        <v>128</v>
      </c>
      <c r="L1010" t="s">
        <v>128</v>
      </c>
      <c r="M1010" t="s">
        <v>1663</v>
      </c>
      <c r="N1010" t="b">
        <v>0</v>
      </c>
    </row>
    <row r="1011" spans="1:14">
      <c r="A1011">
        <v>62</v>
      </c>
      <c r="B1011">
        <v>20</v>
      </c>
      <c r="C1011" t="s">
        <v>128</v>
      </c>
      <c r="D1011" t="s">
        <v>743</v>
      </c>
      <c r="E1011" t="s">
        <v>128</v>
      </c>
      <c r="F1011">
        <v>0</v>
      </c>
      <c r="G1011" t="s">
        <v>128</v>
      </c>
      <c r="H1011" t="s">
        <v>128</v>
      </c>
      <c r="I1011" t="s">
        <v>128</v>
      </c>
      <c r="J1011" t="s">
        <v>128</v>
      </c>
      <c r="K1011" t="s">
        <v>128</v>
      </c>
      <c r="L1011" t="s">
        <v>128</v>
      </c>
      <c r="M1011" t="s">
        <v>1664</v>
      </c>
      <c r="N1011" t="b">
        <v>0</v>
      </c>
    </row>
    <row r="1012" spans="1:14">
      <c r="A1012">
        <v>62</v>
      </c>
      <c r="B1012">
        <v>21</v>
      </c>
      <c r="C1012" t="s">
        <v>128</v>
      </c>
      <c r="D1012" t="s">
        <v>743</v>
      </c>
      <c r="E1012" t="s">
        <v>128</v>
      </c>
      <c r="F1012">
        <v>0</v>
      </c>
      <c r="G1012" t="s">
        <v>128</v>
      </c>
      <c r="H1012" t="s">
        <v>128</v>
      </c>
      <c r="I1012" t="s">
        <v>128</v>
      </c>
      <c r="J1012" t="s">
        <v>128</v>
      </c>
      <c r="K1012" t="s">
        <v>128</v>
      </c>
      <c r="L1012" t="s">
        <v>128</v>
      </c>
      <c r="M1012" t="s">
        <v>1665</v>
      </c>
      <c r="N1012" t="b">
        <v>0</v>
      </c>
    </row>
    <row r="1013" spans="1:14">
      <c r="A1013">
        <v>62</v>
      </c>
      <c r="B1013">
        <v>22</v>
      </c>
      <c r="C1013" t="s">
        <v>128</v>
      </c>
      <c r="D1013" t="s">
        <v>743</v>
      </c>
      <c r="E1013" t="s">
        <v>128</v>
      </c>
      <c r="F1013">
        <v>0</v>
      </c>
      <c r="G1013" t="s">
        <v>128</v>
      </c>
      <c r="H1013" t="s">
        <v>128</v>
      </c>
      <c r="I1013" t="s">
        <v>128</v>
      </c>
      <c r="J1013" t="s">
        <v>128</v>
      </c>
      <c r="K1013" t="s">
        <v>128</v>
      </c>
      <c r="L1013" t="s">
        <v>128</v>
      </c>
      <c r="M1013" t="s">
        <v>1666</v>
      </c>
      <c r="N1013" t="b">
        <v>0</v>
      </c>
    </row>
    <row r="1014" spans="1:14">
      <c r="A1014">
        <v>62</v>
      </c>
      <c r="B1014">
        <v>23</v>
      </c>
      <c r="C1014" t="s">
        <v>128</v>
      </c>
      <c r="D1014" t="s">
        <v>743</v>
      </c>
      <c r="E1014" t="s">
        <v>128</v>
      </c>
      <c r="F1014">
        <v>0</v>
      </c>
      <c r="G1014" t="s">
        <v>128</v>
      </c>
      <c r="H1014" t="s">
        <v>128</v>
      </c>
      <c r="I1014" t="s">
        <v>128</v>
      </c>
      <c r="J1014" t="s">
        <v>128</v>
      </c>
      <c r="K1014" t="s">
        <v>128</v>
      </c>
      <c r="L1014" t="s">
        <v>128</v>
      </c>
      <c r="M1014" t="s">
        <v>1667</v>
      </c>
      <c r="N1014" t="b">
        <v>0</v>
      </c>
    </row>
    <row r="1015" spans="1:14">
      <c r="A1015">
        <v>62</v>
      </c>
      <c r="B1015">
        <v>24</v>
      </c>
      <c r="C1015" t="s">
        <v>128</v>
      </c>
      <c r="D1015" t="s">
        <v>743</v>
      </c>
      <c r="E1015" t="s">
        <v>128</v>
      </c>
      <c r="F1015">
        <v>0</v>
      </c>
      <c r="G1015" t="s">
        <v>128</v>
      </c>
      <c r="H1015" t="s">
        <v>128</v>
      </c>
      <c r="I1015" t="s">
        <v>128</v>
      </c>
      <c r="J1015" t="s">
        <v>128</v>
      </c>
      <c r="K1015" t="s">
        <v>128</v>
      </c>
      <c r="L1015" t="s">
        <v>128</v>
      </c>
      <c r="M1015" t="s">
        <v>1668</v>
      </c>
      <c r="N1015" t="b">
        <v>0</v>
      </c>
    </row>
    <row r="1016" spans="1:14">
      <c r="A1016">
        <v>62</v>
      </c>
      <c r="B1016">
        <v>25</v>
      </c>
      <c r="C1016" t="s">
        <v>128</v>
      </c>
      <c r="D1016" t="s">
        <v>743</v>
      </c>
      <c r="E1016" t="s">
        <v>128</v>
      </c>
      <c r="F1016">
        <v>0</v>
      </c>
      <c r="G1016" t="s">
        <v>128</v>
      </c>
      <c r="H1016" t="s">
        <v>128</v>
      </c>
      <c r="I1016" t="s">
        <v>128</v>
      </c>
      <c r="J1016" t="s">
        <v>128</v>
      </c>
      <c r="K1016" t="s">
        <v>128</v>
      </c>
      <c r="L1016" t="s">
        <v>128</v>
      </c>
      <c r="M1016" t="s">
        <v>1669</v>
      </c>
      <c r="N1016" t="b">
        <v>0</v>
      </c>
    </row>
    <row r="1017" spans="1:14">
      <c r="A1017">
        <v>62</v>
      </c>
      <c r="B1017">
        <v>26</v>
      </c>
      <c r="C1017" t="s">
        <v>128</v>
      </c>
      <c r="D1017" t="s">
        <v>743</v>
      </c>
      <c r="E1017" t="s">
        <v>128</v>
      </c>
      <c r="F1017">
        <v>0</v>
      </c>
      <c r="G1017" t="s">
        <v>128</v>
      </c>
      <c r="H1017" t="s">
        <v>128</v>
      </c>
      <c r="I1017" t="s">
        <v>128</v>
      </c>
      <c r="J1017" t="s">
        <v>128</v>
      </c>
      <c r="K1017" t="s">
        <v>128</v>
      </c>
      <c r="L1017" t="s">
        <v>128</v>
      </c>
      <c r="M1017" t="s">
        <v>1670</v>
      </c>
      <c r="N1017" t="b">
        <v>0</v>
      </c>
    </row>
    <row r="1018" spans="1:14">
      <c r="A1018">
        <v>63</v>
      </c>
      <c r="B1018">
        <v>0</v>
      </c>
      <c r="C1018" t="s">
        <v>395</v>
      </c>
      <c r="D1018" t="s">
        <v>755</v>
      </c>
      <c r="E1018" t="s">
        <v>545</v>
      </c>
      <c r="F1018">
        <v>50</v>
      </c>
      <c r="G1018" t="s">
        <v>1671</v>
      </c>
      <c r="H1018" t="s">
        <v>128</v>
      </c>
      <c r="I1018" t="s">
        <v>128</v>
      </c>
      <c r="J1018" t="s">
        <v>1672</v>
      </c>
      <c r="K1018" t="s">
        <v>1105</v>
      </c>
      <c r="L1018" t="s">
        <v>1058</v>
      </c>
      <c r="M1018" t="s">
        <v>1673</v>
      </c>
      <c r="N1018" t="b">
        <v>0</v>
      </c>
    </row>
    <row r="1019" spans="1:14">
      <c r="A1019">
        <v>63</v>
      </c>
      <c r="B1019">
        <v>1</v>
      </c>
      <c r="C1019" t="s">
        <v>219</v>
      </c>
      <c r="D1019" t="s">
        <v>726</v>
      </c>
      <c r="E1019" t="s">
        <v>77</v>
      </c>
      <c r="F1019">
        <v>60</v>
      </c>
      <c r="G1019" t="s">
        <v>128</v>
      </c>
      <c r="H1019" t="s">
        <v>128</v>
      </c>
      <c r="I1019" t="s">
        <v>77</v>
      </c>
      <c r="J1019" t="s">
        <v>128</v>
      </c>
      <c r="K1019" t="s">
        <v>128</v>
      </c>
      <c r="L1019" t="s">
        <v>128</v>
      </c>
      <c r="M1019" t="s">
        <v>1674</v>
      </c>
      <c r="N1019" t="b">
        <v>0</v>
      </c>
    </row>
    <row r="1020" spans="1:14">
      <c r="A1020">
        <v>63</v>
      </c>
      <c r="B1020">
        <v>2</v>
      </c>
      <c r="C1020" t="s">
        <v>181</v>
      </c>
      <c r="D1020" t="s">
        <v>726</v>
      </c>
      <c r="E1020" t="s">
        <v>83</v>
      </c>
      <c r="F1020">
        <v>50</v>
      </c>
      <c r="G1020" t="s">
        <v>128</v>
      </c>
      <c r="H1020" t="s">
        <v>128</v>
      </c>
      <c r="I1020" t="s">
        <v>83</v>
      </c>
      <c r="J1020" t="s">
        <v>128</v>
      </c>
      <c r="K1020" t="s">
        <v>128</v>
      </c>
      <c r="L1020" t="s">
        <v>128</v>
      </c>
      <c r="M1020" t="s">
        <v>1675</v>
      </c>
      <c r="N1020" t="b">
        <v>0</v>
      </c>
    </row>
    <row r="1021" spans="1:14">
      <c r="A1021">
        <v>63</v>
      </c>
      <c r="B1021">
        <v>3</v>
      </c>
      <c r="C1021" t="s">
        <v>396</v>
      </c>
      <c r="D1021" t="s">
        <v>726</v>
      </c>
      <c r="E1021" t="s">
        <v>87</v>
      </c>
      <c r="F1021">
        <v>30</v>
      </c>
      <c r="G1021" t="s">
        <v>128</v>
      </c>
      <c r="H1021" t="s">
        <v>128</v>
      </c>
      <c r="I1021" t="s">
        <v>87</v>
      </c>
      <c r="J1021" t="s">
        <v>128</v>
      </c>
      <c r="K1021" t="s">
        <v>128</v>
      </c>
      <c r="L1021" t="s">
        <v>128</v>
      </c>
      <c r="M1021" t="s">
        <v>1676</v>
      </c>
      <c r="N1021" t="b">
        <v>0</v>
      </c>
    </row>
    <row r="1022" spans="1:14">
      <c r="A1022">
        <v>63</v>
      </c>
      <c r="B1022">
        <v>4</v>
      </c>
      <c r="C1022" t="s">
        <v>397</v>
      </c>
      <c r="D1022" t="s">
        <v>726</v>
      </c>
      <c r="E1022" t="s">
        <v>546</v>
      </c>
      <c r="F1022">
        <v>30</v>
      </c>
      <c r="G1022" t="s">
        <v>128</v>
      </c>
      <c r="H1022" t="s">
        <v>1677</v>
      </c>
      <c r="I1022" t="s">
        <v>372</v>
      </c>
      <c r="J1022" t="s">
        <v>128</v>
      </c>
      <c r="K1022" t="s">
        <v>794</v>
      </c>
      <c r="L1022" t="s">
        <v>795</v>
      </c>
      <c r="M1022" t="s">
        <v>1678</v>
      </c>
      <c r="N1022" t="b">
        <v>0</v>
      </c>
    </row>
    <row r="1023" spans="1:14">
      <c r="A1023">
        <v>63</v>
      </c>
      <c r="B1023">
        <v>5</v>
      </c>
      <c r="C1023" t="s">
        <v>231</v>
      </c>
      <c r="D1023" t="s">
        <v>726</v>
      </c>
      <c r="E1023" t="s">
        <v>101</v>
      </c>
      <c r="F1023">
        <v>40</v>
      </c>
      <c r="G1023" t="s">
        <v>128</v>
      </c>
      <c r="H1023" t="s">
        <v>128</v>
      </c>
      <c r="I1023" t="s">
        <v>101</v>
      </c>
      <c r="J1023" t="s">
        <v>128</v>
      </c>
      <c r="K1023" t="s">
        <v>128</v>
      </c>
      <c r="L1023" t="s">
        <v>128</v>
      </c>
      <c r="M1023" t="s">
        <v>1679</v>
      </c>
      <c r="N1023" t="b">
        <v>0</v>
      </c>
    </row>
    <row r="1024" spans="1:14">
      <c r="A1024">
        <v>63</v>
      </c>
      <c r="B1024">
        <v>6</v>
      </c>
      <c r="C1024" t="s">
        <v>248</v>
      </c>
      <c r="D1024" t="s">
        <v>726</v>
      </c>
      <c r="E1024" t="s">
        <v>114</v>
      </c>
      <c r="F1024">
        <v>40</v>
      </c>
      <c r="G1024" t="s">
        <v>128</v>
      </c>
      <c r="H1024" t="s">
        <v>128</v>
      </c>
      <c r="I1024" t="s">
        <v>114</v>
      </c>
      <c r="J1024" t="s">
        <v>128</v>
      </c>
      <c r="K1024" t="s">
        <v>128</v>
      </c>
      <c r="L1024" t="s">
        <v>128</v>
      </c>
      <c r="M1024" t="s">
        <v>1680</v>
      </c>
      <c r="N1024" t="b">
        <v>0</v>
      </c>
    </row>
    <row r="1025" spans="1:14">
      <c r="A1025">
        <v>63</v>
      </c>
      <c r="B1025">
        <v>7</v>
      </c>
      <c r="C1025" t="s">
        <v>168</v>
      </c>
      <c r="D1025" t="s">
        <v>726</v>
      </c>
      <c r="E1025" t="s">
        <v>115</v>
      </c>
      <c r="F1025">
        <v>50</v>
      </c>
      <c r="G1025" t="s">
        <v>128</v>
      </c>
      <c r="H1025" t="s">
        <v>128</v>
      </c>
      <c r="I1025" t="s">
        <v>115</v>
      </c>
      <c r="J1025" t="s">
        <v>128</v>
      </c>
      <c r="K1025" t="s">
        <v>128</v>
      </c>
      <c r="L1025" t="s">
        <v>128</v>
      </c>
      <c r="M1025" t="s">
        <v>1681</v>
      </c>
      <c r="N1025" t="b">
        <v>0</v>
      </c>
    </row>
    <row r="1026" spans="1:14">
      <c r="A1026">
        <v>63</v>
      </c>
      <c r="B1026">
        <v>8</v>
      </c>
      <c r="C1026" t="s">
        <v>233</v>
      </c>
      <c r="D1026" t="s">
        <v>726</v>
      </c>
      <c r="E1026" t="s">
        <v>68</v>
      </c>
      <c r="F1026">
        <v>40</v>
      </c>
      <c r="G1026" t="s">
        <v>128</v>
      </c>
      <c r="H1026" t="s">
        <v>128</v>
      </c>
      <c r="I1026" t="s">
        <v>68</v>
      </c>
      <c r="J1026" t="s">
        <v>128</v>
      </c>
      <c r="K1026" t="s">
        <v>128</v>
      </c>
      <c r="L1026" t="s">
        <v>128</v>
      </c>
      <c r="M1026" t="s">
        <v>1682</v>
      </c>
      <c r="N1026" t="b">
        <v>0</v>
      </c>
    </row>
    <row r="1027" spans="1:14">
      <c r="A1027">
        <v>63</v>
      </c>
      <c r="B1027">
        <v>9</v>
      </c>
      <c r="C1027" t="s">
        <v>195</v>
      </c>
      <c r="D1027" t="s">
        <v>726</v>
      </c>
      <c r="E1027" t="s">
        <v>78</v>
      </c>
      <c r="F1027">
        <v>50</v>
      </c>
      <c r="G1027" t="s">
        <v>128</v>
      </c>
      <c r="H1027" t="s">
        <v>128</v>
      </c>
      <c r="I1027" t="s">
        <v>78</v>
      </c>
      <c r="J1027" t="s">
        <v>128</v>
      </c>
      <c r="K1027" t="s">
        <v>128</v>
      </c>
      <c r="L1027" t="s">
        <v>128</v>
      </c>
      <c r="M1027" t="s">
        <v>1683</v>
      </c>
      <c r="N1027" t="b">
        <v>0</v>
      </c>
    </row>
    <row r="1028" spans="1:14">
      <c r="A1028">
        <v>63</v>
      </c>
      <c r="B1028">
        <v>10</v>
      </c>
      <c r="C1028" t="s">
        <v>398</v>
      </c>
      <c r="D1028" t="s">
        <v>726</v>
      </c>
      <c r="E1028" t="s">
        <v>106</v>
      </c>
      <c r="F1028">
        <v>40</v>
      </c>
      <c r="G1028" t="s">
        <v>128</v>
      </c>
      <c r="H1028" t="s">
        <v>128</v>
      </c>
      <c r="I1028" t="s">
        <v>106</v>
      </c>
      <c r="J1028" t="s">
        <v>128</v>
      </c>
      <c r="K1028" t="s">
        <v>128</v>
      </c>
      <c r="L1028" t="s">
        <v>128</v>
      </c>
      <c r="M1028" t="s">
        <v>1684</v>
      </c>
      <c r="N1028" t="b">
        <v>0</v>
      </c>
    </row>
    <row r="1029" spans="1:14">
      <c r="A1029">
        <v>63</v>
      </c>
      <c r="B1029">
        <v>11</v>
      </c>
      <c r="C1029" t="s">
        <v>234</v>
      </c>
      <c r="D1029" t="s">
        <v>726</v>
      </c>
      <c r="E1029" t="s">
        <v>108</v>
      </c>
      <c r="F1029">
        <v>50</v>
      </c>
      <c r="G1029" t="s">
        <v>128</v>
      </c>
      <c r="H1029" t="s">
        <v>128</v>
      </c>
      <c r="I1029" t="s">
        <v>108</v>
      </c>
      <c r="J1029" t="s">
        <v>128</v>
      </c>
      <c r="K1029" t="s">
        <v>128</v>
      </c>
      <c r="L1029" t="s">
        <v>128</v>
      </c>
      <c r="M1029" t="s">
        <v>1685</v>
      </c>
      <c r="N1029" t="b">
        <v>0</v>
      </c>
    </row>
    <row r="1030" spans="1:14">
      <c r="A1030">
        <v>63</v>
      </c>
      <c r="B1030">
        <v>12</v>
      </c>
      <c r="C1030" t="s">
        <v>128</v>
      </c>
      <c r="D1030" t="s">
        <v>726</v>
      </c>
      <c r="E1030" t="s">
        <v>128</v>
      </c>
      <c r="F1030">
        <v>0</v>
      </c>
      <c r="G1030" t="s">
        <v>128</v>
      </c>
      <c r="H1030" t="s">
        <v>128</v>
      </c>
      <c r="I1030" t="s">
        <v>128</v>
      </c>
      <c r="J1030" t="s">
        <v>128</v>
      </c>
      <c r="K1030" t="s">
        <v>128</v>
      </c>
      <c r="L1030" t="s">
        <v>128</v>
      </c>
      <c r="M1030" t="s">
        <v>1686</v>
      </c>
      <c r="N1030" t="b">
        <v>0</v>
      </c>
    </row>
    <row r="1031" spans="1:14">
      <c r="A1031">
        <v>63</v>
      </c>
      <c r="B1031">
        <v>13</v>
      </c>
      <c r="C1031" t="s">
        <v>128</v>
      </c>
      <c r="D1031" t="s">
        <v>726</v>
      </c>
      <c r="E1031" t="s">
        <v>128</v>
      </c>
      <c r="F1031">
        <v>0</v>
      </c>
      <c r="G1031" t="s">
        <v>128</v>
      </c>
      <c r="H1031" t="s">
        <v>128</v>
      </c>
      <c r="I1031" t="s">
        <v>128</v>
      </c>
      <c r="J1031" t="s">
        <v>128</v>
      </c>
      <c r="K1031" t="s">
        <v>128</v>
      </c>
      <c r="L1031" t="s">
        <v>128</v>
      </c>
      <c r="M1031" t="s">
        <v>1687</v>
      </c>
      <c r="N1031" t="b">
        <v>0</v>
      </c>
    </row>
    <row r="1032" spans="1:14">
      <c r="A1032">
        <v>63</v>
      </c>
      <c r="B1032">
        <v>14</v>
      </c>
      <c r="C1032" t="s">
        <v>128</v>
      </c>
      <c r="D1032" t="s">
        <v>726</v>
      </c>
      <c r="E1032" t="s">
        <v>128</v>
      </c>
      <c r="F1032">
        <v>0</v>
      </c>
      <c r="G1032" t="s">
        <v>128</v>
      </c>
      <c r="H1032" t="s">
        <v>128</v>
      </c>
      <c r="I1032" t="s">
        <v>128</v>
      </c>
      <c r="J1032" t="s">
        <v>128</v>
      </c>
      <c r="K1032" t="s">
        <v>128</v>
      </c>
      <c r="L1032" t="s">
        <v>128</v>
      </c>
      <c r="M1032" t="s">
        <v>1688</v>
      </c>
      <c r="N1032" t="b">
        <v>0</v>
      </c>
    </row>
    <row r="1033" spans="1:14">
      <c r="A1033">
        <v>63</v>
      </c>
      <c r="B1033">
        <v>15</v>
      </c>
      <c r="C1033" t="s">
        <v>128</v>
      </c>
      <c r="D1033" t="s">
        <v>726</v>
      </c>
      <c r="E1033" t="s">
        <v>128</v>
      </c>
      <c r="F1033">
        <v>0</v>
      </c>
      <c r="G1033" t="s">
        <v>128</v>
      </c>
      <c r="H1033" t="s">
        <v>128</v>
      </c>
      <c r="I1033" t="s">
        <v>128</v>
      </c>
      <c r="J1033" t="s">
        <v>128</v>
      </c>
      <c r="K1033" t="s">
        <v>128</v>
      </c>
      <c r="L1033" t="s">
        <v>128</v>
      </c>
      <c r="M1033" t="s">
        <v>1689</v>
      </c>
      <c r="N1033" t="b">
        <v>0</v>
      </c>
    </row>
    <row r="1034" spans="1:14">
      <c r="A1034">
        <v>63</v>
      </c>
      <c r="B1034">
        <v>16</v>
      </c>
      <c r="C1034" t="s">
        <v>399</v>
      </c>
      <c r="D1034" t="s">
        <v>743</v>
      </c>
      <c r="E1034" t="s">
        <v>545</v>
      </c>
      <c r="F1034">
        <v>50</v>
      </c>
      <c r="G1034" t="s">
        <v>762</v>
      </c>
      <c r="H1034" t="s">
        <v>128</v>
      </c>
      <c r="I1034" t="s">
        <v>128</v>
      </c>
      <c r="J1034" t="s">
        <v>1104</v>
      </c>
      <c r="K1034" t="s">
        <v>1123</v>
      </c>
      <c r="L1034" t="s">
        <v>1084</v>
      </c>
      <c r="M1034" t="s">
        <v>1690</v>
      </c>
      <c r="N1034" t="b">
        <v>0</v>
      </c>
    </row>
    <row r="1035" spans="1:14">
      <c r="A1035">
        <v>63</v>
      </c>
      <c r="B1035">
        <v>17</v>
      </c>
      <c r="C1035" t="s">
        <v>161</v>
      </c>
      <c r="D1035" t="s">
        <v>743</v>
      </c>
      <c r="E1035" t="s">
        <v>299</v>
      </c>
      <c r="F1035">
        <v>50</v>
      </c>
      <c r="G1035" t="s">
        <v>762</v>
      </c>
      <c r="H1035" t="s">
        <v>128</v>
      </c>
      <c r="I1035" t="s">
        <v>128</v>
      </c>
      <c r="J1035" t="s">
        <v>763</v>
      </c>
      <c r="K1035" t="s">
        <v>764</v>
      </c>
      <c r="L1035" t="s">
        <v>765</v>
      </c>
      <c r="M1035" t="s">
        <v>1691</v>
      </c>
      <c r="N1035" t="b">
        <v>0</v>
      </c>
    </row>
    <row r="1036" spans="1:14">
      <c r="A1036">
        <v>63</v>
      </c>
      <c r="B1036">
        <v>18</v>
      </c>
      <c r="C1036" t="s">
        <v>275</v>
      </c>
      <c r="D1036" t="s">
        <v>743</v>
      </c>
      <c r="E1036" t="s">
        <v>333</v>
      </c>
      <c r="F1036">
        <v>50</v>
      </c>
      <c r="G1036" t="s">
        <v>762</v>
      </c>
      <c r="H1036" t="s">
        <v>128</v>
      </c>
      <c r="I1036" t="s">
        <v>128</v>
      </c>
      <c r="J1036" t="s">
        <v>1130</v>
      </c>
      <c r="K1036" t="s">
        <v>923</v>
      </c>
      <c r="L1036" t="s">
        <v>924</v>
      </c>
      <c r="M1036" t="s">
        <v>1692</v>
      </c>
      <c r="N1036" t="b">
        <v>0</v>
      </c>
    </row>
    <row r="1037" spans="1:14">
      <c r="A1037">
        <v>63</v>
      </c>
      <c r="B1037">
        <v>19</v>
      </c>
      <c r="C1037" t="s">
        <v>128</v>
      </c>
      <c r="D1037" t="s">
        <v>743</v>
      </c>
      <c r="E1037" t="s">
        <v>128</v>
      </c>
      <c r="F1037">
        <v>0</v>
      </c>
      <c r="G1037" t="s">
        <v>128</v>
      </c>
      <c r="H1037" t="s">
        <v>128</v>
      </c>
      <c r="I1037" t="s">
        <v>128</v>
      </c>
      <c r="J1037" t="s">
        <v>128</v>
      </c>
      <c r="K1037" t="s">
        <v>128</v>
      </c>
      <c r="L1037" t="s">
        <v>128</v>
      </c>
      <c r="M1037" t="s">
        <v>1693</v>
      </c>
      <c r="N1037" t="b">
        <v>0</v>
      </c>
    </row>
    <row r="1038" spans="1:14">
      <c r="A1038">
        <v>63</v>
      </c>
      <c r="B1038">
        <v>20</v>
      </c>
      <c r="C1038" t="s">
        <v>128</v>
      </c>
      <c r="D1038" t="s">
        <v>743</v>
      </c>
      <c r="E1038" t="s">
        <v>128</v>
      </c>
      <c r="F1038">
        <v>0</v>
      </c>
      <c r="G1038" t="s">
        <v>128</v>
      </c>
      <c r="H1038" t="s">
        <v>128</v>
      </c>
      <c r="I1038" t="s">
        <v>128</v>
      </c>
      <c r="J1038" t="s">
        <v>128</v>
      </c>
      <c r="K1038" t="s">
        <v>128</v>
      </c>
      <c r="L1038" t="s">
        <v>128</v>
      </c>
      <c r="M1038" t="s">
        <v>1694</v>
      </c>
      <c r="N1038" t="b">
        <v>0</v>
      </c>
    </row>
    <row r="1039" spans="1:14">
      <c r="A1039">
        <v>63</v>
      </c>
      <c r="B1039">
        <v>21</v>
      </c>
      <c r="C1039" t="s">
        <v>128</v>
      </c>
      <c r="D1039" t="s">
        <v>743</v>
      </c>
      <c r="E1039" t="s">
        <v>128</v>
      </c>
      <c r="F1039">
        <v>0</v>
      </c>
      <c r="G1039" t="s">
        <v>128</v>
      </c>
      <c r="H1039" t="s">
        <v>128</v>
      </c>
      <c r="I1039" t="s">
        <v>128</v>
      </c>
      <c r="J1039" t="s">
        <v>128</v>
      </c>
      <c r="K1039" t="s">
        <v>128</v>
      </c>
      <c r="L1039" t="s">
        <v>128</v>
      </c>
      <c r="M1039" t="s">
        <v>1695</v>
      </c>
      <c r="N1039" t="b">
        <v>0</v>
      </c>
    </row>
    <row r="1040" spans="1:14">
      <c r="A1040">
        <v>63</v>
      </c>
      <c r="B1040">
        <v>22</v>
      </c>
      <c r="C1040" t="s">
        <v>128</v>
      </c>
      <c r="D1040" t="s">
        <v>743</v>
      </c>
      <c r="E1040" t="s">
        <v>128</v>
      </c>
      <c r="F1040">
        <v>0</v>
      </c>
      <c r="G1040" t="s">
        <v>128</v>
      </c>
      <c r="H1040" t="s">
        <v>128</v>
      </c>
      <c r="I1040" t="s">
        <v>128</v>
      </c>
      <c r="J1040" t="s">
        <v>128</v>
      </c>
      <c r="K1040" t="s">
        <v>128</v>
      </c>
      <c r="L1040" t="s">
        <v>128</v>
      </c>
      <c r="M1040" t="s">
        <v>1696</v>
      </c>
      <c r="N1040" t="b">
        <v>0</v>
      </c>
    </row>
    <row r="1041" spans="1:14">
      <c r="A1041">
        <v>63</v>
      </c>
      <c r="B1041">
        <v>23</v>
      </c>
      <c r="C1041" t="s">
        <v>128</v>
      </c>
      <c r="D1041" t="s">
        <v>743</v>
      </c>
      <c r="E1041" t="s">
        <v>128</v>
      </c>
      <c r="F1041">
        <v>0</v>
      </c>
      <c r="G1041" t="s">
        <v>128</v>
      </c>
      <c r="H1041" t="s">
        <v>128</v>
      </c>
      <c r="I1041" t="s">
        <v>128</v>
      </c>
      <c r="J1041" t="s">
        <v>128</v>
      </c>
      <c r="K1041" t="s">
        <v>128</v>
      </c>
      <c r="L1041" t="s">
        <v>128</v>
      </c>
      <c r="M1041" t="s">
        <v>1697</v>
      </c>
      <c r="N1041" t="b">
        <v>0</v>
      </c>
    </row>
    <row r="1042" spans="1:14">
      <c r="A1042">
        <v>63</v>
      </c>
      <c r="B1042">
        <v>24</v>
      </c>
      <c r="C1042" t="s">
        <v>128</v>
      </c>
      <c r="D1042" t="s">
        <v>743</v>
      </c>
      <c r="E1042" t="s">
        <v>128</v>
      </c>
      <c r="F1042">
        <v>0</v>
      </c>
      <c r="G1042" t="s">
        <v>128</v>
      </c>
      <c r="H1042" t="s">
        <v>128</v>
      </c>
      <c r="I1042" t="s">
        <v>128</v>
      </c>
      <c r="J1042" t="s">
        <v>128</v>
      </c>
      <c r="K1042" t="s">
        <v>128</v>
      </c>
      <c r="L1042" t="s">
        <v>128</v>
      </c>
      <c r="M1042" t="s">
        <v>1698</v>
      </c>
      <c r="N1042" t="b">
        <v>0</v>
      </c>
    </row>
    <row r="1043" spans="1:14">
      <c r="A1043">
        <v>63</v>
      </c>
      <c r="B1043">
        <v>25</v>
      </c>
      <c r="C1043" t="s">
        <v>128</v>
      </c>
      <c r="D1043" t="s">
        <v>743</v>
      </c>
      <c r="E1043" t="s">
        <v>128</v>
      </c>
      <c r="F1043">
        <v>0</v>
      </c>
      <c r="G1043" t="s">
        <v>128</v>
      </c>
      <c r="H1043" t="s">
        <v>128</v>
      </c>
      <c r="I1043" t="s">
        <v>128</v>
      </c>
      <c r="J1043" t="s">
        <v>128</v>
      </c>
      <c r="K1043" t="s">
        <v>128</v>
      </c>
      <c r="L1043" t="s">
        <v>128</v>
      </c>
      <c r="M1043" t="s">
        <v>1699</v>
      </c>
      <c r="N1043" t="b">
        <v>0</v>
      </c>
    </row>
    <row r="1044" spans="1:14">
      <c r="A1044">
        <v>63</v>
      </c>
      <c r="B1044">
        <v>26</v>
      </c>
      <c r="C1044" t="s">
        <v>128</v>
      </c>
      <c r="D1044" t="s">
        <v>743</v>
      </c>
      <c r="E1044" t="s">
        <v>128</v>
      </c>
      <c r="F1044">
        <v>0</v>
      </c>
      <c r="G1044" t="s">
        <v>128</v>
      </c>
      <c r="H1044" t="s">
        <v>128</v>
      </c>
      <c r="I1044" t="s">
        <v>128</v>
      </c>
      <c r="J1044" t="s">
        <v>128</v>
      </c>
      <c r="K1044" t="s">
        <v>128</v>
      </c>
      <c r="L1044" t="s">
        <v>128</v>
      </c>
      <c r="M1044" t="s">
        <v>1700</v>
      </c>
      <c r="N1044" t="b">
        <v>0</v>
      </c>
    </row>
    <row r="1045" spans="1:14">
      <c r="A1045">
        <v>64</v>
      </c>
      <c r="B1045">
        <v>0</v>
      </c>
      <c r="C1045" t="s">
        <v>218</v>
      </c>
      <c r="D1045" t="s">
        <v>726</v>
      </c>
      <c r="E1045" t="s">
        <v>65</v>
      </c>
      <c r="F1045">
        <v>60</v>
      </c>
      <c r="G1045" t="s">
        <v>128</v>
      </c>
      <c r="H1045" t="s">
        <v>128</v>
      </c>
      <c r="I1045" t="s">
        <v>65</v>
      </c>
      <c r="J1045" t="s">
        <v>128</v>
      </c>
      <c r="K1045" t="s">
        <v>128</v>
      </c>
      <c r="L1045" t="s">
        <v>128</v>
      </c>
      <c r="M1045" t="s">
        <v>1701</v>
      </c>
      <c r="N1045" t="b">
        <v>0</v>
      </c>
    </row>
    <row r="1046" spans="1:14">
      <c r="A1046">
        <v>64</v>
      </c>
      <c r="B1046">
        <v>1</v>
      </c>
      <c r="C1046" t="s">
        <v>219</v>
      </c>
      <c r="D1046" t="s">
        <v>726</v>
      </c>
      <c r="E1046" t="s">
        <v>77</v>
      </c>
      <c r="F1046">
        <v>60</v>
      </c>
      <c r="G1046" t="s">
        <v>128</v>
      </c>
      <c r="H1046" t="s">
        <v>128</v>
      </c>
      <c r="I1046" t="s">
        <v>77</v>
      </c>
      <c r="J1046" t="s">
        <v>128</v>
      </c>
      <c r="K1046" t="s">
        <v>128</v>
      </c>
      <c r="L1046" t="s">
        <v>128</v>
      </c>
      <c r="M1046" t="s">
        <v>1702</v>
      </c>
      <c r="N1046" t="b">
        <v>0</v>
      </c>
    </row>
    <row r="1047" spans="1:14">
      <c r="A1047">
        <v>64</v>
      </c>
      <c r="B1047">
        <v>2</v>
      </c>
      <c r="C1047" t="s">
        <v>270</v>
      </c>
      <c r="D1047" t="s">
        <v>726</v>
      </c>
      <c r="E1047" t="s">
        <v>83</v>
      </c>
      <c r="F1047">
        <v>30</v>
      </c>
      <c r="G1047" t="s">
        <v>128</v>
      </c>
      <c r="H1047" t="s">
        <v>128</v>
      </c>
      <c r="I1047" t="s">
        <v>83</v>
      </c>
      <c r="J1047" t="s">
        <v>128</v>
      </c>
      <c r="K1047" t="s">
        <v>128</v>
      </c>
      <c r="L1047" t="s">
        <v>128</v>
      </c>
      <c r="M1047" t="s">
        <v>1703</v>
      </c>
      <c r="N1047" t="b">
        <v>0</v>
      </c>
    </row>
    <row r="1048" spans="1:14">
      <c r="A1048">
        <v>64</v>
      </c>
      <c r="B1048">
        <v>3</v>
      </c>
      <c r="C1048" t="s">
        <v>220</v>
      </c>
      <c r="D1048" t="s">
        <v>726</v>
      </c>
      <c r="E1048" t="s">
        <v>95</v>
      </c>
      <c r="F1048">
        <v>40</v>
      </c>
      <c r="G1048" t="s">
        <v>128</v>
      </c>
      <c r="H1048" t="s">
        <v>128</v>
      </c>
      <c r="I1048" t="s">
        <v>95</v>
      </c>
      <c r="J1048" t="s">
        <v>128</v>
      </c>
      <c r="K1048" t="s">
        <v>128</v>
      </c>
      <c r="L1048" t="s">
        <v>128</v>
      </c>
      <c r="M1048" t="s">
        <v>1704</v>
      </c>
      <c r="N1048" t="b">
        <v>0</v>
      </c>
    </row>
    <row r="1049" spans="1:14">
      <c r="A1049">
        <v>64</v>
      </c>
      <c r="B1049">
        <v>4</v>
      </c>
      <c r="C1049" t="s">
        <v>307</v>
      </c>
      <c r="D1049" t="s">
        <v>726</v>
      </c>
      <c r="E1049" t="s">
        <v>97</v>
      </c>
      <c r="F1049">
        <v>50</v>
      </c>
      <c r="G1049" t="s">
        <v>128</v>
      </c>
      <c r="H1049" t="s">
        <v>128</v>
      </c>
      <c r="I1049" t="s">
        <v>97</v>
      </c>
      <c r="J1049" t="s">
        <v>128</v>
      </c>
      <c r="K1049" t="s">
        <v>128</v>
      </c>
      <c r="L1049" t="s">
        <v>128</v>
      </c>
      <c r="M1049" t="s">
        <v>1705</v>
      </c>
      <c r="N1049" t="b">
        <v>0</v>
      </c>
    </row>
    <row r="1050" spans="1:14">
      <c r="A1050">
        <v>64</v>
      </c>
      <c r="B1050">
        <v>5</v>
      </c>
      <c r="C1050" t="s">
        <v>253</v>
      </c>
      <c r="D1050" t="s">
        <v>726</v>
      </c>
      <c r="E1050" t="s">
        <v>99</v>
      </c>
      <c r="F1050">
        <v>40</v>
      </c>
      <c r="G1050" t="s">
        <v>128</v>
      </c>
      <c r="H1050" t="s">
        <v>128</v>
      </c>
      <c r="I1050" t="s">
        <v>99</v>
      </c>
      <c r="J1050" t="s">
        <v>128</v>
      </c>
      <c r="K1050" t="s">
        <v>128</v>
      </c>
      <c r="L1050" t="s">
        <v>128</v>
      </c>
      <c r="M1050" t="s">
        <v>1706</v>
      </c>
      <c r="N1050" t="b">
        <v>0</v>
      </c>
    </row>
    <row r="1051" spans="1:14">
      <c r="A1051">
        <v>64</v>
      </c>
      <c r="B1051">
        <v>6</v>
      </c>
      <c r="C1051" t="s">
        <v>221</v>
      </c>
      <c r="D1051" t="s">
        <v>726</v>
      </c>
      <c r="E1051" t="s">
        <v>101</v>
      </c>
      <c r="F1051">
        <v>60</v>
      </c>
      <c r="G1051" t="s">
        <v>128</v>
      </c>
      <c r="H1051" t="s">
        <v>128</v>
      </c>
      <c r="I1051" t="s">
        <v>101</v>
      </c>
      <c r="J1051" t="s">
        <v>128</v>
      </c>
      <c r="K1051" t="s">
        <v>128</v>
      </c>
      <c r="L1051" t="s">
        <v>128</v>
      </c>
      <c r="M1051" t="s">
        <v>1707</v>
      </c>
      <c r="N1051" t="b">
        <v>0</v>
      </c>
    </row>
    <row r="1052" spans="1:14">
      <c r="A1052">
        <v>64</v>
      </c>
      <c r="B1052">
        <v>7</v>
      </c>
      <c r="C1052" t="s">
        <v>277</v>
      </c>
      <c r="D1052" t="s">
        <v>726</v>
      </c>
      <c r="E1052" t="s">
        <v>103</v>
      </c>
      <c r="F1052">
        <v>30</v>
      </c>
      <c r="G1052" t="s">
        <v>128</v>
      </c>
      <c r="H1052" t="s">
        <v>128</v>
      </c>
      <c r="I1052" t="s">
        <v>103</v>
      </c>
      <c r="J1052" t="s">
        <v>128</v>
      </c>
      <c r="K1052" t="s">
        <v>128</v>
      </c>
      <c r="L1052" t="s">
        <v>128</v>
      </c>
      <c r="M1052" t="s">
        <v>1708</v>
      </c>
      <c r="N1052" t="b">
        <v>0</v>
      </c>
    </row>
    <row r="1053" spans="1:14">
      <c r="A1053">
        <v>64</v>
      </c>
      <c r="B1053">
        <v>8</v>
      </c>
      <c r="C1053" t="s">
        <v>162</v>
      </c>
      <c r="D1053" t="s">
        <v>755</v>
      </c>
      <c r="E1053" t="s">
        <v>299</v>
      </c>
      <c r="F1053">
        <v>40</v>
      </c>
      <c r="G1053" t="s">
        <v>762</v>
      </c>
      <c r="H1053" t="s">
        <v>128</v>
      </c>
      <c r="I1053" t="s">
        <v>128</v>
      </c>
      <c r="J1053" t="s">
        <v>763</v>
      </c>
      <c r="K1053" t="s">
        <v>764</v>
      </c>
      <c r="L1053" t="s">
        <v>765</v>
      </c>
      <c r="M1053" t="s">
        <v>1709</v>
      </c>
      <c r="N1053" t="b">
        <v>0</v>
      </c>
    </row>
    <row r="1054" spans="1:14">
      <c r="A1054">
        <v>64</v>
      </c>
      <c r="B1054">
        <v>9</v>
      </c>
      <c r="C1054" t="s">
        <v>183</v>
      </c>
      <c r="D1054" t="s">
        <v>726</v>
      </c>
      <c r="E1054" t="s">
        <v>112</v>
      </c>
      <c r="F1054">
        <v>50</v>
      </c>
      <c r="G1054" t="s">
        <v>128</v>
      </c>
      <c r="H1054" t="s">
        <v>128</v>
      </c>
      <c r="I1054" t="s">
        <v>112</v>
      </c>
      <c r="J1054" t="s">
        <v>128</v>
      </c>
      <c r="K1054" t="s">
        <v>128</v>
      </c>
      <c r="L1054" t="s">
        <v>128</v>
      </c>
      <c r="M1054" t="s">
        <v>1710</v>
      </c>
      <c r="N1054" t="b">
        <v>0</v>
      </c>
    </row>
    <row r="1055" spans="1:14">
      <c r="A1055">
        <v>64</v>
      </c>
      <c r="B1055">
        <v>10</v>
      </c>
      <c r="C1055" t="s">
        <v>200</v>
      </c>
      <c r="D1055" t="s">
        <v>726</v>
      </c>
      <c r="E1055" t="s">
        <v>113</v>
      </c>
      <c r="F1055">
        <v>50</v>
      </c>
      <c r="G1055" t="s">
        <v>128</v>
      </c>
      <c r="H1055" t="s">
        <v>128</v>
      </c>
      <c r="I1055" t="s">
        <v>113</v>
      </c>
      <c r="J1055" t="s">
        <v>128</v>
      </c>
      <c r="K1055" t="s">
        <v>128</v>
      </c>
      <c r="L1055" t="s">
        <v>128</v>
      </c>
      <c r="M1055" t="s">
        <v>1711</v>
      </c>
      <c r="N1055" t="b">
        <v>0</v>
      </c>
    </row>
    <row r="1056" spans="1:14">
      <c r="A1056">
        <v>64</v>
      </c>
      <c r="B1056">
        <v>11</v>
      </c>
      <c r="C1056" t="s">
        <v>290</v>
      </c>
      <c r="D1056" t="s">
        <v>726</v>
      </c>
      <c r="E1056" t="s">
        <v>333</v>
      </c>
      <c r="F1056">
        <v>40</v>
      </c>
      <c r="G1056" t="s">
        <v>128</v>
      </c>
      <c r="H1056" t="s">
        <v>550</v>
      </c>
      <c r="I1056" t="s">
        <v>447</v>
      </c>
      <c r="J1056" t="s">
        <v>128</v>
      </c>
      <c r="K1056" t="s">
        <v>923</v>
      </c>
      <c r="L1056" t="s">
        <v>924</v>
      </c>
      <c r="M1056" t="s">
        <v>1712</v>
      </c>
      <c r="N1056" t="b">
        <v>0</v>
      </c>
    </row>
    <row r="1057" spans="1:14">
      <c r="A1057">
        <v>64</v>
      </c>
      <c r="B1057">
        <v>12</v>
      </c>
      <c r="C1057" t="s">
        <v>278</v>
      </c>
      <c r="D1057" t="s">
        <v>726</v>
      </c>
      <c r="E1057" t="s">
        <v>74</v>
      </c>
      <c r="F1057">
        <v>40</v>
      </c>
      <c r="G1057" t="s">
        <v>128</v>
      </c>
      <c r="H1057" t="s">
        <v>128</v>
      </c>
      <c r="I1057" t="s">
        <v>74</v>
      </c>
      <c r="J1057" t="s">
        <v>128</v>
      </c>
      <c r="K1057" t="s">
        <v>128</v>
      </c>
      <c r="L1057" t="s">
        <v>128</v>
      </c>
      <c r="M1057" t="s">
        <v>1713</v>
      </c>
      <c r="N1057" t="b">
        <v>0</v>
      </c>
    </row>
    <row r="1058" spans="1:14">
      <c r="A1058">
        <v>64</v>
      </c>
      <c r="B1058">
        <v>13</v>
      </c>
      <c r="C1058" t="s">
        <v>291</v>
      </c>
      <c r="D1058" t="s">
        <v>726</v>
      </c>
      <c r="E1058" t="s">
        <v>78</v>
      </c>
      <c r="F1058">
        <v>30</v>
      </c>
      <c r="G1058" t="s">
        <v>128</v>
      </c>
      <c r="H1058" t="s">
        <v>128</v>
      </c>
      <c r="I1058" t="s">
        <v>78</v>
      </c>
      <c r="J1058" t="s">
        <v>128</v>
      </c>
      <c r="K1058" t="s">
        <v>128</v>
      </c>
      <c r="L1058" t="s">
        <v>128</v>
      </c>
      <c r="M1058" t="s">
        <v>1714</v>
      </c>
      <c r="N1058" t="b">
        <v>0</v>
      </c>
    </row>
    <row r="1059" spans="1:14">
      <c r="A1059">
        <v>64</v>
      </c>
      <c r="B1059">
        <v>14</v>
      </c>
      <c r="C1059" t="s">
        <v>294</v>
      </c>
      <c r="D1059" t="s">
        <v>726</v>
      </c>
      <c r="E1059" t="s">
        <v>107</v>
      </c>
      <c r="F1059">
        <v>60</v>
      </c>
      <c r="G1059" t="s">
        <v>128</v>
      </c>
      <c r="H1059" t="s">
        <v>128</v>
      </c>
      <c r="I1059" t="s">
        <v>107</v>
      </c>
      <c r="J1059" t="s">
        <v>128</v>
      </c>
      <c r="K1059" t="s">
        <v>128</v>
      </c>
      <c r="L1059" t="s">
        <v>128</v>
      </c>
      <c r="M1059" t="s">
        <v>1715</v>
      </c>
      <c r="N1059" t="b">
        <v>0</v>
      </c>
    </row>
    <row r="1060" spans="1:14">
      <c r="A1060">
        <v>64</v>
      </c>
      <c r="B1060">
        <v>15</v>
      </c>
      <c r="C1060" t="s">
        <v>234</v>
      </c>
      <c r="D1060" t="s">
        <v>726</v>
      </c>
      <c r="E1060" t="s">
        <v>108</v>
      </c>
      <c r="F1060">
        <v>50</v>
      </c>
      <c r="G1060" t="s">
        <v>128</v>
      </c>
      <c r="H1060" t="s">
        <v>128</v>
      </c>
      <c r="I1060" t="s">
        <v>108</v>
      </c>
      <c r="J1060" t="s">
        <v>128</v>
      </c>
      <c r="K1060" t="s">
        <v>128</v>
      </c>
      <c r="L1060" t="s">
        <v>128</v>
      </c>
      <c r="M1060" t="s">
        <v>1716</v>
      </c>
      <c r="N1060" t="b">
        <v>0</v>
      </c>
    </row>
    <row r="1061" spans="1:14">
      <c r="A1061">
        <v>64</v>
      </c>
      <c r="B1061">
        <v>16</v>
      </c>
      <c r="C1061" t="s">
        <v>128</v>
      </c>
      <c r="D1061" t="s">
        <v>743</v>
      </c>
      <c r="E1061" t="s">
        <v>128</v>
      </c>
      <c r="F1061">
        <v>0</v>
      </c>
      <c r="G1061" t="s">
        <v>128</v>
      </c>
      <c r="H1061" t="s">
        <v>128</v>
      </c>
      <c r="I1061" t="s">
        <v>128</v>
      </c>
      <c r="J1061" t="s">
        <v>128</v>
      </c>
      <c r="K1061" t="s">
        <v>128</v>
      </c>
      <c r="L1061" t="s">
        <v>128</v>
      </c>
      <c r="M1061" t="s">
        <v>1717</v>
      </c>
      <c r="N1061" t="b">
        <v>0</v>
      </c>
    </row>
    <row r="1062" spans="1:14">
      <c r="A1062">
        <v>64</v>
      </c>
      <c r="B1062">
        <v>17</v>
      </c>
      <c r="C1062" t="s">
        <v>128</v>
      </c>
      <c r="D1062" t="s">
        <v>743</v>
      </c>
      <c r="E1062" t="s">
        <v>128</v>
      </c>
      <c r="F1062">
        <v>0</v>
      </c>
      <c r="G1062" t="s">
        <v>128</v>
      </c>
      <c r="H1062" t="s">
        <v>128</v>
      </c>
      <c r="I1062" t="s">
        <v>128</v>
      </c>
      <c r="J1062" t="s">
        <v>128</v>
      </c>
      <c r="K1062" t="s">
        <v>128</v>
      </c>
      <c r="L1062" t="s">
        <v>128</v>
      </c>
      <c r="M1062" t="s">
        <v>1718</v>
      </c>
      <c r="N1062" t="b">
        <v>0</v>
      </c>
    </row>
    <row r="1063" spans="1:14">
      <c r="A1063">
        <v>64</v>
      </c>
      <c r="B1063">
        <v>18</v>
      </c>
      <c r="C1063" t="s">
        <v>128</v>
      </c>
      <c r="D1063" t="s">
        <v>743</v>
      </c>
      <c r="E1063" t="s">
        <v>128</v>
      </c>
      <c r="F1063">
        <v>0</v>
      </c>
      <c r="G1063" t="s">
        <v>128</v>
      </c>
      <c r="H1063" t="s">
        <v>128</v>
      </c>
      <c r="I1063" t="s">
        <v>128</v>
      </c>
      <c r="J1063" t="s">
        <v>128</v>
      </c>
      <c r="K1063" t="s">
        <v>128</v>
      </c>
      <c r="L1063" t="s">
        <v>128</v>
      </c>
      <c r="M1063" t="s">
        <v>1719</v>
      </c>
      <c r="N1063" t="b">
        <v>0</v>
      </c>
    </row>
    <row r="1064" spans="1:14">
      <c r="A1064">
        <v>64</v>
      </c>
      <c r="B1064">
        <v>19</v>
      </c>
      <c r="C1064" t="s">
        <v>128</v>
      </c>
      <c r="D1064" t="s">
        <v>743</v>
      </c>
      <c r="E1064" t="s">
        <v>128</v>
      </c>
      <c r="F1064">
        <v>0</v>
      </c>
      <c r="G1064" t="s">
        <v>128</v>
      </c>
      <c r="H1064" t="s">
        <v>128</v>
      </c>
      <c r="I1064" t="s">
        <v>128</v>
      </c>
      <c r="J1064" t="s">
        <v>128</v>
      </c>
      <c r="K1064" t="s">
        <v>128</v>
      </c>
      <c r="L1064" t="s">
        <v>128</v>
      </c>
      <c r="M1064" t="s">
        <v>1720</v>
      </c>
      <c r="N1064" t="b">
        <v>0</v>
      </c>
    </row>
    <row r="1065" spans="1:14">
      <c r="A1065">
        <v>64</v>
      </c>
      <c r="B1065">
        <v>20</v>
      </c>
      <c r="C1065" t="s">
        <v>128</v>
      </c>
      <c r="D1065" t="s">
        <v>743</v>
      </c>
      <c r="E1065" t="s">
        <v>128</v>
      </c>
      <c r="F1065">
        <v>0</v>
      </c>
      <c r="G1065" t="s">
        <v>128</v>
      </c>
      <c r="H1065" t="s">
        <v>128</v>
      </c>
      <c r="I1065" t="s">
        <v>128</v>
      </c>
      <c r="J1065" t="s">
        <v>128</v>
      </c>
      <c r="K1065" t="s">
        <v>128</v>
      </c>
      <c r="L1065" t="s">
        <v>128</v>
      </c>
      <c r="M1065" t="s">
        <v>1721</v>
      </c>
      <c r="N1065" t="b">
        <v>0</v>
      </c>
    </row>
    <row r="1066" spans="1:14">
      <c r="A1066">
        <v>64</v>
      </c>
      <c r="B1066">
        <v>21</v>
      </c>
      <c r="C1066" t="s">
        <v>128</v>
      </c>
      <c r="D1066" t="s">
        <v>743</v>
      </c>
      <c r="E1066" t="s">
        <v>128</v>
      </c>
      <c r="F1066">
        <v>0</v>
      </c>
      <c r="G1066" t="s">
        <v>128</v>
      </c>
      <c r="H1066" t="s">
        <v>128</v>
      </c>
      <c r="I1066" t="s">
        <v>128</v>
      </c>
      <c r="J1066" t="s">
        <v>128</v>
      </c>
      <c r="K1066" t="s">
        <v>128</v>
      </c>
      <c r="L1066" t="s">
        <v>128</v>
      </c>
      <c r="M1066" t="s">
        <v>1722</v>
      </c>
      <c r="N1066" t="b">
        <v>0</v>
      </c>
    </row>
    <row r="1067" spans="1:14">
      <c r="A1067">
        <v>64</v>
      </c>
      <c r="B1067">
        <v>22</v>
      </c>
      <c r="C1067" t="s">
        <v>128</v>
      </c>
      <c r="D1067" t="s">
        <v>743</v>
      </c>
      <c r="E1067" t="s">
        <v>128</v>
      </c>
      <c r="F1067">
        <v>0</v>
      </c>
      <c r="G1067" t="s">
        <v>128</v>
      </c>
      <c r="H1067" t="s">
        <v>128</v>
      </c>
      <c r="I1067" t="s">
        <v>128</v>
      </c>
      <c r="J1067" t="s">
        <v>128</v>
      </c>
      <c r="K1067" t="s">
        <v>128</v>
      </c>
      <c r="L1067" t="s">
        <v>128</v>
      </c>
      <c r="M1067" t="s">
        <v>1723</v>
      </c>
      <c r="N1067" t="b">
        <v>0</v>
      </c>
    </row>
    <row r="1068" spans="1:14">
      <c r="A1068">
        <v>64</v>
      </c>
      <c r="B1068">
        <v>23</v>
      </c>
      <c r="C1068" t="s">
        <v>128</v>
      </c>
      <c r="D1068" t="s">
        <v>743</v>
      </c>
      <c r="E1068" t="s">
        <v>128</v>
      </c>
      <c r="F1068">
        <v>0</v>
      </c>
      <c r="G1068" t="s">
        <v>128</v>
      </c>
      <c r="H1068" t="s">
        <v>128</v>
      </c>
      <c r="I1068" t="s">
        <v>128</v>
      </c>
      <c r="J1068" t="s">
        <v>128</v>
      </c>
      <c r="K1068" t="s">
        <v>128</v>
      </c>
      <c r="L1068" t="s">
        <v>128</v>
      </c>
      <c r="M1068" t="s">
        <v>1724</v>
      </c>
      <c r="N1068" t="b">
        <v>0</v>
      </c>
    </row>
    <row r="1069" spans="1:14">
      <c r="A1069">
        <v>64</v>
      </c>
      <c r="B1069">
        <v>24</v>
      </c>
      <c r="C1069" t="s">
        <v>128</v>
      </c>
      <c r="D1069" t="s">
        <v>743</v>
      </c>
      <c r="E1069" t="s">
        <v>128</v>
      </c>
      <c r="F1069">
        <v>0</v>
      </c>
      <c r="G1069" t="s">
        <v>128</v>
      </c>
      <c r="H1069" t="s">
        <v>128</v>
      </c>
      <c r="I1069" t="s">
        <v>128</v>
      </c>
      <c r="J1069" t="s">
        <v>128</v>
      </c>
      <c r="K1069" t="s">
        <v>128</v>
      </c>
      <c r="L1069" t="s">
        <v>128</v>
      </c>
      <c r="M1069" t="s">
        <v>1725</v>
      </c>
      <c r="N1069" t="b">
        <v>0</v>
      </c>
    </row>
    <row r="1070" spans="1:14">
      <c r="A1070">
        <v>64</v>
      </c>
      <c r="B1070">
        <v>25</v>
      </c>
      <c r="C1070" t="s">
        <v>128</v>
      </c>
      <c r="D1070" t="s">
        <v>743</v>
      </c>
      <c r="E1070" t="s">
        <v>128</v>
      </c>
      <c r="F1070">
        <v>0</v>
      </c>
      <c r="G1070" t="s">
        <v>128</v>
      </c>
      <c r="H1070" t="s">
        <v>128</v>
      </c>
      <c r="I1070" t="s">
        <v>128</v>
      </c>
      <c r="J1070" t="s">
        <v>128</v>
      </c>
      <c r="K1070" t="s">
        <v>128</v>
      </c>
      <c r="L1070" t="s">
        <v>128</v>
      </c>
      <c r="M1070" t="s">
        <v>1726</v>
      </c>
      <c r="N1070" t="b">
        <v>0</v>
      </c>
    </row>
    <row r="1071" spans="1:14">
      <c r="A1071">
        <v>64</v>
      </c>
      <c r="B1071">
        <v>26</v>
      </c>
      <c r="C1071" t="s">
        <v>128</v>
      </c>
      <c r="D1071" t="s">
        <v>743</v>
      </c>
      <c r="E1071" t="s">
        <v>128</v>
      </c>
      <c r="F1071">
        <v>0</v>
      </c>
      <c r="G1071" t="s">
        <v>128</v>
      </c>
      <c r="H1071" t="s">
        <v>128</v>
      </c>
      <c r="I1071" t="s">
        <v>128</v>
      </c>
      <c r="J1071" t="s">
        <v>128</v>
      </c>
      <c r="K1071" t="s">
        <v>128</v>
      </c>
      <c r="L1071" t="s">
        <v>128</v>
      </c>
      <c r="M1071" t="s">
        <v>1727</v>
      </c>
      <c r="N1071" t="b">
        <v>0</v>
      </c>
    </row>
    <row r="1072" spans="1:14">
      <c r="A1072">
        <v>65</v>
      </c>
      <c r="B1072">
        <v>0</v>
      </c>
      <c r="C1072" t="s">
        <v>218</v>
      </c>
      <c r="D1072" t="s">
        <v>726</v>
      </c>
      <c r="E1072" t="s">
        <v>65</v>
      </c>
      <c r="F1072">
        <v>60</v>
      </c>
      <c r="G1072" t="s">
        <v>128</v>
      </c>
      <c r="H1072" t="s">
        <v>128</v>
      </c>
      <c r="I1072" t="s">
        <v>65</v>
      </c>
      <c r="J1072" t="s">
        <v>128</v>
      </c>
      <c r="K1072" t="s">
        <v>128</v>
      </c>
      <c r="L1072" t="s">
        <v>128</v>
      </c>
      <c r="M1072" t="s">
        <v>1728</v>
      </c>
      <c r="N1072" t="b">
        <v>0</v>
      </c>
    </row>
    <row r="1073" spans="1:14">
      <c r="A1073">
        <v>65</v>
      </c>
      <c r="B1073">
        <v>1</v>
      </c>
      <c r="C1073" t="s">
        <v>219</v>
      </c>
      <c r="D1073" t="s">
        <v>726</v>
      </c>
      <c r="E1073" t="s">
        <v>77</v>
      </c>
      <c r="F1073">
        <v>60</v>
      </c>
      <c r="G1073" t="s">
        <v>128</v>
      </c>
      <c r="H1073" t="s">
        <v>128</v>
      </c>
      <c r="I1073" t="s">
        <v>77</v>
      </c>
      <c r="J1073" t="s">
        <v>128</v>
      </c>
      <c r="K1073" t="s">
        <v>128</v>
      </c>
      <c r="L1073" t="s">
        <v>128</v>
      </c>
      <c r="M1073" t="s">
        <v>1729</v>
      </c>
      <c r="N1073" t="b">
        <v>0</v>
      </c>
    </row>
    <row r="1074" spans="1:14">
      <c r="A1074">
        <v>65</v>
      </c>
      <c r="B1074">
        <v>2</v>
      </c>
      <c r="C1074" t="s">
        <v>270</v>
      </c>
      <c r="D1074" t="s">
        <v>726</v>
      </c>
      <c r="E1074" t="s">
        <v>83</v>
      </c>
      <c r="F1074">
        <v>30</v>
      </c>
      <c r="G1074" t="s">
        <v>128</v>
      </c>
      <c r="H1074" t="s">
        <v>128</v>
      </c>
      <c r="I1074" t="s">
        <v>83</v>
      </c>
      <c r="J1074" t="s">
        <v>128</v>
      </c>
      <c r="K1074" t="s">
        <v>128</v>
      </c>
      <c r="L1074" t="s">
        <v>128</v>
      </c>
      <c r="M1074" t="s">
        <v>1730</v>
      </c>
      <c r="N1074" t="b">
        <v>0</v>
      </c>
    </row>
    <row r="1075" spans="1:14">
      <c r="A1075">
        <v>65</v>
      </c>
      <c r="B1075">
        <v>3</v>
      </c>
      <c r="C1075" t="s">
        <v>253</v>
      </c>
      <c r="D1075" t="s">
        <v>726</v>
      </c>
      <c r="E1075" t="s">
        <v>99</v>
      </c>
      <c r="F1075">
        <v>40</v>
      </c>
      <c r="G1075" t="s">
        <v>128</v>
      </c>
      <c r="H1075" t="s">
        <v>128</v>
      </c>
      <c r="I1075" t="s">
        <v>99</v>
      </c>
      <c r="J1075" t="s">
        <v>128</v>
      </c>
      <c r="K1075" t="s">
        <v>128</v>
      </c>
      <c r="L1075" t="s">
        <v>128</v>
      </c>
      <c r="M1075" t="s">
        <v>1731</v>
      </c>
      <c r="N1075" t="b">
        <v>0</v>
      </c>
    </row>
    <row r="1076" spans="1:14">
      <c r="A1076">
        <v>65</v>
      </c>
      <c r="B1076">
        <v>4</v>
      </c>
      <c r="C1076" t="s">
        <v>221</v>
      </c>
      <c r="D1076" t="s">
        <v>726</v>
      </c>
      <c r="E1076" t="s">
        <v>101</v>
      </c>
      <c r="F1076">
        <v>60</v>
      </c>
      <c r="G1076" t="s">
        <v>128</v>
      </c>
      <c r="H1076" t="s">
        <v>128</v>
      </c>
      <c r="I1076" t="s">
        <v>101</v>
      </c>
      <c r="J1076" t="s">
        <v>128</v>
      </c>
      <c r="K1076" t="s">
        <v>128</v>
      </c>
      <c r="L1076" t="s">
        <v>128</v>
      </c>
      <c r="M1076" t="s">
        <v>1732</v>
      </c>
      <c r="N1076" t="b">
        <v>0</v>
      </c>
    </row>
    <row r="1077" spans="1:14">
      <c r="A1077">
        <v>65</v>
      </c>
      <c r="B1077">
        <v>5</v>
      </c>
      <c r="C1077" t="s">
        <v>277</v>
      </c>
      <c r="D1077" t="s">
        <v>726</v>
      </c>
      <c r="E1077" t="s">
        <v>103</v>
      </c>
      <c r="F1077">
        <v>30</v>
      </c>
      <c r="G1077" t="s">
        <v>128</v>
      </c>
      <c r="H1077" t="s">
        <v>128</v>
      </c>
      <c r="I1077" t="s">
        <v>103</v>
      </c>
      <c r="J1077" t="s">
        <v>128</v>
      </c>
      <c r="K1077" t="s">
        <v>128</v>
      </c>
      <c r="L1077" t="s">
        <v>128</v>
      </c>
      <c r="M1077" t="s">
        <v>1733</v>
      </c>
      <c r="N1077" t="b">
        <v>0</v>
      </c>
    </row>
    <row r="1078" spans="1:14">
      <c r="A1078">
        <v>65</v>
      </c>
      <c r="B1078">
        <v>6</v>
      </c>
      <c r="C1078" t="s">
        <v>293</v>
      </c>
      <c r="D1078" t="s">
        <v>726</v>
      </c>
      <c r="E1078" t="s">
        <v>113</v>
      </c>
      <c r="F1078">
        <v>40</v>
      </c>
      <c r="G1078" t="s">
        <v>128</v>
      </c>
      <c r="H1078" t="s">
        <v>128</v>
      </c>
      <c r="I1078" t="s">
        <v>113</v>
      </c>
      <c r="J1078" t="s">
        <v>128</v>
      </c>
      <c r="K1078" t="s">
        <v>128</v>
      </c>
      <c r="L1078" t="s">
        <v>128</v>
      </c>
      <c r="M1078" t="s">
        <v>1734</v>
      </c>
      <c r="N1078" t="b">
        <v>0</v>
      </c>
    </row>
    <row r="1079" spans="1:14">
      <c r="A1079">
        <v>65</v>
      </c>
      <c r="B1079">
        <v>7</v>
      </c>
      <c r="C1079" t="s">
        <v>290</v>
      </c>
      <c r="D1079" t="s">
        <v>726</v>
      </c>
      <c r="E1079" t="s">
        <v>333</v>
      </c>
      <c r="F1079">
        <v>40</v>
      </c>
      <c r="G1079" t="s">
        <v>128</v>
      </c>
      <c r="H1079" t="s">
        <v>550</v>
      </c>
      <c r="I1079" t="s">
        <v>447</v>
      </c>
      <c r="J1079" t="s">
        <v>128</v>
      </c>
      <c r="K1079" t="s">
        <v>923</v>
      </c>
      <c r="L1079" t="s">
        <v>924</v>
      </c>
      <c r="M1079" t="s">
        <v>1735</v>
      </c>
      <c r="N1079" t="b">
        <v>0</v>
      </c>
    </row>
    <row r="1080" spans="1:14">
      <c r="A1080">
        <v>65</v>
      </c>
      <c r="B1080">
        <v>8</v>
      </c>
      <c r="C1080" t="s">
        <v>278</v>
      </c>
      <c r="D1080" t="s">
        <v>726</v>
      </c>
      <c r="E1080" t="s">
        <v>74</v>
      </c>
      <c r="F1080">
        <v>40</v>
      </c>
      <c r="G1080" t="s">
        <v>128</v>
      </c>
      <c r="H1080" t="s">
        <v>128</v>
      </c>
      <c r="I1080" t="s">
        <v>74</v>
      </c>
      <c r="J1080" t="s">
        <v>128</v>
      </c>
      <c r="K1080" t="s">
        <v>128</v>
      </c>
      <c r="L1080" t="s">
        <v>128</v>
      </c>
      <c r="M1080" t="s">
        <v>1736</v>
      </c>
      <c r="N1080" t="b">
        <v>0</v>
      </c>
    </row>
    <row r="1081" spans="1:14">
      <c r="A1081">
        <v>65</v>
      </c>
      <c r="B1081">
        <v>9</v>
      </c>
      <c r="C1081" t="s">
        <v>291</v>
      </c>
      <c r="D1081" t="s">
        <v>726</v>
      </c>
      <c r="E1081" t="s">
        <v>78</v>
      </c>
      <c r="F1081">
        <v>30</v>
      </c>
      <c r="G1081" t="s">
        <v>128</v>
      </c>
      <c r="H1081" t="s">
        <v>128</v>
      </c>
      <c r="I1081" t="s">
        <v>78</v>
      </c>
      <c r="J1081" t="s">
        <v>128</v>
      </c>
      <c r="K1081" t="s">
        <v>128</v>
      </c>
      <c r="L1081" t="s">
        <v>128</v>
      </c>
      <c r="M1081" t="s">
        <v>1737</v>
      </c>
      <c r="N1081" t="b">
        <v>0</v>
      </c>
    </row>
    <row r="1082" spans="1:14">
      <c r="A1082">
        <v>65</v>
      </c>
      <c r="B1082">
        <v>10</v>
      </c>
      <c r="C1082" t="s">
        <v>322</v>
      </c>
      <c r="D1082" t="s">
        <v>726</v>
      </c>
      <c r="E1082" t="s">
        <v>106</v>
      </c>
      <c r="F1082">
        <v>30</v>
      </c>
      <c r="G1082" t="s">
        <v>128</v>
      </c>
      <c r="H1082" t="s">
        <v>128</v>
      </c>
      <c r="I1082" t="s">
        <v>106</v>
      </c>
      <c r="J1082" t="s">
        <v>128</v>
      </c>
      <c r="K1082" t="s">
        <v>128</v>
      </c>
      <c r="L1082" t="s">
        <v>128</v>
      </c>
      <c r="M1082" t="s">
        <v>1738</v>
      </c>
      <c r="N1082" t="b">
        <v>0</v>
      </c>
    </row>
    <row r="1083" spans="1:14">
      <c r="A1083">
        <v>65</v>
      </c>
      <c r="B1083">
        <v>11</v>
      </c>
      <c r="C1083" t="s">
        <v>234</v>
      </c>
      <c r="D1083" t="s">
        <v>726</v>
      </c>
      <c r="E1083" t="s">
        <v>108</v>
      </c>
      <c r="F1083">
        <v>50</v>
      </c>
      <c r="G1083" t="s">
        <v>128</v>
      </c>
      <c r="H1083" t="s">
        <v>128</v>
      </c>
      <c r="I1083" t="s">
        <v>108</v>
      </c>
      <c r="J1083" t="s">
        <v>128</v>
      </c>
      <c r="K1083" t="s">
        <v>128</v>
      </c>
      <c r="L1083" t="s">
        <v>128</v>
      </c>
      <c r="M1083" t="s">
        <v>1739</v>
      </c>
      <c r="N1083" t="b">
        <v>0</v>
      </c>
    </row>
    <row r="1084" spans="1:14">
      <c r="A1084">
        <v>65</v>
      </c>
      <c r="B1084">
        <v>12</v>
      </c>
      <c r="C1084" t="s">
        <v>128</v>
      </c>
      <c r="D1084" t="s">
        <v>726</v>
      </c>
      <c r="E1084" t="s">
        <v>128</v>
      </c>
      <c r="F1084">
        <v>0</v>
      </c>
      <c r="G1084" t="s">
        <v>128</v>
      </c>
      <c r="H1084" t="s">
        <v>128</v>
      </c>
      <c r="I1084" t="s">
        <v>128</v>
      </c>
      <c r="J1084" t="s">
        <v>128</v>
      </c>
      <c r="K1084" t="s">
        <v>128</v>
      </c>
      <c r="L1084" t="s">
        <v>128</v>
      </c>
      <c r="M1084" t="s">
        <v>1740</v>
      </c>
      <c r="N1084" t="b">
        <v>0</v>
      </c>
    </row>
    <row r="1085" spans="1:14">
      <c r="A1085">
        <v>65</v>
      </c>
      <c r="B1085">
        <v>13</v>
      </c>
      <c r="C1085" t="s">
        <v>128</v>
      </c>
      <c r="D1085" t="s">
        <v>726</v>
      </c>
      <c r="E1085" t="s">
        <v>128</v>
      </c>
      <c r="F1085">
        <v>0</v>
      </c>
      <c r="G1085" t="s">
        <v>128</v>
      </c>
      <c r="H1085" t="s">
        <v>128</v>
      </c>
      <c r="I1085" t="s">
        <v>128</v>
      </c>
      <c r="J1085" t="s">
        <v>128</v>
      </c>
      <c r="K1085" t="s">
        <v>128</v>
      </c>
      <c r="L1085" t="s">
        <v>128</v>
      </c>
      <c r="M1085" t="s">
        <v>1741</v>
      </c>
      <c r="N1085" t="b">
        <v>0</v>
      </c>
    </row>
    <row r="1086" spans="1:14">
      <c r="A1086">
        <v>65</v>
      </c>
      <c r="B1086">
        <v>14</v>
      </c>
      <c r="C1086" t="s">
        <v>128</v>
      </c>
      <c r="D1086" t="s">
        <v>726</v>
      </c>
      <c r="E1086" t="s">
        <v>128</v>
      </c>
      <c r="F1086">
        <v>0</v>
      </c>
      <c r="G1086" t="s">
        <v>128</v>
      </c>
      <c r="H1086" t="s">
        <v>128</v>
      </c>
      <c r="I1086" t="s">
        <v>128</v>
      </c>
      <c r="J1086" t="s">
        <v>128</v>
      </c>
      <c r="K1086" t="s">
        <v>128</v>
      </c>
      <c r="L1086" t="s">
        <v>128</v>
      </c>
      <c r="M1086" t="s">
        <v>1742</v>
      </c>
      <c r="N1086" t="b">
        <v>0</v>
      </c>
    </row>
    <row r="1087" spans="1:14">
      <c r="A1087">
        <v>65</v>
      </c>
      <c r="B1087">
        <v>15</v>
      </c>
      <c r="C1087" t="s">
        <v>128</v>
      </c>
      <c r="D1087" t="s">
        <v>726</v>
      </c>
      <c r="E1087" t="s">
        <v>128</v>
      </c>
      <c r="F1087">
        <v>0</v>
      </c>
      <c r="G1087" t="s">
        <v>128</v>
      </c>
      <c r="H1087" t="s">
        <v>128</v>
      </c>
      <c r="I1087" t="s">
        <v>128</v>
      </c>
      <c r="J1087" t="s">
        <v>128</v>
      </c>
      <c r="K1087" t="s">
        <v>128</v>
      </c>
      <c r="L1087" t="s">
        <v>128</v>
      </c>
      <c r="M1087" t="s">
        <v>1743</v>
      </c>
      <c r="N1087" t="b">
        <v>0</v>
      </c>
    </row>
    <row r="1088" spans="1:14">
      <c r="A1088">
        <v>65</v>
      </c>
      <c r="B1088">
        <v>16</v>
      </c>
      <c r="C1088" t="s">
        <v>220</v>
      </c>
      <c r="D1088" t="s">
        <v>743</v>
      </c>
      <c r="E1088" t="s">
        <v>95</v>
      </c>
      <c r="F1088">
        <v>40</v>
      </c>
      <c r="G1088" t="s">
        <v>128</v>
      </c>
      <c r="H1088" t="s">
        <v>128</v>
      </c>
      <c r="I1088" t="s">
        <v>95</v>
      </c>
      <c r="J1088" t="s">
        <v>128</v>
      </c>
      <c r="K1088" t="s">
        <v>128</v>
      </c>
      <c r="L1088" t="s">
        <v>128</v>
      </c>
      <c r="M1088" t="s">
        <v>1744</v>
      </c>
      <c r="N1088" t="b">
        <v>0</v>
      </c>
    </row>
    <row r="1089" spans="1:14">
      <c r="A1089">
        <v>65</v>
      </c>
      <c r="B1089">
        <v>17</v>
      </c>
      <c r="C1089" t="s">
        <v>162</v>
      </c>
      <c r="D1089" t="s">
        <v>743</v>
      </c>
      <c r="E1089" t="s">
        <v>299</v>
      </c>
      <c r="F1089">
        <v>40</v>
      </c>
      <c r="G1089" t="s">
        <v>762</v>
      </c>
      <c r="H1089" t="s">
        <v>128</v>
      </c>
      <c r="I1089" t="s">
        <v>128</v>
      </c>
      <c r="J1089" t="s">
        <v>763</v>
      </c>
      <c r="K1089" t="s">
        <v>764</v>
      </c>
      <c r="L1089" t="s">
        <v>765</v>
      </c>
      <c r="M1089" t="s">
        <v>1745</v>
      </c>
      <c r="N1089" t="b">
        <v>0</v>
      </c>
    </row>
    <row r="1090" spans="1:14">
      <c r="A1090">
        <v>65</v>
      </c>
      <c r="B1090">
        <v>18</v>
      </c>
      <c r="C1090" t="s">
        <v>200</v>
      </c>
      <c r="D1090" t="s">
        <v>743</v>
      </c>
      <c r="E1090" t="s">
        <v>113</v>
      </c>
      <c r="F1090">
        <v>50</v>
      </c>
      <c r="G1090" t="s">
        <v>128</v>
      </c>
      <c r="H1090" t="s">
        <v>128</v>
      </c>
      <c r="I1090" t="s">
        <v>113</v>
      </c>
      <c r="J1090" t="s">
        <v>128</v>
      </c>
      <c r="K1090" t="s">
        <v>128</v>
      </c>
      <c r="L1090" t="s">
        <v>128</v>
      </c>
      <c r="M1090" t="s">
        <v>1746</v>
      </c>
      <c r="N1090" t="b">
        <v>1</v>
      </c>
    </row>
    <row r="1091" spans="1:14">
      <c r="A1091">
        <v>65</v>
      </c>
      <c r="B1091">
        <v>19</v>
      </c>
      <c r="C1091" t="s">
        <v>171</v>
      </c>
      <c r="D1091" t="s">
        <v>743</v>
      </c>
      <c r="E1091" t="s">
        <v>98</v>
      </c>
      <c r="F1091">
        <v>60</v>
      </c>
      <c r="G1091" t="s">
        <v>128</v>
      </c>
      <c r="H1091" t="s">
        <v>128</v>
      </c>
      <c r="I1091" t="s">
        <v>98</v>
      </c>
      <c r="J1091" t="s">
        <v>128</v>
      </c>
      <c r="K1091" t="s">
        <v>128</v>
      </c>
      <c r="L1091" t="s">
        <v>128</v>
      </c>
      <c r="M1091" t="s">
        <v>1747</v>
      </c>
      <c r="N1091" t="b">
        <v>0</v>
      </c>
    </row>
    <row r="1092" spans="1:14">
      <c r="A1092">
        <v>65</v>
      </c>
      <c r="B1092">
        <v>20</v>
      </c>
      <c r="C1092" t="s">
        <v>179</v>
      </c>
      <c r="D1092" t="s">
        <v>743</v>
      </c>
      <c r="E1092" t="s">
        <v>100</v>
      </c>
      <c r="F1092">
        <v>40</v>
      </c>
      <c r="G1092" t="s">
        <v>128</v>
      </c>
      <c r="H1092" t="s">
        <v>128</v>
      </c>
      <c r="I1092" t="s">
        <v>100</v>
      </c>
      <c r="J1092" t="s">
        <v>128</v>
      </c>
      <c r="K1092" t="s">
        <v>128</v>
      </c>
      <c r="L1092" t="s">
        <v>128</v>
      </c>
      <c r="M1092" t="s">
        <v>1748</v>
      </c>
      <c r="N1092" t="b">
        <v>0</v>
      </c>
    </row>
    <row r="1093" spans="1:14">
      <c r="A1093">
        <v>65</v>
      </c>
      <c r="B1093">
        <v>21</v>
      </c>
      <c r="C1093" t="s">
        <v>294</v>
      </c>
      <c r="D1093" t="s">
        <v>743</v>
      </c>
      <c r="E1093" t="s">
        <v>107</v>
      </c>
      <c r="F1093">
        <v>60</v>
      </c>
      <c r="G1093" t="s">
        <v>128</v>
      </c>
      <c r="H1093" t="s">
        <v>128</v>
      </c>
      <c r="I1093" t="s">
        <v>107</v>
      </c>
      <c r="J1093" t="s">
        <v>128</v>
      </c>
      <c r="K1093" t="s">
        <v>128</v>
      </c>
      <c r="L1093" t="s">
        <v>128</v>
      </c>
      <c r="M1093" t="s">
        <v>1749</v>
      </c>
      <c r="N1093" t="b">
        <v>0</v>
      </c>
    </row>
    <row r="1094" spans="1:14">
      <c r="A1094">
        <v>65</v>
      </c>
      <c r="B1094">
        <v>22</v>
      </c>
      <c r="C1094" t="s">
        <v>128</v>
      </c>
      <c r="D1094" t="s">
        <v>743</v>
      </c>
      <c r="E1094" t="s">
        <v>128</v>
      </c>
      <c r="F1094">
        <v>0</v>
      </c>
      <c r="G1094" t="s">
        <v>128</v>
      </c>
      <c r="H1094" t="s">
        <v>128</v>
      </c>
      <c r="I1094" t="s">
        <v>128</v>
      </c>
      <c r="J1094" t="s">
        <v>128</v>
      </c>
      <c r="K1094" t="s">
        <v>128</v>
      </c>
      <c r="L1094" t="s">
        <v>128</v>
      </c>
      <c r="M1094" t="s">
        <v>1750</v>
      </c>
      <c r="N1094" t="b">
        <v>0</v>
      </c>
    </row>
    <row r="1095" spans="1:14">
      <c r="A1095">
        <v>65</v>
      </c>
      <c r="B1095">
        <v>23</v>
      </c>
      <c r="C1095" t="s">
        <v>128</v>
      </c>
      <c r="D1095" t="s">
        <v>743</v>
      </c>
      <c r="E1095" t="s">
        <v>128</v>
      </c>
      <c r="F1095">
        <v>0</v>
      </c>
      <c r="G1095" t="s">
        <v>128</v>
      </c>
      <c r="H1095" t="s">
        <v>128</v>
      </c>
      <c r="I1095" t="s">
        <v>128</v>
      </c>
      <c r="J1095" t="s">
        <v>128</v>
      </c>
      <c r="K1095" t="s">
        <v>128</v>
      </c>
      <c r="L1095" t="s">
        <v>128</v>
      </c>
      <c r="M1095" t="s">
        <v>1751</v>
      </c>
      <c r="N1095" t="b">
        <v>0</v>
      </c>
    </row>
    <row r="1096" spans="1:14">
      <c r="A1096">
        <v>65</v>
      </c>
      <c r="B1096">
        <v>24</v>
      </c>
      <c r="C1096" t="s">
        <v>128</v>
      </c>
      <c r="D1096" t="s">
        <v>743</v>
      </c>
      <c r="E1096" t="s">
        <v>128</v>
      </c>
      <c r="F1096">
        <v>0</v>
      </c>
      <c r="G1096" t="s">
        <v>128</v>
      </c>
      <c r="H1096" t="s">
        <v>128</v>
      </c>
      <c r="I1096" t="s">
        <v>128</v>
      </c>
      <c r="J1096" t="s">
        <v>128</v>
      </c>
      <c r="K1096" t="s">
        <v>128</v>
      </c>
      <c r="L1096" t="s">
        <v>128</v>
      </c>
      <c r="M1096" t="s">
        <v>1752</v>
      </c>
      <c r="N1096" t="b">
        <v>0</v>
      </c>
    </row>
    <row r="1097" spans="1:14">
      <c r="A1097">
        <v>65</v>
      </c>
      <c r="B1097">
        <v>25</v>
      </c>
      <c r="C1097" t="s">
        <v>128</v>
      </c>
      <c r="D1097" t="s">
        <v>743</v>
      </c>
      <c r="E1097" t="s">
        <v>128</v>
      </c>
      <c r="F1097">
        <v>0</v>
      </c>
      <c r="G1097" t="s">
        <v>128</v>
      </c>
      <c r="H1097" t="s">
        <v>128</v>
      </c>
      <c r="I1097" t="s">
        <v>128</v>
      </c>
      <c r="J1097" t="s">
        <v>128</v>
      </c>
      <c r="K1097" t="s">
        <v>128</v>
      </c>
      <c r="L1097" t="s">
        <v>128</v>
      </c>
      <c r="M1097" t="s">
        <v>1753</v>
      </c>
      <c r="N1097" t="b">
        <v>0</v>
      </c>
    </row>
    <row r="1098" spans="1:14">
      <c r="A1098">
        <v>65</v>
      </c>
      <c r="B1098">
        <v>26</v>
      </c>
      <c r="C1098" t="s">
        <v>128</v>
      </c>
      <c r="D1098" t="s">
        <v>743</v>
      </c>
      <c r="E1098" t="s">
        <v>128</v>
      </c>
      <c r="F1098">
        <v>0</v>
      </c>
      <c r="G1098" t="s">
        <v>128</v>
      </c>
      <c r="H1098" t="s">
        <v>128</v>
      </c>
      <c r="I1098" t="s">
        <v>128</v>
      </c>
      <c r="J1098" t="s">
        <v>128</v>
      </c>
      <c r="K1098" t="s">
        <v>128</v>
      </c>
      <c r="L1098" t="s">
        <v>128</v>
      </c>
      <c r="M1098" t="s">
        <v>1754</v>
      </c>
      <c r="N1098" t="b">
        <v>0</v>
      </c>
    </row>
    <row r="1099" spans="1:14">
      <c r="A1099">
        <v>66</v>
      </c>
      <c r="B1099">
        <v>0</v>
      </c>
      <c r="C1099" t="s">
        <v>188</v>
      </c>
      <c r="D1099" t="s">
        <v>726</v>
      </c>
      <c r="E1099" t="s">
        <v>65</v>
      </c>
      <c r="F1099">
        <v>50</v>
      </c>
      <c r="G1099" t="s">
        <v>128</v>
      </c>
      <c r="H1099" t="s">
        <v>128</v>
      </c>
      <c r="I1099" t="s">
        <v>65</v>
      </c>
      <c r="J1099" t="s">
        <v>128</v>
      </c>
      <c r="K1099" t="s">
        <v>128</v>
      </c>
      <c r="L1099" t="s">
        <v>128</v>
      </c>
      <c r="M1099" t="s">
        <v>1755</v>
      </c>
      <c r="N1099" t="b">
        <v>0</v>
      </c>
    </row>
    <row r="1100" spans="1:14">
      <c r="A1100">
        <v>66</v>
      </c>
      <c r="B1100">
        <v>1</v>
      </c>
      <c r="C1100" t="s">
        <v>219</v>
      </c>
      <c r="D1100" t="s">
        <v>726</v>
      </c>
      <c r="E1100" t="s">
        <v>77</v>
      </c>
      <c r="F1100">
        <v>60</v>
      </c>
      <c r="G1100" t="s">
        <v>128</v>
      </c>
      <c r="H1100" t="s">
        <v>128</v>
      </c>
      <c r="I1100" t="s">
        <v>77</v>
      </c>
      <c r="J1100" t="s">
        <v>128</v>
      </c>
      <c r="K1100" t="s">
        <v>128</v>
      </c>
      <c r="L1100" t="s">
        <v>128</v>
      </c>
      <c r="M1100" t="s">
        <v>1756</v>
      </c>
      <c r="N1100" t="b">
        <v>0</v>
      </c>
    </row>
    <row r="1101" spans="1:14">
      <c r="A1101">
        <v>66</v>
      </c>
      <c r="B1101">
        <v>2</v>
      </c>
      <c r="C1101" t="s">
        <v>220</v>
      </c>
      <c r="D1101" t="s">
        <v>726</v>
      </c>
      <c r="E1101" t="s">
        <v>95</v>
      </c>
      <c r="F1101">
        <v>40</v>
      </c>
      <c r="G1101" t="s">
        <v>128</v>
      </c>
      <c r="H1101" t="s">
        <v>128</v>
      </c>
      <c r="I1101" t="s">
        <v>95</v>
      </c>
      <c r="J1101" t="s">
        <v>128</v>
      </c>
      <c r="K1101" t="s">
        <v>128</v>
      </c>
      <c r="L1101" t="s">
        <v>128</v>
      </c>
      <c r="M1101" t="s">
        <v>1757</v>
      </c>
      <c r="N1101" t="b">
        <v>0</v>
      </c>
    </row>
    <row r="1102" spans="1:14">
      <c r="A1102">
        <v>66</v>
      </c>
      <c r="B1102">
        <v>3</v>
      </c>
      <c r="C1102" t="s">
        <v>221</v>
      </c>
      <c r="D1102" t="s">
        <v>726</v>
      </c>
      <c r="E1102" t="s">
        <v>101</v>
      </c>
      <c r="F1102">
        <v>60</v>
      </c>
      <c r="G1102" t="s">
        <v>128</v>
      </c>
      <c r="H1102" t="s">
        <v>128</v>
      </c>
      <c r="I1102" t="s">
        <v>101</v>
      </c>
      <c r="J1102" t="s">
        <v>128</v>
      </c>
      <c r="K1102" t="s">
        <v>128</v>
      </c>
      <c r="L1102" t="s">
        <v>128</v>
      </c>
      <c r="M1102" t="s">
        <v>1758</v>
      </c>
      <c r="N1102" t="b">
        <v>0</v>
      </c>
    </row>
    <row r="1103" spans="1:14">
      <c r="A1103">
        <v>66</v>
      </c>
      <c r="B1103">
        <v>4</v>
      </c>
      <c r="C1103" t="s">
        <v>200</v>
      </c>
      <c r="D1103" t="s">
        <v>726</v>
      </c>
      <c r="E1103" t="s">
        <v>113</v>
      </c>
      <c r="F1103">
        <v>50</v>
      </c>
      <c r="G1103" t="s">
        <v>128</v>
      </c>
      <c r="H1103" t="s">
        <v>128</v>
      </c>
      <c r="I1103" t="s">
        <v>113</v>
      </c>
      <c r="J1103" t="s">
        <v>128</v>
      </c>
      <c r="K1103" t="s">
        <v>128</v>
      </c>
      <c r="L1103" t="s">
        <v>128</v>
      </c>
      <c r="M1103" t="s">
        <v>1759</v>
      </c>
      <c r="N1103" t="b">
        <v>0</v>
      </c>
    </row>
    <row r="1104" spans="1:14">
      <c r="A1104">
        <v>66</v>
      </c>
      <c r="B1104">
        <v>5</v>
      </c>
      <c r="C1104" t="s">
        <v>222</v>
      </c>
      <c r="D1104" t="s">
        <v>726</v>
      </c>
      <c r="E1104" t="s">
        <v>68</v>
      </c>
      <c r="F1104">
        <v>50</v>
      </c>
      <c r="G1104" t="s">
        <v>128</v>
      </c>
      <c r="H1104" t="s">
        <v>128</v>
      </c>
      <c r="I1104" t="s">
        <v>68</v>
      </c>
      <c r="J1104" t="s">
        <v>128</v>
      </c>
      <c r="K1104" t="s">
        <v>128</v>
      </c>
      <c r="L1104" t="s">
        <v>128</v>
      </c>
      <c r="M1104" t="s">
        <v>1760</v>
      </c>
      <c r="N1104" t="b">
        <v>0</v>
      </c>
    </row>
    <row r="1105" spans="1:14">
      <c r="A1105">
        <v>66</v>
      </c>
      <c r="B1105">
        <v>6</v>
      </c>
      <c r="C1105" t="s">
        <v>223</v>
      </c>
      <c r="D1105" t="s">
        <v>726</v>
      </c>
      <c r="E1105" t="s">
        <v>333</v>
      </c>
      <c r="F1105">
        <v>60</v>
      </c>
      <c r="G1105" t="s">
        <v>128</v>
      </c>
      <c r="H1105" t="s">
        <v>550</v>
      </c>
      <c r="I1105" t="s">
        <v>447</v>
      </c>
      <c r="J1105" t="s">
        <v>128</v>
      </c>
      <c r="K1105" t="s">
        <v>923</v>
      </c>
      <c r="L1105" t="s">
        <v>924</v>
      </c>
      <c r="M1105" t="s">
        <v>1761</v>
      </c>
      <c r="N1105" t="b">
        <v>0</v>
      </c>
    </row>
    <row r="1106" spans="1:14">
      <c r="A1106">
        <v>66</v>
      </c>
      <c r="B1106">
        <v>7</v>
      </c>
      <c r="C1106" t="s">
        <v>169</v>
      </c>
      <c r="D1106" t="s">
        <v>726</v>
      </c>
      <c r="E1106" t="s">
        <v>74</v>
      </c>
      <c r="F1106">
        <v>50</v>
      </c>
      <c r="G1106" t="s">
        <v>128</v>
      </c>
      <c r="H1106" t="s">
        <v>128</v>
      </c>
      <c r="I1106" t="s">
        <v>74</v>
      </c>
      <c r="J1106" t="s">
        <v>128</v>
      </c>
      <c r="K1106" t="s">
        <v>128</v>
      </c>
      <c r="L1106" t="s">
        <v>128</v>
      </c>
      <c r="M1106" t="s">
        <v>1762</v>
      </c>
      <c r="N1106" t="b">
        <v>0</v>
      </c>
    </row>
    <row r="1107" spans="1:14">
      <c r="A1107">
        <v>66</v>
      </c>
      <c r="B1107">
        <v>8</v>
      </c>
      <c r="C1107" t="s">
        <v>165</v>
      </c>
      <c r="D1107" t="s">
        <v>726</v>
      </c>
      <c r="E1107" t="s">
        <v>78</v>
      </c>
      <c r="F1107">
        <v>40</v>
      </c>
      <c r="G1107" t="s">
        <v>128</v>
      </c>
      <c r="H1107" t="s">
        <v>128</v>
      </c>
      <c r="I1107" t="s">
        <v>78</v>
      </c>
      <c r="J1107" t="s">
        <v>128</v>
      </c>
      <c r="K1107" t="s">
        <v>128</v>
      </c>
      <c r="L1107" t="s">
        <v>128</v>
      </c>
      <c r="M1107" t="s">
        <v>1763</v>
      </c>
      <c r="N1107" t="b">
        <v>0</v>
      </c>
    </row>
    <row r="1108" spans="1:14">
      <c r="A1108">
        <v>66</v>
      </c>
      <c r="B1108">
        <v>9</v>
      </c>
      <c r="C1108" t="s">
        <v>390</v>
      </c>
      <c r="D1108" t="s">
        <v>726</v>
      </c>
      <c r="E1108" t="s">
        <v>360</v>
      </c>
      <c r="F1108">
        <v>40</v>
      </c>
      <c r="G1108" t="s">
        <v>128</v>
      </c>
      <c r="H1108" t="s">
        <v>565</v>
      </c>
      <c r="I1108" t="s">
        <v>1625</v>
      </c>
      <c r="J1108" t="s">
        <v>128</v>
      </c>
      <c r="K1108" t="s">
        <v>1166</v>
      </c>
      <c r="L1108" t="s">
        <v>1167</v>
      </c>
      <c r="M1108" t="s">
        <v>1764</v>
      </c>
      <c r="N1108" t="b">
        <v>0</v>
      </c>
    </row>
    <row r="1109" spans="1:14">
      <c r="A1109">
        <v>66</v>
      </c>
      <c r="B1109">
        <v>10</v>
      </c>
      <c r="C1109" t="s">
        <v>224</v>
      </c>
      <c r="D1109" t="s">
        <v>726</v>
      </c>
      <c r="E1109" t="s">
        <v>102</v>
      </c>
      <c r="F1109">
        <v>50</v>
      </c>
      <c r="G1109" t="s">
        <v>128</v>
      </c>
      <c r="H1109" t="s">
        <v>128</v>
      </c>
      <c r="I1109" t="s">
        <v>102</v>
      </c>
      <c r="J1109" t="s">
        <v>128</v>
      </c>
      <c r="K1109" t="s">
        <v>128</v>
      </c>
      <c r="L1109" t="s">
        <v>128</v>
      </c>
      <c r="M1109" t="s">
        <v>1765</v>
      </c>
      <c r="N1109" t="b">
        <v>0</v>
      </c>
    </row>
    <row r="1110" spans="1:14">
      <c r="A1110">
        <v>66</v>
      </c>
      <c r="B1110">
        <v>11</v>
      </c>
      <c r="C1110" t="s">
        <v>172</v>
      </c>
      <c r="D1110" t="s">
        <v>726</v>
      </c>
      <c r="E1110" t="s">
        <v>106</v>
      </c>
      <c r="F1110">
        <v>50</v>
      </c>
      <c r="G1110" t="s">
        <v>128</v>
      </c>
      <c r="H1110" t="s">
        <v>128</v>
      </c>
      <c r="I1110" t="s">
        <v>106</v>
      </c>
      <c r="J1110" t="s">
        <v>128</v>
      </c>
      <c r="K1110" t="s">
        <v>128</v>
      </c>
      <c r="L1110" t="s">
        <v>128</v>
      </c>
      <c r="M1110" t="s">
        <v>1766</v>
      </c>
      <c r="N1110" t="b">
        <v>0</v>
      </c>
    </row>
    <row r="1111" spans="1:14">
      <c r="A1111">
        <v>66</v>
      </c>
      <c r="B1111">
        <v>12</v>
      </c>
      <c r="C1111" t="s">
        <v>225</v>
      </c>
      <c r="D1111" t="s">
        <v>726</v>
      </c>
      <c r="E1111" t="s">
        <v>107</v>
      </c>
      <c r="F1111">
        <v>50</v>
      </c>
      <c r="G1111" t="s">
        <v>128</v>
      </c>
      <c r="H1111" t="s">
        <v>128</v>
      </c>
      <c r="I1111" t="s">
        <v>107</v>
      </c>
      <c r="J1111" t="s">
        <v>128</v>
      </c>
      <c r="K1111" t="s">
        <v>128</v>
      </c>
      <c r="L1111" t="s">
        <v>128</v>
      </c>
      <c r="M1111" t="s">
        <v>1767</v>
      </c>
      <c r="N1111" t="b">
        <v>0</v>
      </c>
    </row>
    <row r="1112" spans="1:14">
      <c r="A1112">
        <v>66</v>
      </c>
      <c r="B1112">
        <v>13</v>
      </c>
      <c r="C1112" t="s">
        <v>197</v>
      </c>
      <c r="D1112" t="s">
        <v>726</v>
      </c>
      <c r="E1112" t="s">
        <v>108</v>
      </c>
      <c r="F1112">
        <v>60</v>
      </c>
      <c r="G1112" t="s">
        <v>128</v>
      </c>
      <c r="H1112" t="s">
        <v>128</v>
      </c>
      <c r="I1112" t="s">
        <v>108</v>
      </c>
      <c r="J1112" t="s">
        <v>128</v>
      </c>
      <c r="K1112" t="s">
        <v>128</v>
      </c>
      <c r="L1112" t="s">
        <v>128</v>
      </c>
      <c r="M1112" t="s">
        <v>1768</v>
      </c>
      <c r="N1112" t="b">
        <v>0</v>
      </c>
    </row>
    <row r="1113" spans="1:14">
      <c r="A1113">
        <v>66</v>
      </c>
      <c r="B1113">
        <v>14</v>
      </c>
      <c r="C1113" t="s">
        <v>128</v>
      </c>
      <c r="D1113" t="s">
        <v>726</v>
      </c>
      <c r="E1113" t="s">
        <v>128</v>
      </c>
      <c r="F1113">
        <v>0</v>
      </c>
      <c r="G1113" t="s">
        <v>128</v>
      </c>
      <c r="H1113" t="s">
        <v>128</v>
      </c>
      <c r="I1113" t="s">
        <v>128</v>
      </c>
      <c r="J1113" t="s">
        <v>128</v>
      </c>
      <c r="K1113" t="s">
        <v>128</v>
      </c>
      <c r="L1113" t="s">
        <v>128</v>
      </c>
      <c r="M1113" t="s">
        <v>1769</v>
      </c>
      <c r="N1113" t="b">
        <v>0</v>
      </c>
    </row>
    <row r="1114" spans="1:14">
      <c r="A1114">
        <v>66</v>
      </c>
      <c r="B1114">
        <v>15</v>
      </c>
      <c r="C1114" t="s">
        <v>128</v>
      </c>
      <c r="D1114" t="s">
        <v>726</v>
      </c>
      <c r="E1114" t="s">
        <v>128</v>
      </c>
      <c r="F1114">
        <v>0</v>
      </c>
      <c r="G1114" t="s">
        <v>128</v>
      </c>
      <c r="H1114" t="s">
        <v>128</v>
      </c>
      <c r="I1114" t="s">
        <v>128</v>
      </c>
      <c r="J1114" t="s">
        <v>128</v>
      </c>
      <c r="K1114" t="s">
        <v>128</v>
      </c>
      <c r="L1114" t="s">
        <v>128</v>
      </c>
      <c r="M1114" t="s">
        <v>1770</v>
      </c>
      <c r="N1114" t="b">
        <v>0</v>
      </c>
    </row>
    <row r="1115" spans="1:14">
      <c r="A1115">
        <v>66</v>
      </c>
      <c r="B1115">
        <v>16</v>
      </c>
      <c r="C1115" t="s">
        <v>128</v>
      </c>
      <c r="D1115" t="s">
        <v>743</v>
      </c>
      <c r="E1115" t="s">
        <v>128</v>
      </c>
      <c r="F1115">
        <v>0</v>
      </c>
      <c r="G1115" t="s">
        <v>128</v>
      </c>
      <c r="H1115" t="s">
        <v>128</v>
      </c>
      <c r="I1115" t="s">
        <v>128</v>
      </c>
      <c r="J1115" t="s">
        <v>128</v>
      </c>
      <c r="K1115" t="s">
        <v>128</v>
      </c>
      <c r="L1115" t="s">
        <v>128</v>
      </c>
      <c r="M1115" t="s">
        <v>1771</v>
      </c>
      <c r="N1115" t="b">
        <v>0</v>
      </c>
    </row>
    <row r="1116" spans="1:14">
      <c r="A1116">
        <v>66</v>
      </c>
      <c r="B1116">
        <v>17</v>
      </c>
      <c r="C1116" t="s">
        <v>128</v>
      </c>
      <c r="D1116" t="s">
        <v>743</v>
      </c>
      <c r="E1116" t="s">
        <v>128</v>
      </c>
      <c r="F1116">
        <v>0</v>
      </c>
      <c r="G1116" t="s">
        <v>128</v>
      </c>
      <c r="H1116" t="s">
        <v>128</v>
      </c>
      <c r="I1116" t="s">
        <v>128</v>
      </c>
      <c r="J1116" t="s">
        <v>128</v>
      </c>
      <c r="K1116" t="s">
        <v>128</v>
      </c>
      <c r="L1116" t="s">
        <v>128</v>
      </c>
      <c r="M1116" t="s">
        <v>1772</v>
      </c>
      <c r="N1116" t="b">
        <v>0</v>
      </c>
    </row>
    <row r="1117" spans="1:14">
      <c r="A1117">
        <v>66</v>
      </c>
      <c r="B1117">
        <v>18</v>
      </c>
      <c r="C1117" t="s">
        <v>128</v>
      </c>
      <c r="D1117" t="s">
        <v>743</v>
      </c>
      <c r="E1117" t="s">
        <v>128</v>
      </c>
      <c r="F1117">
        <v>0</v>
      </c>
      <c r="G1117" t="s">
        <v>128</v>
      </c>
      <c r="H1117" t="s">
        <v>128</v>
      </c>
      <c r="I1117" t="s">
        <v>128</v>
      </c>
      <c r="J1117" t="s">
        <v>128</v>
      </c>
      <c r="K1117" t="s">
        <v>128</v>
      </c>
      <c r="L1117" t="s">
        <v>128</v>
      </c>
      <c r="M1117" t="s">
        <v>1773</v>
      </c>
      <c r="N1117" t="b">
        <v>0</v>
      </c>
    </row>
    <row r="1118" spans="1:14">
      <c r="A1118">
        <v>66</v>
      </c>
      <c r="B1118">
        <v>19</v>
      </c>
      <c r="C1118" t="s">
        <v>128</v>
      </c>
      <c r="D1118" t="s">
        <v>743</v>
      </c>
      <c r="E1118" t="s">
        <v>128</v>
      </c>
      <c r="F1118">
        <v>0</v>
      </c>
      <c r="G1118" t="s">
        <v>128</v>
      </c>
      <c r="H1118" t="s">
        <v>128</v>
      </c>
      <c r="I1118" t="s">
        <v>128</v>
      </c>
      <c r="J1118" t="s">
        <v>128</v>
      </c>
      <c r="K1118" t="s">
        <v>128</v>
      </c>
      <c r="L1118" t="s">
        <v>128</v>
      </c>
      <c r="M1118" t="s">
        <v>1774</v>
      </c>
      <c r="N1118" t="b">
        <v>0</v>
      </c>
    </row>
    <row r="1119" spans="1:14">
      <c r="A1119">
        <v>66</v>
      </c>
      <c r="B1119">
        <v>20</v>
      </c>
      <c r="C1119" t="s">
        <v>128</v>
      </c>
      <c r="D1119" t="s">
        <v>743</v>
      </c>
      <c r="E1119" t="s">
        <v>128</v>
      </c>
      <c r="F1119">
        <v>0</v>
      </c>
      <c r="G1119" t="s">
        <v>128</v>
      </c>
      <c r="H1119" t="s">
        <v>128</v>
      </c>
      <c r="I1119" t="s">
        <v>128</v>
      </c>
      <c r="J1119" t="s">
        <v>128</v>
      </c>
      <c r="K1119" t="s">
        <v>128</v>
      </c>
      <c r="L1119" t="s">
        <v>128</v>
      </c>
      <c r="M1119" t="s">
        <v>1775</v>
      </c>
      <c r="N1119" t="b">
        <v>0</v>
      </c>
    </row>
    <row r="1120" spans="1:14">
      <c r="A1120">
        <v>66</v>
      </c>
      <c r="B1120">
        <v>21</v>
      </c>
      <c r="C1120" t="s">
        <v>128</v>
      </c>
      <c r="D1120" t="s">
        <v>743</v>
      </c>
      <c r="E1120" t="s">
        <v>128</v>
      </c>
      <c r="F1120">
        <v>0</v>
      </c>
      <c r="G1120" t="s">
        <v>128</v>
      </c>
      <c r="H1120" t="s">
        <v>128</v>
      </c>
      <c r="I1120" t="s">
        <v>128</v>
      </c>
      <c r="J1120" t="s">
        <v>128</v>
      </c>
      <c r="K1120" t="s">
        <v>128</v>
      </c>
      <c r="L1120" t="s">
        <v>128</v>
      </c>
      <c r="M1120" t="s">
        <v>1776</v>
      </c>
      <c r="N1120" t="b">
        <v>0</v>
      </c>
    </row>
    <row r="1121" spans="1:14">
      <c r="A1121">
        <v>66</v>
      </c>
      <c r="B1121">
        <v>22</v>
      </c>
      <c r="C1121" t="s">
        <v>128</v>
      </c>
      <c r="D1121" t="s">
        <v>743</v>
      </c>
      <c r="E1121" t="s">
        <v>128</v>
      </c>
      <c r="F1121">
        <v>0</v>
      </c>
      <c r="G1121" t="s">
        <v>128</v>
      </c>
      <c r="H1121" t="s">
        <v>128</v>
      </c>
      <c r="I1121" t="s">
        <v>128</v>
      </c>
      <c r="J1121" t="s">
        <v>128</v>
      </c>
      <c r="K1121" t="s">
        <v>128</v>
      </c>
      <c r="L1121" t="s">
        <v>128</v>
      </c>
      <c r="M1121" t="s">
        <v>1777</v>
      </c>
      <c r="N1121" t="b">
        <v>0</v>
      </c>
    </row>
    <row r="1122" spans="1:14">
      <c r="A1122">
        <v>66</v>
      </c>
      <c r="B1122">
        <v>23</v>
      </c>
      <c r="C1122" t="s">
        <v>128</v>
      </c>
      <c r="D1122" t="s">
        <v>743</v>
      </c>
      <c r="E1122" t="s">
        <v>128</v>
      </c>
      <c r="F1122">
        <v>0</v>
      </c>
      <c r="G1122" t="s">
        <v>128</v>
      </c>
      <c r="H1122" t="s">
        <v>128</v>
      </c>
      <c r="I1122" t="s">
        <v>128</v>
      </c>
      <c r="J1122" t="s">
        <v>128</v>
      </c>
      <c r="K1122" t="s">
        <v>128</v>
      </c>
      <c r="L1122" t="s">
        <v>128</v>
      </c>
      <c r="M1122" t="s">
        <v>1778</v>
      </c>
      <c r="N1122" t="b">
        <v>0</v>
      </c>
    </row>
    <row r="1123" spans="1:14">
      <c r="A1123">
        <v>66</v>
      </c>
      <c r="B1123">
        <v>24</v>
      </c>
      <c r="C1123" t="s">
        <v>128</v>
      </c>
      <c r="D1123" t="s">
        <v>743</v>
      </c>
      <c r="E1123" t="s">
        <v>128</v>
      </c>
      <c r="F1123">
        <v>0</v>
      </c>
      <c r="G1123" t="s">
        <v>128</v>
      </c>
      <c r="H1123" t="s">
        <v>128</v>
      </c>
      <c r="I1123" t="s">
        <v>128</v>
      </c>
      <c r="J1123" t="s">
        <v>128</v>
      </c>
      <c r="K1123" t="s">
        <v>128</v>
      </c>
      <c r="L1123" t="s">
        <v>128</v>
      </c>
      <c r="M1123" t="s">
        <v>1779</v>
      </c>
      <c r="N1123" t="b">
        <v>0</v>
      </c>
    </row>
    <row r="1124" spans="1:14">
      <c r="A1124">
        <v>66</v>
      </c>
      <c r="B1124">
        <v>25</v>
      </c>
      <c r="C1124" t="s">
        <v>128</v>
      </c>
      <c r="D1124" t="s">
        <v>743</v>
      </c>
      <c r="E1124" t="s">
        <v>128</v>
      </c>
      <c r="F1124">
        <v>0</v>
      </c>
      <c r="G1124" t="s">
        <v>128</v>
      </c>
      <c r="H1124" t="s">
        <v>128</v>
      </c>
      <c r="I1124" t="s">
        <v>128</v>
      </c>
      <c r="J1124" t="s">
        <v>128</v>
      </c>
      <c r="K1124" t="s">
        <v>128</v>
      </c>
      <c r="L1124" t="s">
        <v>128</v>
      </c>
      <c r="M1124" t="s">
        <v>1780</v>
      </c>
      <c r="N1124" t="b">
        <v>0</v>
      </c>
    </row>
    <row r="1125" spans="1:14">
      <c r="A1125">
        <v>66</v>
      </c>
      <c r="B1125">
        <v>26</v>
      </c>
      <c r="C1125" t="s">
        <v>128</v>
      </c>
      <c r="D1125" t="s">
        <v>743</v>
      </c>
      <c r="E1125" t="s">
        <v>128</v>
      </c>
      <c r="F1125">
        <v>0</v>
      </c>
      <c r="G1125" t="s">
        <v>128</v>
      </c>
      <c r="H1125" t="s">
        <v>128</v>
      </c>
      <c r="I1125" t="s">
        <v>128</v>
      </c>
      <c r="J1125" t="s">
        <v>128</v>
      </c>
      <c r="K1125" t="s">
        <v>128</v>
      </c>
      <c r="L1125" t="s">
        <v>128</v>
      </c>
      <c r="M1125" t="s">
        <v>1781</v>
      </c>
      <c r="N1125" t="b">
        <v>0</v>
      </c>
    </row>
    <row r="1126" spans="1:14">
      <c r="A1126">
        <v>68</v>
      </c>
      <c r="B1126">
        <v>0</v>
      </c>
      <c r="C1126" t="s">
        <v>218</v>
      </c>
      <c r="D1126" t="s">
        <v>726</v>
      </c>
      <c r="E1126" t="s">
        <v>65</v>
      </c>
      <c r="F1126">
        <v>60</v>
      </c>
      <c r="G1126" t="s">
        <v>128</v>
      </c>
      <c r="H1126" t="s">
        <v>128</v>
      </c>
      <c r="I1126" t="s">
        <v>65</v>
      </c>
      <c r="J1126" t="s">
        <v>128</v>
      </c>
      <c r="K1126" t="s">
        <v>128</v>
      </c>
      <c r="L1126" t="s">
        <v>128</v>
      </c>
      <c r="M1126" t="s">
        <v>1782</v>
      </c>
      <c r="N1126" t="b">
        <v>0</v>
      </c>
    </row>
    <row r="1127" spans="1:14">
      <c r="A1127">
        <v>68</v>
      </c>
      <c r="B1127">
        <v>1</v>
      </c>
      <c r="C1127" t="s">
        <v>228</v>
      </c>
      <c r="D1127" t="s">
        <v>726</v>
      </c>
      <c r="E1127" t="s">
        <v>77</v>
      </c>
      <c r="F1127">
        <v>50</v>
      </c>
      <c r="G1127" t="s">
        <v>128</v>
      </c>
      <c r="H1127" t="s">
        <v>128</v>
      </c>
      <c r="I1127" t="s">
        <v>77</v>
      </c>
      <c r="J1127" t="s">
        <v>128</v>
      </c>
      <c r="K1127" t="s">
        <v>128</v>
      </c>
      <c r="L1127" t="s">
        <v>128</v>
      </c>
      <c r="M1127" t="s">
        <v>1783</v>
      </c>
      <c r="N1127" t="b">
        <v>0</v>
      </c>
    </row>
    <row r="1128" spans="1:14">
      <c r="A1128">
        <v>68</v>
      </c>
      <c r="B1128">
        <v>2</v>
      </c>
      <c r="C1128" t="s">
        <v>220</v>
      </c>
      <c r="D1128" t="s">
        <v>726</v>
      </c>
      <c r="E1128" t="s">
        <v>95</v>
      </c>
      <c r="F1128">
        <v>40</v>
      </c>
      <c r="G1128" t="s">
        <v>128</v>
      </c>
      <c r="H1128" t="s">
        <v>128</v>
      </c>
      <c r="I1128" t="s">
        <v>95</v>
      </c>
      <c r="J1128" t="s">
        <v>128</v>
      </c>
      <c r="K1128" t="s">
        <v>128</v>
      </c>
      <c r="L1128" t="s">
        <v>128</v>
      </c>
      <c r="M1128" t="s">
        <v>1784</v>
      </c>
      <c r="N1128" t="b">
        <v>0</v>
      </c>
    </row>
    <row r="1129" spans="1:14">
      <c r="A1129">
        <v>68</v>
      </c>
      <c r="B1129">
        <v>3</v>
      </c>
      <c r="C1129" t="s">
        <v>221</v>
      </c>
      <c r="D1129" t="s">
        <v>726</v>
      </c>
      <c r="E1129" t="s">
        <v>101</v>
      </c>
      <c r="F1129">
        <v>60</v>
      </c>
      <c r="G1129" t="s">
        <v>128</v>
      </c>
      <c r="H1129" t="s">
        <v>128</v>
      </c>
      <c r="I1129" t="s">
        <v>101</v>
      </c>
      <c r="J1129" t="s">
        <v>128</v>
      </c>
      <c r="K1129" t="s">
        <v>128</v>
      </c>
      <c r="L1129" t="s">
        <v>128</v>
      </c>
      <c r="M1129" t="s">
        <v>1785</v>
      </c>
      <c r="N1129" t="b">
        <v>0</v>
      </c>
    </row>
    <row r="1130" spans="1:14">
      <c r="A1130">
        <v>68</v>
      </c>
      <c r="B1130">
        <v>4</v>
      </c>
      <c r="C1130" t="s">
        <v>162</v>
      </c>
      <c r="D1130" t="s">
        <v>755</v>
      </c>
      <c r="E1130" t="s">
        <v>299</v>
      </c>
      <c r="F1130">
        <v>40</v>
      </c>
      <c r="G1130" t="s">
        <v>762</v>
      </c>
      <c r="H1130" t="s">
        <v>128</v>
      </c>
      <c r="I1130" t="s">
        <v>128</v>
      </c>
      <c r="J1130" t="s">
        <v>763</v>
      </c>
      <c r="K1130" t="s">
        <v>764</v>
      </c>
      <c r="L1130" t="s">
        <v>765</v>
      </c>
      <c r="M1130" t="s">
        <v>1786</v>
      </c>
      <c r="N1130" t="b">
        <v>0</v>
      </c>
    </row>
    <row r="1131" spans="1:14">
      <c r="A1131">
        <v>68</v>
      </c>
      <c r="B1131">
        <v>5</v>
      </c>
      <c r="C1131" t="s">
        <v>200</v>
      </c>
      <c r="D1131" t="s">
        <v>726</v>
      </c>
      <c r="E1131" t="s">
        <v>113</v>
      </c>
      <c r="F1131">
        <v>50</v>
      </c>
      <c r="G1131" t="s">
        <v>128</v>
      </c>
      <c r="H1131" t="s">
        <v>128</v>
      </c>
      <c r="I1131" t="s">
        <v>113</v>
      </c>
      <c r="J1131" t="s">
        <v>128</v>
      </c>
      <c r="K1131" t="s">
        <v>128</v>
      </c>
      <c r="L1131" t="s">
        <v>128</v>
      </c>
      <c r="M1131" t="s">
        <v>1787</v>
      </c>
      <c r="N1131" t="b">
        <v>0</v>
      </c>
    </row>
    <row r="1132" spans="1:14">
      <c r="A1132">
        <v>68</v>
      </c>
      <c r="B1132">
        <v>6</v>
      </c>
      <c r="C1132" t="s">
        <v>319</v>
      </c>
      <c r="D1132" t="s">
        <v>726</v>
      </c>
      <c r="E1132" t="s">
        <v>115</v>
      </c>
      <c r="F1132">
        <v>30</v>
      </c>
      <c r="G1132" t="s">
        <v>128</v>
      </c>
      <c r="H1132" t="s">
        <v>128</v>
      </c>
      <c r="I1132" t="s">
        <v>115</v>
      </c>
      <c r="J1132" t="s">
        <v>128</v>
      </c>
      <c r="K1132" t="s">
        <v>128</v>
      </c>
      <c r="L1132" t="s">
        <v>128</v>
      </c>
      <c r="M1132" t="s">
        <v>1788</v>
      </c>
      <c r="N1132" t="b">
        <v>0</v>
      </c>
    </row>
    <row r="1133" spans="1:14">
      <c r="A1133">
        <v>68</v>
      </c>
      <c r="B1133">
        <v>7</v>
      </c>
      <c r="C1133" t="s">
        <v>222</v>
      </c>
      <c r="D1133" t="s">
        <v>726</v>
      </c>
      <c r="E1133" t="s">
        <v>68</v>
      </c>
      <c r="F1133">
        <v>50</v>
      </c>
      <c r="G1133" t="s">
        <v>128</v>
      </c>
      <c r="H1133" t="s">
        <v>128</v>
      </c>
      <c r="I1133" t="s">
        <v>68</v>
      </c>
      <c r="J1133" t="s">
        <v>128</v>
      </c>
      <c r="K1133" t="s">
        <v>128</v>
      </c>
      <c r="L1133" t="s">
        <v>128</v>
      </c>
      <c r="M1133" t="s">
        <v>1789</v>
      </c>
      <c r="N1133" t="b">
        <v>0</v>
      </c>
    </row>
    <row r="1134" spans="1:14">
      <c r="A1134">
        <v>68</v>
      </c>
      <c r="B1134">
        <v>8</v>
      </c>
      <c r="C1134" t="s">
        <v>408</v>
      </c>
      <c r="D1134" t="s">
        <v>726</v>
      </c>
      <c r="E1134" t="s">
        <v>333</v>
      </c>
      <c r="F1134">
        <v>50</v>
      </c>
      <c r="G1134" t="s">
        <v>128</v>
      </c>
      <c r="H1134" t="s">
        <v>550</v>
      </c>
      <c r="I1134" t="s">
        <v>447</v>
      </c>
      <c r="J1134" t="s">
        <v>128</v>
      </c>
      <c r="K1134" t="s">
        <v>923</v>
      </c>
      <c r="L1134" t="s">
        <v>924</v>
      </c>
      <c r="M1134" t="s">
        <v>1790</v>
      </c>
      <c r="N1134" t="b">
        <v>0</v>
      </c>
    </row>
    <row r="1135" spans="1:14">
      <c r="A1135">
        <v>68</v>
      </c>
      <c r="B1135">
        <v>9</v>
      </c>
      <c r="C1135" t="s">
        <v>169</v>
      </c>
      <c r="D1135" t="s">
        <v>726</v>
      </c>
      <c r="E1135" t="s">
        <v>74</v>
      </c>
      <c r="F1135">
        <v>50</v>
      </c>
      <c r="G1135" t="s">
        <v>128</v>
      </c>
      <c r="H1135" t="s">
        <v>128</v>
      </c>
      <c r="I1135" t="s">
        <v>74</v>
      </c>
      <c r="J1135" t="s">
        <v>128</v>
      </c>
      <c r="K1135" t="s">
        <v>128</v>
      </c>
      <c r="L1135" t="s">
        <v>128</v>
      </c>
      <c r="M1135" t="s">
        <v>1791</v>
      </c>
      <c r="N1135" t="b">
        <v>0</v>
      </c>
    </row>
    <row r="1136" spans="1:14">
      <c r="A1136">
        <v>68</v>
      </c>
      <c r="B1136">
        <v>10</v>
      </c>
      <c r="C1136" t="s">
        <v>165</v>
      </c>
      <c r="D1136" t="s">
        <v>726</v>
      </c>
      <c r="E1136" t="s">
        <v>78</v>
      </c>
      <c r="F1136">
        <v>40</v>
      </c>
      <c r="G1136" t="s">
        <v>128</v>
      </c>
      <c r="H1136" t="s">
        <v>128</v>
      </c>
      <c r="I1136" t="s">
        <v>78</v>
      </c>
      <c r="J1136" t="s">
        <v>128</v>
      </c>
      <c r="K1136" t="s">
        <v>128</v>
      </c>
      <c r="L1136" t="s">
        <v>128</v>
      </c>
      <c r="M1136" t="s">
        <v>1792</v>
      </c>
      <c r="N1136" t="b">
        <v>0</v>
      </c>
    </row>
    <row r="1137" spans="1:14">
      <c r="A1137">
        <v>68</v>
      </c>
      <c r="B1137">
        <v>11</v>
      </c>
      <c r="C1137" t="s">
        <v>224</v>
      </c>
      <c r="D1137" t="s">
        <v>726</v>
      </c>
      <c r="E1137" t="s">
        <v>102</v>
      </c>
      <c r="F1137">
        <v>50</v>
      </c>
      <c r="G1137" t="s">
        <v>128</v>
      </c>
      <c r="H1137" t="s">
        <v>128</v>
      </c>
      <c r="I1137" t="s">
        <v>102</v>
      </c>
      <c r="J1137" t="s">
        <v>128</v>
      </c>
      <c r="K1137" t="s">
        <v>128</v>
      </c>
      <c r="L1137" t="s">
        <v>128</v>
      </c>
      <c r="M1137" t="s">
        <v>1793</v>
      </c>
      <c r="N1137" t="b">
        <v>0</v>
      </c>
    </row>
    <row r="1138" spans="1:14">
      <c r="A1138">
        <v>68</v>
      </c>
      <c r="B1138">
        <v>12</v>
      </c>
      <c r="C1138" t="s">
        <v>172</v>
      </c>
      <c r="D1138" t="s">
        <v>726</v>
      </c>
      <c r="E1138" t="s">
        <v>106</v>
      </c>
      <c r="F1138">
        <v>50</v>
      </c>
      <c r="G1138" t="s">
        <v>128</v>
      </c>
      <c r="H1138" t="s">
        <v>128</v>
      </c>
      <c r="I1138" t="s">
        <v>106</v>
      </c>
      <c r="J1138" t="s">
        <v>128</v>
      </c>
      <c r="K1138" t="s">
        <v>128</v>
      </c>
      <c r="L1138" t="s">
        <v>128</v>
      </c>
      <c r="M1138" t="s">
        <v>1794</v>
      </c>
      <c r="N1138" t="b">
        <v>0</v>
      </c>
    </row>
    <row r="1139" spans="1:14">
      <c r="A1139">
        <v>68</v>
      </c>
      <c r="B1139">
        <v>13</v>
      </c>
      <c r="C1139" t="s">
        <v>273</v>
      </c>
      <c r="D1139" t="s">
        <v>726</v>
      </c>
      <c r="E1139" t="s">
        <v>107</v>
      </c>
      <c r="F1139">
        <v>40</v>
      </c>
      <c r="G1139" t="s">
        <v>128</v>
      </c>
      <c r="H1139" t="s">
        <v>128</v>
      </c>
      <c r="I1139" t="s">
        <v>107</v>
      </c>
      <c r="J1139" t="s">
        <v>128</v>
      </c>
      <c r="K1139" t="s">
        <v>128</v>
      </c>
      <c r="L1139" t="s">
        <v>128</v>
      </c>
      <c r="M1139" t="s">
        <v>1795</v>
      </c>
      <c r="N1139" t="b">
        <v>0</v>
      </c>
    </row>
    <row r="1140" spans="1:14">
      <c r="A1140">
        <v>68</v>
      </c>
      <c r="B1140">
        <v>14</v>
      </c>
      <c r="C1140" t="s">
        <v>197</v>
      </c>
      <c r="D1140" t="s">
        <v>726</v>
      </c>
      <c r="E1140" t="s">
        <v>108</v>
      </c>
      <c r="F1140">
        <v>60</v>
      </c>
      <c r="G1140" t="s">
        <v>128</v>
      </c>
      <c r="H1140" t="s">
        <v>128</v>
      </c>
      <c r="I1140" t="s">
        <v>108</v>
      </c>
      <c r="J1140" t="s">
        <v>128</v>
      </c>
      <c r="K1140" t="s">
        <v>128</v>
      </c>
      <c r="L1140" t="s">
        <v>128</v>
      </c>
      <c r="M1140" t="s">
        <v>1796</v>
      </c>
      <c r="N1140" t="b">
        <v>0</v>
      </c>
    </row>
    <row r="1141" spans="1:14">
      <c r="A1141">
        <v>68</v>
      </c>
      <c r="B1141">
        <v>15</v>
      </c>
      <c r="C1141" t="s">
        <v>128</v>
      </c>
      <c r="D1141" t="s">
        <v>726</v>
      </c>
      <c r="E1141" t="s">
        <v>128</v>
      </c>
      <c r="F1141">
        <v>0</v>
      </c>
      <c r="G1141" t="s">
        <v>128</v>
      </c>
      <c r="H1141" t="s">
        <v>128</v>
      </c>
      <c r="I1141" t="s">
        <v>128</v>
      </c>
      <c r="J1141" t="s">
        <v>128</v>
      </c>
      <c r="K1141" t="s">
        <v>128</v>
      </c>
      <c r="L1141" t="s">
        <v>128</v>
      </c>
      <c r="M1141" t="s">
        <v>1797</v>
      </c>
      <c r="N1141" t="b">
        <v>0</v>
      </c>
    </row>
    <row r="1142" spans="1:14">
      <c r="A1142">
        <v>68</v>
      </c>
      <c r="B1142">
        <v>16</v>
      </c>
      <c r="C1142" t="s">
        <v>128</v>
      </c>
      <c r="D1142" t="s">
        <v>743</v>
      </c>
      <c r="E1142" t="s">
        <v>128</v>
      </c>
      <c r="F1142">
        <v>0</v>
      </c>
      <c r="G1142" t="s">
        <v>128</v>
      </c>
      <c r="H1142" t="s">
        <v>128</v>
      </c>
      <c r="I1142" t="s">
        <v>128</v>
      </c>
      <c r="J1142" t="s">
        <v>128</v>
      </c>
      <c r="K1142" t="s">
        <v>128</v>
      </c>
      <c r="L1142" t="s">
        <v>128</v>
      </c>
      <c r="M1142" t="s">
        <v>1798</v>
      </c>
      <c r="N1142" t="b">
        <v>0</v>
      </c>
    </row>
    <row r="1143" spans="1:14">
      <c r="A1143">
        <v>68</v>
      </c>
      <c r="B1143">
        <v>17</v>
      </c>
      <c r="C1143" t="s">
        <v>128</v>
      </c>
      <c r="D1143" t="s">
        <v>743</v>
      </c>
      <c r="E1143" t="s">
        <v>128</v>
      </c>
      <c r="F1143">
        <v>0</v>
      </c>
      <c r="G1143" t="s">
        <v>128</v>
      </c>
      <c r="H1143" t="s">
        <v>128</v>
      </c>
      <c r="I1143" t="s">
        <v>128</v>
      </c>
      <c r="J1143" t="s">
        <v>128</v>
      </c>
      <c r="K1143" t="s">
        <v>128</v>
      </c>
      <c r="L1143" t="s">
        <v>128</v>
      </c>
      <c r="M1143" t="s">
        <v>1799</v>
      </c>
      <c r="N1143" t="b">
        <v>0</v>
      </c>
    </row>
    <row r="1144" spans="1:14">
      <c r="A1144">
        <v>68</v>
      </c>
      <c r="B1144">
        <v>18</v>
      </c>
      <c r="C1144" t="s">
        <v>128</v>
      </c>
      <c r="D1144" t="s">
        <v>743</v>
      </c>
      <c r="E1144" t="s">
        <v>128</v>
      </c>
      <c r="F1144">
        <v>0</v>
      </c>
      <c r="G1144" t="s">
        <v>128</v>
      </c>
      <c r="H1144" t="s">
        <v>128</v>
      </c>
      <c r="I1144" t="s">
        <v>128</v>
      </c>
      <c r="J1144" t="s">
        <v>128</v>
      </c>
      <c r="K1144" t="s">
        <v>128</v>
      </c>
      <c r="L1144" t="s">
        <v>128</v>
      </c>
      <c r="M1144" t="s">
        <v>1800</v>
      </c>
      <c r="N1144" t="b">
        <v>0</v>
      </c>
    </row>
    <row r="1145" spans="1:14">
      <c r="A1145">
        <v>68</v>
      </c>
      <c r="B1145">
        <v>19</v>
      </c>
      <c r="C1145" t="s">
        <v>128</v>
      </c>
      <c r="D1145" t="s">
        <v>743</v>
      </c>
      <c r="E1145" t="s">
        <v>128</v>
      </c>
      <c r="F1145">
        <v>0</v>
      </c>
      <c r="G1145" t="s">
        <v>128</v>
      </c>
      <c r="H1145" t="s">
        <v>128</v>
      </c>
      <c r="I1145" t="s">
        <v>128</v>
      </c>
      <c r="J1145" t="s">
        <v>128</v>
      </c>
      <c r="K1145" t="s">
        <v>128</v>
      </c>
      <c r="L1145" t="s">
        <v>128</v>
      </c>
      <c r="M1145" t="s">
        <v>1801</v>
      </c>
      <c r="N1145" t="b">
        <v>0</v>
      </c>
    </row>
    <row r="1146" spans="1:14">
      <c r="A1146">
        <v>68</v>
      </c>
      <c r="B1146">
        <v>20</v>
      </c>
      <c r="C1146" t="s">
        <v>128</v>
      </c>
      <c r="D1146" t="s">
        <v>743</v>
      </c>
      <c r="E1146" t="s">
        <v>128</v>
      </c>
      <c r="F1146">
        <v>0</v>
      </c>
      <c r="G1146" t="s">
        <v>128</v>
      </c>
      <c r="H1146" t="s">
        <v>128</v>
      </c>
      <c r="I1146" t="s">
        <v>128</v>
      </c>
      <c r="J1146" t="s">
        <v>128</v>
      </c>
      <c r="K1146" t="s">
        <v>128</v>
      </c>
      <c r="L1146" t="s">
        <v>128</v>
      </c>
      <c r="M1146" t="s">
        <v>1802</v>
      </c>
      <c r="N1146" t="b">
        <v>0</v>
      </c>
    </row>
    <row r="1147" spans="1:14">
      <c r="A1147">
        <v>68</v>
      </c>
      <c r="B1147">
        <v>21</v>
      </c>
      <c r="C1147" t="s">
        <v>128</v>
      </c>
      <c r="D1147" t="s">
        <v>743</v>
      </c>
      <c r="E1147" t="s">
        <v>128</v>
      </c>
      <c r="F1147">
        <v>0</v>
      </c>
      <c r="G1147" t="s">
        <v>128</v>
      </c>
      <c r="H1147" t="s">
        <v>128</v>
      </c>
      <c r="I1147" t="s">
        <v>128</v>
      </c>
      <c r="J1147" t="s">
        <v>128</v>
      </c>
      <c r="K1147" t="s">
        <v>128</v>
      </c>
      <c r="L1147" t="s">
        <v>128</v>
      </c>
      <c r="M1147" t="s">
        <v>1803</v>
      </c>
      <c r="N1147" t="b">
        <v>0</v>
      </c>
    </row>
    <row r="1148" spans="1:14">
      <c r="A1148">
        <v>68</v>
      </c>
      <c r="B1148">
        <v>22</v>
      </c>
      <c r="C1148" t="s">
        <v>128</v>
      </c>
      <c r="D1148" t="s">
        <v>743</v>
      </c>
      <c r="E1148" t="s">
        <v>128</v>
      </c>
      <c r="F1148">
        <v>0</v>
      </c>
      <c r="G1148" t="s">
        <v>128</v>
      </c>
      <c r="H1148" t="s">
        <v>128</v>
      </c>
      <c r="I1148" t="s">
        <v>128</v>
      </c>
      <c r="J1148" t="s">
        <v>128</v>
      </c>
      <c r="K1148" t="s">
        <v>128</v>
      </c>
      <c r="L1148" t="s">
        <v>128</v>
      </c>
      <c r="M1148" t="s">
        <v>1804</v>
      </c>
      <c r="N1148" t="b">
        <v>0</v>
      </c>
    </row>
    <row r="1149" spans="1:14">
      <c r="A1149">
        <v>68</v>
      </c>
      <c r="B1149">
        <v>23</v>
      </c>
      <c r="C1149" t="s">
        <v>128</v>
      </c>
      <c r="D1149" t="s">
        <v>743</v>
      </c>
      <c r="E1149" t="s">
        <v>128</v>
      </c>
      <c r="F1149">
        <v>0</v>
      </c>
      <c r="G1149" t="s">
        <v>128</v>
      </c>
      <c r="H1149" t="s">
        <v>128</v>
      </c>
      <c r="I1149" t="s">
        <v>128</v>
      </c>
      <c r="J1149" t="s">
        <v>128</v>
      </c>
      <c r="K1149" t="s">
        <v>128</v>
      </c>
      <c r="L1149" t="s">
        <v>128</v>
      </c>
      <c r="M1149" t="s">
        <v>1805</v>
      </c>
      <c r="N1149" t="b">
        <v>0</v>
      </c>
    </row>
    <row r="1150" spans="1:14">
      <c r="A1150">
        <v>68</v>
      </c>
      <c r="B1150">
        <v>24</v>
      </c>
      <c r="C1150" t="s">
        <v>128</v>
      </c>
      <c r="D1150" t="s">
        <v>743</v>
      </c>
      <c r="E1150" t="s">
        <v>128</v>
      </c>
      <c r="F1150">
        <v>0</v>
      </c>
      <c r="G1150" t="s">
        <v>128</v>
      </c>
      <c r="H1150" t="s">
        <v>128</v>
      </c>
      <c r="I1150" t="s">
        <v>128</v>
      </c>
      <c r="J1150" t="s">
        <v>128</v>
      </c>
      <c r="K1150" t="s">
        <v>128</v>
      </c>
      <c r="L1150" t="s">
        <v>128</v>
      </c>
      <c r="M1150" t="s">
        <v>1806</v>
      </c>
      <c r="N1150" t="b">
        <v>0</v>
      </c>
    </row>
    <row r="1151" spans="1:14">
      <c r="A1151">
        <v>68</v>
      </c>
      <c r="B1151">
        <v>25</v>
      </c>
      <c r="C1151" t="s">
        <v>128</v>
      </c>
      <c r="D1151" t="s">
        <v>743</v>
      </c>
      <c r="E1151" t="s">
        <v>128</v>
      </c>
      <c r="F1151">
        <v>0</v>
      </c>
      <c r="G1151" t="s">
        <v>128</v>
      </c>
      <c r="H1151" t="s">
        <v>128</v>
      </c>
      <c r="I1151" t="s">
        <v>128</v>
      </c>
      <c r="J1151" t="s">
        <v>128</v>
      </c>
      <c r="K1151" t="s">
        <v>128</v>
      </c>
      <c r="L1151" t="s">
        <v>128</v>
      </c>
      <c r="M1151" t="s">
        <v>1807</v>
      </c>
      <c r="N1151" t="b">
        <v>0</v>
      </c>
    </row>
    <row r="1152" spans="1:14">
      <c r="A1152">
        <v>68</v>
      </c>
      <c r="B1152">
        <v>26</v>
      </c>
      <c r="C1152" t="s">
        <v>128</v>
      </c>
      <c r="D1152" t="s">
        <v>743</v>
      </c>
      <c r="E1152" t="s">
        <v>128</v>
      </c>
      <c r="F1152">
        <v>0</v>
      </c>
      <c r="G1152" t="s">
        <v>128</v>
      </c>
      <c r="H1152" t="s">
        <v>128</v>
      </c>
      <c r="I1152" t="s">
        <v>128</v>
      </c>
      <c r="J1152" t="s">
        <v>128</v>
      </c>
      <c r="K1152" t="s">
        <v>128</v>
      </c>
      <c r="L1152" t="s">
        <v>128</v>
      </c>
      <c r="M1152" t="s">
        <v>1808</v>
      </c>
      <c r="N1152" t="b">
        <v>0</v>
      </c>
    </row>
    <row r="1153" spans="1:14">
      <c r="A1153">
        <v>69</v>
      </c>
      <c r="B1153">
        <v>0</v>
      </c>
      <c r="C1153" t="s">
        <v>246</v>
      </c>
      <c r="D1153" t="s">
        <v>726</v>
      </c>
      <c r="E1153" t="s">
        <v>60</v>
      </c>
      <c r="F1153">
        <v>40</v>
      </c>
      <c r="G1153" t="s">
        <v>128</v>
      </c>
      <c r="H1153" t="s">
        <v>128</v>
      </c>
      <c r="I1153" t="s">
        <v>60</v>
      </c>
      <c r="J1153" t="s">
        <v>128</v>
      </c>
      <c r="K1153" t="s">
        <v>128</v>
      </c>
      <c r="L1153" t="s">
        <v>128</v>
      </c>
      <c r="M1153" t="s">
        <v>1809</v>
      </c>
      <c r="N1153" t="b">
        <v>0</v>
      </c>
    </row>
    <row r="1154" spans="1:14">
      <c r="A1154">
        <v>69</v>
      </c>
      <c r="B1154">
        <v>1</v>
      </c>
      <c r="C1154" t="s">
        <v>166</v>
      </c>
      <c r="D1154" t="s">
        <v>726</v>
      </c>
      <c r="E1154" t="s">
        <v>67</v>
      </c>
      <c r="F1154">
        <v>40</v>
      </c>
      <c r="G1154" t="s">
        <v>128</v>
      </c>
      <c r="H1154" t="s">
        <v>128</v>
      </c>
      <c r="I1154" t="s">
        <v>67</v>
      </c>
      <c r="J1154" t="s">
        <v>128</v>
      </c>
      <c r="K1154" t="s">
        <v>128</v>
      </c>
      <c r="L1154" t="s">
        <v>128</v>
      </c>
      <c r="M1154" t="s">
        <v>1810</v>
      </c>
      <c r="N1154" t="b">
        <v>0</v>
      </c>
    </row>
    <row r="1155" spans="1:14">
      <c r="A1155">
        <v>69</v>
      </c>
      <c r="B1155">
        <v>2</v>
      </c>
      <c r="C1155" t="s">
        <v>331</v>
      </c>
      <c r="D1155" t="s">
        <v>726</v>
      </c>
      <c r="E1155" t="s">
        <v>77</v>
      </c>
      <c r="F1155">
        <v>40</v>
      </c>
      <c r="G1155" t="s">
        <v>128</v>
      </c>
      <c r="H1155" t="s">
        <v>128</v>
      </c>
      <c r="I1155" t="s">
        <v>77</v>
      </c>
      <c r="J1155" t="s">
        <v>128</v>
      </c>
      <c r="K1155" t="s">
        <v>128</v>
      </c>
      <c r="L1155" t="s">
        <v>128</v>
      </c>
      <c r="M1155" t="s">
        <v>1811</v>
      </c>
      <c r="N1155" t="b">
        <v>0</v>
      </c>
    </row>
    <row r="1156" spans="1:14">
      <c r="A1156">
        <v>69</v>
      </c>
      <c r="B1156">
        <v>3</v>
      </c>
      <c r="C1156" t="s">
        <v>247</v>
      </c>
      <c r="D1156" t="s">
        <v>726</v>
      </c>
      <c r="E1156" t="s">
        <v>83</v>
      </c>
      <c r="F1156">
        <v>60</v>
      </c>
      <c r="G1156" t="s">
        <v>128</v>
      </c>
      <c r="H1156" t="s">
        <v>128</v>
      </c>
      <c r="I1156" t="s">
        <v>83</v>
      </c>
      <c r="J1156" t="s">
        <v>128</v>
      </c>
      <c r="K1156" t="s">
        <v>128</v>
      </c>
      <c r="L1156" t="s">
        <v>128</v>
      </c>
      <c r="M1156" t="s">
        <v>1812</v>
      </c>
      <c r="N1156" t="b">
        <v>0</v>
      </c>
    </row>
    <row r="1157" spans="1:14">
      <c r="A1157">
        <v>69</v>
      </c>
      <c r="B1157">
        <v>4</v>
      </c>
      <c r="C1157" t="s">
        <v>410</v>
      </c>
      <c r="D1157" t="s">
        <v>726</v>
      </c>
      <c r="E1157" t="s">
        <v>96</v>
      </c>
      <c r="F1157">
        <v>40</v>
      </c>
      <c r="G1157" t="s">
        <v>128</v>
      </c>
      <c r="H1157" t="s">
        <v>128</v>
      </c>
      <c r="I1157" t="s">
        <v>96</v>
      </c>
      <c r="J1157" t="s">
        <v>128</v>
      </c>
      <c r="K1157" t="s">
        <v>128</v>
      </c>
      <c r="L1157" t="s">
        <v>128</v>
      </c>
      <c r="M1157" t="s">
        <v>1813</v>
      </c>
      <c r="N1157" t="b">
        <v>0</v>
      </c>
    </row>
    <row r="1158" spans="1:14">
      <c r="A1158">
        <v>69</v>
      </c>
      <c r="B1158">
        <v>5</v>
      </c>
      <c r="C1158" t="s">
        <v>231</v>
      </c>
      <c r="D1158" t="s">
        <v>726</v>
      </c>
      <c r="E1158" t="s">
        <v>101</v>
      </c>
      <c r="F1158">
        <v>40</v>
      </c>
      <c r="G1158" t="s">
        <v>128</v>
      </c>
      <c r="H1158" t="s">
        <v>128</v>
      </c>
      <c r="I1158" t="s">
        <v>101</v>
      </c>
      <c r="J1158" t="s">
        <v>128</v>
      </c>
      <c r="K1158" t="s">
        <v>128</v>
      </c>
      <c r="L1158" t="s">
        <v>128</v>
      </c>
      <c r="M1158" t="s">
        <v>1814</v>
      </c>
      <c r="N1158" t="b">
        <v>0</v>
      </c>
    </row>
    <row r="1159" spans="1:14">
      <c r="A1159">
        <v>69</v>
      </c>
      <c r="B1159">
        <v>6</v>
      </c>
      <c r="C1159" t="s">
        <v>161</v>
      </c>
      <c r="D1159" t="s">
        <v>755</v>
      </c>
      <c r="E1159" t="s">
        <v>299</v>
      </c>
      <c r="F1159">
        <v>50</v>
      </c>
      <c r="G1159" t="s">
        <v>762</v>
      </c>
      <c r="H1159" t="s">
        <v>128</v>
      </c>
      <c r="I1159" t="s">
        <v>128</v>
      </c>
      <c r="J1159" t="s">
        <v>763</v>
      </c>
      <c r="K1159" t="s">
        <v>764</v>
      </c>
      <c r="L1159" t="s">
        <v>765</v>
      </c>
      <c r="M1159" t="s">
        <v>1815</v>
      </c>
      <c r="N1159" t="b">
        <v>0</v>
      </c>
    </row>
    <row r="1160" spans="1:14">
      <c r="A1160">
        <v>69</v>
      </c>
      <c r="B1160">
        <v>7</v>
      </c>
      <c r="C1160" t="s">
        <v>161</v>
      </c>
      <c r="D1160" t="s">
        <v>755</v>
      </c>
      <c r="E1160" t="s">
        <v>299</v>
      </c>
      <c r="F1160">
        <v>50</v>
      </c>
      <c r="G1160" t="s">
        <v>762</v>
      </c>
      <c r="H1160" t="s">
        <v>128</v>
      </c>
      <c r="I1160" t="s">
        <v>128</v>
      </c>
      <c r="J1160" t="s">
        <v>763</v>
      </c>
      <c r="K1160" t="s">
        <v>767</v>
      </c>
      <c r="L1160" t="s">
        <v>768</v>
      </c>
      <c r="M1160" t="s">
        <v>1816</v>
      </c>
      <c r="N1160" t="b">
        <v>0</v>
      </c>
    </row>
    <row r="1161" spans="1:14">
      <c r="A1161">
        <v>69</v>
      </c>
      <c r="B1161">
        <v>8</v>
      </c>
      <c r="C1161" t="s">
        <v>162</v>
      </c>
      <c r="D1161" t="s">
        <v>755</v>
      </c>
      <c r="E1161" t="s">
        <v>299</v>
      </c>
      <c r="F1161">
        <v>40</v>
      </c>
      <c r="G1161" t="s">
        <v>762</v>
      </c>
      <c r="H1161" t="s">
        <v>128</v>
      </c>
      <c r="I1161" t="s">
        <v>128</v>
      </c>
      <c r="J1161" t="s">
        <v>763</v>
      </c>
      <c r="K1161" t="s">
        <v>1003</v>
      </c>
      <c r="L1161" t="s">
        <v>1004</v>
      </c>
      <c r="M1161" t="s">
        <v>1817</v>
      </c>
      <c r="N1161" t="b">
        <v>0</v>
      </c>
    </row>
    <row r="1162" spans="1:14">
      <c r="A1162">
        <v>69</v>
      </c>
      <c r="B1162">
        <v>9</v>
      </c>
      <c r="C1162" t="s">
        <v>248</v>
      </c>
      <c r="D1162" t="s">
        <v>726</v>
      </c>
      <c r="E1162" t="s">
        <v>114</v>
      </c>
      <c r="F1162">
        <v>40</v>
      </c>
      <c r="G1162" t="s">
        <v>128</v>
      </c>
      <c r="H1162" t="s">
        <v>128</v>
      </c>
      <c r="I1162" t="s">
        <v>114</v>
      </c>
      <c r="J1162" t="s">
        <v>128</v>
      </c>
      <c r="K1162" t="s">
        <v>128</v>
      </c>
      <c r="L1162" t="s">
        <v>128</v>
      </c>
      <c r="M1162" t="s">
        <v>1818</v>
      </c>
      <c r="N1162" t="b">
        <v>0</v>
      </c>
    </row>
    <row r="1163" spans="1:14">
      <c r="A1163">
        <v>69</v>
      </c>
      <c r="B1163">
        <v>10</v>
      </c>
      <c r="C1163" t="s">
        <v>168</v>
      </c>
      <c r="D1163" t="s">
        <v>726</v>
      </c>
      <c r="E1163" t="s">
        <v>115</v>
      </c>
      <c r="F1163">
        <v>50</v>
      </c>
      <c r="G1163" t="s">
        <v>128</v>
      </c>
      <c r="H1163" t="s">
        <v>128</v>
      </c>
      <c r="I1163" t="s">
        <v>115</v>
      </c>
      <c r="J1163" t="s">
        <v>128</v>
      </c>
      <c r="K1163" t="s">
        <v>128</v>
      </c>
      <c r="L1163" t="s">
        <v>128</v>
      </c>
      <c r="M1163" t="s">
        <v>1819</v>
      </c>
      <c r="N1163" t="b">
        <v>0</v>
      </c>
    </row>
    <row r="1164" spans="1:14">
      <c r="A1164">
        <v>69</v>
      </c>
      <c r="B1164">
        <v>11</v>
      </c>
      <c r="C1164" t="s">
        <v>184</v>
      </c>
      <c r="D1164" t="s">
        <v>726</v>
      </c>
      <c r="E1164" t="s">
        <v>61</v>
      </c>
      <c r="F1164">
        <v>40</v>
      </c>
      <c r="G1164" t="s">
        <v>128</v>
      </c>
      <c r="H1164" t="s">
        <v>128</v>
      </c>
      <c r="I1164" t="s">
        <v>61</v>
      </c>
      <c r="J1164" t="s">
        <v>128</v>
      </c>
      <c r="K1164" t="s">
        <v>128</v>
      </c>
      <c r="L1164" t="s">
        <v>128</v>
      </c>
      <c r="M1164" t="s">
        <v>1820</v>
      </c>
      <c r="N1164" t="b">
        <v>0</v>
      </c>
    </row>
    <row r="1165" spans="1:14">
      <c r="A1165">
        <v>69</v>
      </c>
      <c r="B1165">
        <v>12</v>
      </c>
      <c r="C1165" t="s">
        <v>195</v>
      </c>
      <c r="D1165" t="s">
        <v>726</v>
      </c>
      <c r="E1165" t="s">
        <v>78</v>
      </c>
      <c r="F1165">
        <v>50</v>
      </c>
      <c r="G1165" t="s">
        <v>128</v>
      </c>
      <c r="H1165" t="s">
        <v>128</v>
      </c>
      <c r="I1165" t="s">
        <v>78</v>
      </c>
      <c r="J1165" t="s">
        <v>128</v>
      </c>
      <c r="K1165" t="s">
        <v>128</v>
      </c>
      <c r="L1165" t="s">
        <v>128</v>
      </c>
      <c r="M1165" t="s">
        <v>1821</v>
      </c>
      <c r="N1165" t="b">
        <v>0</v>
      </c>
    </row>
    <row r="1166" spans="1:14">
      <c r="A1166">
        <v>69</v>
      </c>
      <c r="B1166">
        <v>13</v>
      </c>
      <c r="C1166" t="s">
        <v>224</v>
      </c>
      <c r="D1166" t="s">
        <v>726</v>
      </c>
      <c r="E1166" t="s">
        <v>102</v>
      </c>
      <c r="F1166">
        <v>50</v>
      </c>
      <c r="G1166" t="s">
        <v>128</v>
      </c>
      <c r="H1166" t="s">
        <v>128</v>
      </c>
      <c r="I1166" t="s">
        <v>102</v>
      </c>
      <c r="J1166" t="s">
        <v>128</v>
      </c>
      <c r="K1166" t="s">
        <v>128</v>
      </c>
      <c r="L1166" t="s">
        <v>128</v>
      </c>
      <c r="M1166" t="s">
        <v>1822</v>
      </c>
      <c r="N1166" t="b">
        <v>0</v>
      </c>
    </row>
    <row r="1167" spans="1:14">
      <c r="A1167">
        <v>69</v>
      </c>
      <c r="B1167">
        <v>14</v>
      </c>
      <c r="C1167" t="s">
        <v>197</v>
      </c>
      <c r="D1167" t="s">
        <v>726</v>
      </c>
      <c r="E1167" t="s">
        <v>108</v>
      </c>
      <c r="F1167">
        <v>60</v>
      </c>
      <c r="G1167" t="s">
        <v>128</v>
      </c>
      <c r="H1167" t="s">
        <v>128</v>
      </c>
      <c r="I1167" t="s">
        <v>108</v>
      </c>
      <c r="J1167" t="s">
        <v>128</v>
      </c>
      <c r="K1167" t="s">
        <v>128</v>
      </c>
      <c r="L1167" t="s">
        <v>128</v>
      </c>
      <c r="M1167" t="s">
        <v>1823</v>
      </c>
      <c r="N1167" t="b">
        <v>0</v>
      </c>
    </row>
    <row r="1168" spans="1:14">
      <c r="A1168">
        <v>69</v>
      </c>
      <c r="B1168">
        <v>15</v>
      </c>
      <c r="C1168" t="s">
        <v>128</v>
      </c>
      <c r="D1168" t="s">
        <v>726</v>
      </c>
      <c r="E1168" t="s">
        <v>128</v>
      </c>
      <c r="F1168">
        <v>0</v>
      </c>
      <c r="G1168" t="s">
        <v>128</v>
      </c>
      <c r="H1168" t="s">
        <v>128</v>
      </c>
      <c r="I1168" t="s">
        <v>128</v>
      </c>
      <c r="J1168" t="s">
        <v>128</v>
      </c>
      <c r="K1168" t="s">
        <v>128</v>
      </c>
      <c r="L1168" t="s">
        <v>128</v>
      </c>
      <c r="M1168" t="s">
        <v>1824</v>
      </c>
      <c r="N1168" t="b">
        <v>0</v>
      </c>
    </row>
    <row r="1169" spans="1:14">
      <c r="A1169">
        <v>69</v>
      </c>
      <c r="B1169">
        <v>16</v>
      </c>
      <c r="C1169" t="s">
        <v>128</v>
      </c>
      <c r="D1169" t="s">
        <v>743</v>
      </c>
      <c r="E1169" t="s">
        <v>128</v>
      </c>
      <c r="F1169">
        <v>0</v>
      </c>
      <c r="G1169" t="s">
        <v>128</v>
      </c>
      <c r="H1169" t="s">
        <v>128</v>
      </c>
      <c r="I1169" t="s">
        <v>128</v>
      </c>
      <c r="J1169" t="s">
        <v>128</v>
      </c>
      <c r="K1169" t="s">
        <v>128</v>
      </c>
      <c r="L1169" t="s">
        <v>128</v>
      </c>
      <c r="M1169" t="s">
        <v>1825</v>
      </c>
      <c r="N1169" t="b">
        <v>0</v>
      </c>
    </row>
    <row r="1170" spans="1:14">
      <c r="A1170">
        <v>69</v>
      </c>
      <c r="B1170">
        <v>17</v>
      </c>
      <c r="C1170" t="s">
        <v>128</v>
      </c>
      <c r="D1170" t="s">
        <v>743</v>
      </c>
      <c r="E1170" t="s">
        <v>128</v>
      </c>
      <c r="F1170">
        <v>0</v>
      </c>
      <c r="G1170" t="s">
        <v>128</v>
      </c>
      <c r="H1170" t="s">
        <v>128</v>
      </c>
      <c r="I1170" t="s">
        <v>128</v>
      </c>
      <c r="J1170" t="s">
        <v>128</v>
      </c>
      <c r="K1170" t="s">
        <v>128</v>
      </c>
      <c r="L1170" t="s">
        <v>128</v>
      </c>
      <c r="M1170" t="s">
        <v>1826</v>
      </c>
      <c r="N1170" t="b">
        <v>0</v>
      </c>
    </row>
    <row r="1171" spans="1:14">
      <c r="A1171">
        <v>69</v>
      </c>
      <c r="B1171">
        <v>18</v>
      </c>
      <c r="C1171" t="s">
        <v>128</v>
      </c>
      <c r="D1171" t="s">
        <v>743</v>
      </c>
      <c r="E1171" t="s">
        <v>128</v>
      </c>
      <c r="F1171">
        <v>0</v>
      </c>
      <c r="G1171" t="s">
        <v>128</v>
      </c>
      <c r="H1171" t="s">
        <v>128</v>
      </c>
      <c r="I1171" t="s">
        <v>128</v>
      </c>
      <c r="J1171" t="s">
        <v>128</v>
      </c>
      <c r="K1171" t="s">
        <v>128</v>
      </c>
      <c r="L1171" t="s">
        <v>128</v>
      </c>
      <c r="M1171" t="s">
        <v>1827</v>
      </c>
      <c r="N1171" t="b">
        <v>0</v>
      </c>
    </row>
    <row r="1172" spans="1:14">
      <c r="A1172">
        <v>69</v>
      </c>
      <c r="B1172">
        <v>19</v>
      </c>
      <c r="C1172" t="s">
        <v>128</v>
      </c>
      <c r="D1172" t="s">
        <v>743</v>
      </c>
      <c r="E1172" t="s">
        <v>128</v>
      </c>
      <c r="F1172">
        <v>0</v>
      </c>
      <c r="G1172" t="s">
        <v>128</v>
      </c>
      <c r="H1172" t="s">
        <v>128</v>
      </c>
      <c r="I1172" t="s">
        <v>128</v>
      </c>
      <c r="J1172" t="s">
        <v>128</v>
      </c>
      <c r="K1172" t="s">
        <v>128</v>
      </c>
      <c r="L1172" t="s">
        <v>128</v>
      </c>
      <c r="M1172" t="s">
        <v>1828</v>
      </c>
      <c r="N1172" t="b">
        <v>0</v>
      </c>
    </row>
    <row r="1173" spans="1:14">
      <c r="A1173">
        <v>69</v>
      </c>
      <c r="B1173">
        <v>20</v>
      </c>
      <c r="C1173" t="s">
        <v>128</v>
      </c>
      <c r="D1173" t="s">
        <v>743</v>
      </c>
      <c r="E1173" t="s">
        <v>128</v>
      </c>
      <c r="F1173">
        <v>0</v>
      </c>
      <c r="G1173" t="s">
        <v>128</v>
      </c>
      <c r="H1173" t="s">
        <v>128</v>
      </c>
      <c r="I1173" t="s">
        <v>128</v>
      </c>
      <c r="J1173" t="s">
        <v>128</v>
      </c>
      <c r="K1173" t="s">
        <v>128</v>
      </c>
      <c r="L1173" t="s">
        <v>128</v>
      </c>
      <c r="M1173" t="s">
        <v>1829</v>
      </c>
      <c r="N1173" t="b">
        <v>0</v>
      </c>
    </row>
    <row r="1174" spans="1:14">
      <c r="A1174">
        <v>69</v>
      </c>
      <c r="B1174">
        <v>21</v>
      </c>
      <c r="C1174" t="s">
        <v>128</v>
      </c>
      <c r="D1174" t="s">
        <v>743</v>
      </c>
      <c r="E1174" t="s">
        <v>128</v>
      </c>
      <c r="F1174">
        <v>0</v>
      </c>
      <c r="G1174" t="s">
        <v>128</v>
      </c>
      <c r="H1174" t="s">
        <v>128</v>
      </c>
      <c r="I1174" t="s">
        <v>128</v>
      </c>
      <c r="J1174" t="s">
        <v>128</v>
      </c>
      <c r="K1174" t="s">
        <v>128</v>
      </c>
      <c r="L1174" t="s">
        <v>128</v>
      </c>
      <c r="M1174" t="s">
        <v>1830</v>
      </c>
      <c r="N1174" t="b">
        <v>0</v>
      </c>
    </row>
    <row r="1175" spans="1:14">
      <c r="A1175">
        <v>69</v>
      </c>
      <c r="B1175">
        <v>22</v>
      </c>
      <c r="C1175" t="s">
        <v>128</v>
      </c>
      <c r="D1175" t="s">
        <v>743</v>
      </c>
      <c r="E1175" t="s">
        <v>128</v>
      </c>
      <c r="F1175">
        <v>0</v>
      </c>
      <c r="G1175" t="s">
        <v>128</v>
      </c>
      <c r="H1175" t="s">
        <v>128</v>
      </c>
      <c r="I1175" t="s">
        <v>128</v>
      </c>
      <c r="J1175" t="s">
        <v>128</v>
      </c>
      <c r="K1175" t="s">
        <v>128</v>
      </c>
      <c r="L1175" t="s">
        <v>128</v>
      </c>
      <c r="M1175" t="s">
        <v>1831</v>
      </c>
      <c r="N1175" t="b">
        <v>0</v>
      </c>
    </row>
    <row r="1176" spans="1:14">
      <c r="A1176">
        <v>69</v>
      </c>
      <c r="B1176">
        <v>23</v>
      </c>
      <c r="C1176" t="s">
        <v>128</v>
      </c>
      <c r="D1176" t="s">
        <v>743</v>
      </c>
      <c r="E1176" t="s">
        <v>128</v>
      </c>
      <c r="F1176">
        <v>0</v>
      </c>
      <c r="G1176" t="s">
        <v>128</v>
      </c>
      <c r="H1176" t="s">
        <v>128</v>
      </c>
      <c r="I1176" t="s">
        <v>128</v>
      </c>
      <c r="J1176" t="s">
        <v>128</v>
      </c>
      <c r="K1176" t="s">
        <v>128</v>
      </c>
      <c r="L1176" t="s">
        <v>128</v>
      </c>
      <c r="M1176" t="s">
        <v>1832</v>
      </c>
      <c r="N1176" t="b">
        <v>0</v>
      </c>
    </row>
    <row r="1177" spans="1:14">
      <c r="A1177">
        <v>69</v>
      </c>
      <c r="B1177">
        <v>24</v>
      </c>
      <c r="C1177" t="s">
        <v>128</v>
      </c>
      <c r="D1177" t="s">
        <v>743</v>
      </c>
      <c r="E1177" t="s">
        <v>128</v>
      </c>
      <c r="F1177">
        <v>0</v>
      </c>
      <c r="G1177" t="s">
        <v>128</v>
      </c>
      <c r="H1177" t="s">
        <v>128</v>
      </c>
      <c r="I1177" t="s">
        <v>128</v>
      </c>
      <c r="J1177" t="s">
        <v>128</v>
      </c>
      <c r="K1177" t="s">
        <v>128</v>
      </c>
      <c r="L1177" t="s">
        <v>128</v>
      </c>
      <c r="M1177" t="s">
        <v>1833</v>
      </c>
      <c r="N1177" t="b">
        <v>0</v>
      </c>
    </row>
    <row r="1178" spans="1:14">
      <c r="A1178">
        <v>69</v>
      </c>
      <c r="B1178">
        <v>25</v>
      </c>
      <c r="C1178" t="s">
        <v>128</v>
      </c>
      <c r="D1178" t="s">
        <v>743</v>
      </c>
      <c r="E1178" t="s">
        <v>128</v>
      </c>
      <c r="F1178">
        <v>0</v>
      </c>
      <c r="G1178" t="s">
        <v>128</v>
      </c>
      <c r="H1178" t="s">
        <v>128</v>
      </c>
      <c r="I1178" t="s">
        <v>128</v>
      </c>
      <c r="J1178" t="s">
        <v>128</v>
      </c>
      <c r="K1178" t="s">
        <v>128</v>
      </c>
      <c r="L1178" t="s">
        <v>128</v>
      </c>
      <c r="M1178" t="s">
        <v>1834</v>
      </c>
      <c r="N1178" t="b">
        <v>0</v>
      </c>
    </row>
    <row r="1179" spans="1:14">
      <c r="A1179">
        <v>69</v>
      </c>
      <c r="B1179">
        <v>26</v>
      </c>
      <c r="C1179" t="s">
        <v>128</v>
      </c>
      <c r="D1179" t="s">
        <v>743</v>
      </c>
      <c r="E1179" t="s">
        <v>128</v>
      </c>
      <c r="F1179">
        <v>0</v>
      </c>
      <c r="G1179" t="s">
        <v>128</v>
      </c>
      <c r="H1179" t="s">
        <v>128</v>
      </c>
      <c r="I1179" t="s">
        <v>128</v>
      </c>
      <c r="J1179" t="s">
        <v>128</v>
      </c>
      <c r="K1179" t="s">
        <v>128</v>
      </c>
      <c r="L1179" t="s">
        <v>128</v>
      </c>
      <c r="M1179" t="s">
        <v>1835</v>
      </c>
      <c r="N1179" t="b">
        <v>0</v>
      </c>
    </row>
    <row r="1180" spans="1:14">
      <c r="A1180">
        <v>80</v>
      </c>
      <c r="B1180">
        <v>0</v>
      </c>
      <c r="C1180" t="s">
        <v>188</v>
      </c>
      <c r="D1180" t="s">
        <v>726</v>
      </c>
      <c r="E1180" t="s">
        <v>65</v>
      </c>
      <c r="F1180">
        <v>50</v>
      </c>
      <c r="G1180" t="s">
        <v>128</v>
      </c>
      <c r="H1180" t="s">
        <v>128</v>
      </c>
      <c r="I1180" t="s">
        <v>65</v>
      </c>
      <c r="J1180" t="s">
        <v>128</v>
      </c>
      <c r="K1180" t="s">
        <v>128</v>
      </c>
      <c r="L1180" t="s">
        <v>128</v>
      </c>
      <c r="M1180" t="s">
        <v>1836</v>
      </c>
      <c r="N1180" t="b">
        <v>0</v>
      </c>
    </row>
    <row r="1181" spans="1:14">
      <c r="A1181">
        <v>80</v>
      </c>
      <c r="B1181">
        <v>1</v>
      </c>
      <c r="C1181" t="s">
        <v>160</v>
      </c>
      <c r="D1181" t="s">
        <v>726</v>
      </c>
      <c r="E1181" t="s">
        <v>83</v>
      </c>
      <c r="F1181">
        <v>40</v>
      </c>
      <c r="G1181" t="s">
        <v>128</v>
      </c>
      <c r="H1181" t="s">
        <v>128</v>
      </c>
      <c r="I1181" t="s">
        <v>83</v>
      </c>
      <c r="J1181" t="s">
        <v>128</v>
      </c>
      <c r="K1181" t="s">
        <v>128</v>
      </c>
      <c r="L1181" t="s">
        <v>128</v>
      </c>
      <c r="M1181" t="s">
        <v>1837</v>
      </c>
      <c r="N1181" t="b">
        <v>0</v>
      </c>
    </row>
    <row r="1182" spans="1:14">
      <c r="A1182">
        <v>80</v>
      </c>
      <c r="B1182">
        <v>2</v>
      </c>
      <c r="C1182" t="s">
        <v>189</v>
      </c>
      <c r="D1182" t="s">
        <v>726</v>
      </c>
      <c r="E1182" t="s">
        <v>93</v>
      </c>
      <c r="F1182">
        <v>50</v>
      </c>
      <c r="G1182" t="s">
        <v>128</v>
      </c>
      <c r="H1182" t="s">
        <v>128</v>
      </c>
      <c r="I1182" t="s">
        <v>93</v>
      </c>
      <c r="J1182" t="s">
        <v>128</v>
      </c>
      <c r="K1182" t="s">
        <v>128</v>
      </c>
      <c r="L1182" t="s">
        <v>128</v>
      </c>
      <c r="M1182" t="s">
        <v>1838</v>
      </c>
      <c r="N1182" t="b">
        <v>0</v>
      </c>
    </row>
    <row r="1183" spans="1:14">
      <c r="A1183">
        <v>80</v>
      </c>
      <c r="B1183">
        <v>3</v>
      </c>
      <c r="C1183" t="s">
        <v>253</v>
      </c>
      <c r="D1183" t="s">
        <v>726</v>
      </c>
      <c r="E1183" t="s">
        <v>99</v>
      </c>
      <c r="F1183">
        <v>40</v>
      </c>
      <c r="G1183" t="s">
        <v>128</v>
      </c>
      <c r="H1183" t="s">
        <v>128</v>
      </c>
      <c r="I1183" t="s">
        <v>99</v>
      </c>
      <c r="J1183" t="s">
        <v>128</v>
      </c>
      <c r="K1183" t="s">
        <v>128</v>
      </c>
      <c r="L1183" t="s">
        <v>128</v>
      </c>
      <c r="M1183" t="s">
        <v>1839</v>
      </c>
      <c r="N1183" t="b">
        <v>0</v>
      </c>
    </row>
    <row r="1184" spans="1:14">
      <c r="A1184">
        <v>80</v>
      </c>
      <c r="B1184">
        <v>4</v>
      </c>
      <c r="C1184" t="s">
        <v>231</v>
      </c>
      <c r="D1184" t="s">
        <v>726</v>
      </c>
      <c r="E1184" t="s">
        <v>101</v>
      </c>
      <c r="F1184">
        <v>40</v>
      </c>
      <c r="G1184" t="s">
        <v>128</v>
      </c>
      <c r="H1184" t="s">
        <v>128</v>
      </c>
      <c r="I1184" t="s">
        <v>101</v>
      </c>
      <c r="J1184" t="s">
        <v>128</v>
      </c>
      <c r="K1184" t="s">
        <v>128</v>
      </c>
      <c r="L1184" t="s">
        <v>128</v>
      </c>
      <c r="M1184" t="s">
        <v>1840</v>
      </c>
      <c r="N1184" t="b">
        <v>0</v>
      </c>
    </row>
    <row r="1185" spans="1:14">
      <c r="A1185">
        <v>80</v>
      </c>
      <c r="B1185">
        <v>5</v>
      </c>
      <c r="C1185" t="s">
        <v>214</v>
      </c>
      <c r="D1185" t="s">
        <v>726</v>
      </c>
      <c r="E1185" t="s">
        <v>109</v>
      </c>
      <c r="F1185">
        <v>40</v>
      </c>
      <c r="G1185" t="s">
        <v>128</v>
      </c>
      <c r="H1185" t="s">
        <v>128</v>
      </c>
      <c r="I1185" t="s">
        <v>109</v>
      </c>
      <c r="J1185" t="s">
        <v>128</v>
      </c>
      <c r="K1185" t="s">
        <v>128</v>
      </c>
      <c r="L1185" t="s">
        <v>128</v>
      </c>
      <c r="M1185" t="s">
        <v>1841</v>
      </c>
      <c r="N1185" t="b">
        <v>0</v>
      </c>
    </row>
    <row r="1186" spans="1:14">
      <c r="A1186">
        <v>80</v>
      </c>
      <c r="B1186">
        <v>6</v>
      </c>
      <c r="C1186" t="s">
        <v>168</v>
      </c>
      <c r="D1186" t="s">
        <v>726</v>
      </c>
      <c r="E1186" t="s">
        <v>115</v>
      </c>
      <c r="F1186">
        <v>50</v>
      </c>
      <c r="G1186" t="s">
        <v>128</v>
      </c>
      <c r="H1186" t="s">
        <v>128</v>
      </c>
      <c r="I1186" t="s">
        <v>115</v>
      </c>
      <c r="J1186" t="s">
        <v>128</v>
      </c>
      <c r="K1186" t="s">
        <v>128</v>
      </c>
      <c r="L1186" t="s">
        <v>128</v>
      </c>
      <c r="M1186" t="s">
        <v>1842</v>
      </c>
      <c r="N1186" t="b">
        <v>0</v>
      </c>
    </row>
    <row r="1187" spans="1:14">
      <c r="A1187">
        <v>80</v>
      </c>
      <c r="B1187">
        <v>7</v>
      </c>
      <c r="C1187" t="s">
        <v>194</v>
      </c>
      <c r="D1187" t="s">
        <v>726</v>
      </c>
      <c r="E1187" t="s">
        <v>61</v>
      </c>
      <c r="F1187">
        <v>30</v>
      </c>
      <c r="G1187" t="s">
        <v>128</v>
      </c>
      <c r="H1187" t="s">
        <v>128</v>
      </c>
      <c r="I1187" t="s">
        <v>61</v>
      </c>
      <c r="J1187" t="s">
        <v>128</v>
      </c>
      <c r="K1187" t="s">
        <v>128</v>
      </c>
      <c r="L1187" t="s">
        <v>128</v>
      </c>
      <c r="M1187" t="s">
        <v>1843</v>
      </c>
      <c r="N1187" t="b">
        <v>0</v>
      </c>
    </row>
    <row r="1188" spans="1:14">
      <c r="A1188">
        <v>80</v>
      </c>
      <c r="B1188">
        <v>8</v>
      </c>
      <c r="C1188" t="s">
        <v>195</v>
      </c>
      <c r="D1188" t="s">
        <v>726</v>
      </c>
      <c r="E1188" t="s">
        <v>78</v>
      </c>
      <c r="F1188">
        <v>50</v>
      </c>
      <c r="G1188" t="s">
        <v>128</v>
      </c>
      <c r="H1188" t="s">
        <v>128</v>
      </c>
      <c r="I1188" t="s">
        <v>78</v>
      </c>
      <c r="J1188" t="s">
        <v>128</v>
      </c>
      <c r="K1188" t="s">
        <v>128</v>
      </c>
      <c r="L1188" t="s">
        <v>128</v>
      </c>
      <c r="M1188" t="s">
        <v>1844</v>
      </c>
      <c r="N1188" t="b">
        <v>0</v>
      </c>
    </row>
    <row r="1189" spans="1:14">
      <c r="A1189">
        <v>80</v>
      </c>
      <c r="B1189">
        <v>9</v>
      </c>
      <c r="C1189" t="s">
        <v>430</v>
      </c>
      <c r="D1189" t="s">
        <v>755</v>
      </c>
      <c r="E1189" t="s">
        <v>547</v>
      </c>
      <c r="F1189">
        <v>40</v>
      </c>
      <c r="G1189" t="s">
        <v>1671</v>
      </c>
      <c r="H1189" t="s">
        <v>128</v>
      </c>
      <c r="I1189" t="s">
        <v>128</v>
      </c>
      <c r="J1189" t="s">
        <v>1845</v>
      </c>
      <c r="K1189" t="s">
        <v>803</v>
      </c>
      <c r="L1189" t="s">
        <v>804</v>
      </c>
      <c r="M1189" t="s">
        <v>1846</v>
      </c>
      <c r="N1189" t="b">
        <v>0</v>
      </c>
    </row>
    <row r="1190" spans="1:14">
      <c r="A1190">
        <v>80</v>
      </c>
      <c r="B1190">
        <v>10</v>
      </c>
      <c r="C1190" t="s">
        <v>196</v>
      </c>
      <c r="D1190" t="s">
        <v>726</v>
      </c>
      <c r="E1190" t="s">
        <v>98</v>
      </c>
      <c r="F1190">
        <v>50</v>
      </c>
      <c r="G1190" t="s">
        <v>128</v>
      </c>
      <c r="H1190" t="s">
        <v>128</v>
      </c>
      <c r="I1190" t="s">
        <v>98</v>
      </c>
      <c r="J1190" t="s">
        <v>128</v>
      </c>
      <c r="K1190" t="s">
        <v>128</v>
      </c>
      <c r="L1190" t="s">
        <v>128</v>
      </c>
      <c r="M1190" t="s">
        <v>1847</v>
      </c>
      <c r="N1190" t="b">
        <v>0</v>
      </c>
    </row>
    <row r="1191" spans="1:14">
      <c r="A1191">
        <v>80</v>
      </c>
      <c r="B1191">
        <v>11</v>
      </c>
      <c r="C1191" t="s">
        <v>128</v>
      </c>
      <c r="D1191" t="s">
        <v>726</v>
      </c>
      <c r="E1191" t="s">
        <v>128</v>
      </c>
      <c r="F1191">
        <v>0</v>
      </c>
      <c r="G1191" t="s">
        <v>128</v>
      </c>
      <c r="H1191" t="s">
        <v>128</v>
      </c>
      <c r="I1191" t="s">
        <v>128</v>
      </c>
      <c r="J1191" t="s">
        <v>128</v>
      </c>
      <c r="K1191" t="s">
        <v>128</v>
      </c>
      <c r="L1191" t="s">
        <v>128</v>
      </c>
      <c r="M1191" t="s">
        <v>1848</v>
      </c>
      <c r="N1191" t="b">
        <v>0</v>
      </c>
    </row>
    <row r="1192" spans="1:14">
      <c r="A1192">
        <v>80</v>
      </c>
      <c r="B1192">
        <v>12</v>
      </c>
      <c r="C1192" t="s">
        <v>128</v>
      </c>
      <c r="D1192" t="s">
        <v>726</v>
      </c>
      <c r="E1192" t="s">
        <v>128</v>
      </c>
      <c r="F1192">
        <v>0</v>
      </c>
      <c r="G1192" t="s">
        <v>128</v>
      </c>
      <c r="H1192" t="s">
        <v>128</v>
      </c>
      <c r="I1192" t="s">
        <v>128</v>
      </c>
      <c r="J1192" t="s">
        <v>128</v>
      </c>
      <c r="K1192" t="s">
        <v>128</v>
      </c>
      <c r="L1192" t="s">
        <v>128</v>
      </c>
      <c r="M1192" t="s">
        <v>1849</v>
      </c>
      <c r="N1192" t="b">
        <v>0</v>
      </c>
    </row>
    <row r="1193" spans="1:14">
      <c r="A1193">
        <v>80</v>
      </c>
      <c r="B1193">
        <v>13</v>
      </c>
      <c r="C1193" t="s">
        <v>128</v>
      </c>
      <c r="D1193" t="s">
        <v>726</v>
      </c>
      <c r="E1193" t="s">
        <v>128</v>
      </c>
      <c r="F1193">
        <v>0</v>
      </c>
      <c r="G1193" t="s">
        <v>128</v>
      </c>
      <c r="H1193" t="s">
        <v>128</v>
      </c>
      <c r="I1193" t="s">
        <v>128</v>
      </c>
      <c r="J1193" t="s">
        <v>128</v>
      </c>
      <c r="K1193" t="s">
        <v>128</v>
      </c>
      <c r="L1193" t="s">
        <v>128</v>
      </c>
      <c r="M1193" t="s">
        <v>1850</v>
      </c>
      <c r="N1193" t="b">
        <v>0</v>
      </c>
    </row>
    <row r="1194" spans="1:14">
      <c r="A1194">
        <v>80</v>
      </c>
      <c r="B1194">
        <v>14</v>
      </c>
      <c r="C1194" t="s">
        <v>128</v>
      </c>
      <c r="D1194" t="s">
        <v>726</v>
      </c>
      <c r="E1194" t="s">
        <v>128</v>
      </c>
      <c r="F1194">
        <v>0</v>
      </c>
      <c r="G1194" t="s">
        <v>128</v>
      </c>
      <c r="H1194" t="s">
        <v>128</v>
      </c>
      <c r="I1194" t="s">
        <v>128</v>
      </c>
      <c r="J1194" t="s">
        <v>128</v>
      </c>
      <c r="K1194" t="s">
        <v>128</v>
      </c>
      <c r="L1194" t="s">
        <v>128</v>
      </c>
      <c r="M1194" t="s">
        <v>1851</v>
      </c>
      <c r="N1194" t="b">
        <v>0</v>
      </c>
    </row>
    <row r="1195" spans="1:14">
      <c r="A1195">
        <v>80</v>
      </c>
      <c r="B1195">
        <v>15</v>
      </c>
      <c r="C1195" t="s">
        <v>128</v>
      </c>
      <c r="D1195" t="s">
        <v>726</v>
      </c>
      <c r="E1195" t="s">
        <v>128</v>
      </c>
      <c r="F1195">
        <v>0</v>
      </c>
      <c r="G1195" t="s">
        <v>128</v>
      </c>
      <c r="H1195" t="s">
        <v>128</v>
      </c>
      <c r="I1195" t="s">
        <v>128</v>
      </c>
      <c r="J1195" t="s">
        <v>128</v>
      </c>
      <c r="K1195" t="s">
        <v>128</v>
      </c>
      <c r="L1195" t="s">
        <v>128</v>
      </c>
      <c r="M1195" t="s">
        <v>1852</v>
      </c>
      <c r="N1195" t="b">
        <v>0</v>
      </c>
    </row>
    <row r="1196" spans="1:14">
      <c r="A1196">
        <v>80</v>
      </c>
      <c r="B1196">
        <v>16</v>
      </c>
      <c r="C1196" t="s">
        <v>128</v>
      </c>
      <c r="D1196" t="s">
        <v>743</v>
      </c>
      <c r="E1196" t="s">
        <v>128</v>
      </c>
      <c r="F1196">
        <v>0</v>
      </c>
      <c r="G1196" t="s">
        <v>128</v>
      </c>
      <c r="H1196" t="s">
        <v>128</v>
      </c>
      <c r="I1196" t="s">
        <v>128</v>
      </c>
      <c r="J1196" t="s">
        <v>128</v>
      </c>
      <c r="K1196" t="s">
        <v>128</v>
      </c>
      <c r="L1196" t="s">
        <v>128</v>
      </c>
      <c r="M1196" t="s">
        <v>1853</v>
      </c>
      <c r="N1196" t="b">
        <v>0</v>
      </c>
    </row>
    <row r="1197" spans="1:14">
      <c r="A1197">
        <v>80</v>
      </c>
      <c r="B1197">
        <v>17</v>
      </c>
      <c r="C1197" t="s">
        <v>128</v>
      </c>
      <c r="D1197" t="s">
        <v>743</v>
      </c>
      <c r="E1197" t="s">
        <v>128</v>
      </c>
      <c r="F1197">
        <v>0</v>
      </c>
      <c r="G1197" t="s">
        <v>128</v>
      </c>
      <c r="H1197" t="s">
        <v>128</v>
      </c>
      <c r="I1197" t="s">
        <v>128</v>
      </c>
      <c r="J1197" t="s">
        <v>128</v>
      </c>
      <c r="K1197" t="s">
        <v>128</v>
      </c>
      <c r="L1197" t="s">
        <v>128</v>
      </c>
      <c r="M1197" t="s">
        <v>1854</v>
      </c>
      <c r="N1197" t="b">
        <v>0</v>
      </c>
    </row>
    <row r="1198" spans="1:14">
      <c r="A1198">
        <v>80</v>
      </c>
      <c r="B1198">
        <v>18</v>
      </c>
      <c r="C1198" t="s">
        <v>128</v>
      </c>
      <c r="D1198" t="s">
        <v>743</v>
      </c>
      <c r="E1198" t="s">
        <v>128</v>
      </c>
      <c r="F1198">
        <v>0</v>
      </c>
      <c r="G1198" t="s">
        <v>128</v>
      </c>
      <c r="H1198" t="s">
        <v>128</v>
      </c>
      <c r="I1198" t="s">
        <v>128</v>
      </c>
      <c r="J1198" t="s">
        <v>128</v>
      </c>
      <c r="K1198" t="s">
        <v>128</v>
      </c>
      <c r="L1198" t="s">
        <v>128</v>
      </c>
      <c r="M1198" t="s">
        <v>1855</v>
      </c>
      <c r="N1198" t="b">
        <v>0</v>
      </c>
    </row>
    <row r="1199" spans="1:14">
      <c r="A1199">
        <v>80</v>
      </c>
      <c r="B1199">
        <v>19</v>
      </c>
      <c r="C1199" t="s">
        <v>128</v>
      </c>
      <c r="D1199" t="s">
        <v>743</v>
      </c>
      <c r="E1199" t="s">
        <v>128</v>
      </c>
      <c r="F1199">
        <v>0</v>
      </c>
      <c r="G1199" t="s">
        <v>128</v>
      </c>
      <c r="H1199" t="s">
        <v>128</v>
      </c>
      <c r="I1199" t="s">
        <v>128</v>
      </c>
      <c r="J1199" t="s">
        <v>128</v>
      </c>
      <c r="K1199" t="s">
        <v>128</v>
      </c>
      <c r="L1199" t="s">
        <v>128</v>
      </c>
      <c r="M1199" t="s">
        <v>1856</v>
      </c>
      <c r="N1199" t="b">
        <v>0</v>
      </c>
    </row>
    <row r="1200" spans="1:14">
      <c r="A1200">
        <v>80</v>
      </c>
      <c r="B1200">
        <v>20</v>
      </c>
      <c r="C1200" t="s">
        <v>128</v>
      </c>
      <c r="D1200" t="s">
        <v>743</v>
      </c>
      <c r="E1200" t="s">
        <v>128</v>
      </c>
      <c r="F1200">
        <v>0</v>
      </c>
      <c r="G1200" t="s">
        <v>128</v>
      </c>
      <c r="H1200" t="s">
        <v>128</v>
      </c>
      <c r="I1200" t="s">
        <v>128</v>
      </c>
      <c r="J1200" t="s">
        <v>128</v>
      </c>
      <c r="K1200" t="s">
        <v>128</v>
      </c>
      <c r="L1200" t="s">
        <v>128</v>
      </c>
      <c r="M1200" t="s">
        <v>1857</v>
      </c>
      <c r="N1200" t="b">
        <v>0</v>
      </c>
    </row>
    <row r="1201" spans="1:14">
      <c r="A1201">
        <v>80</v>
      </c>
      <c r="B1201">
        <v>21</v>
      </c>
      <c r="C1201" t="s">
        <v>128</v>
      </c>
      <c r="D1201" t="s">
        <v>743</v>
      </c>
      <c r="E1201" t="s">
        <v>128</v>
      </c>
      <c r="F1201">
        <v>0</v>
      </c>
      <c r="G1201" t="s">
        <v>128</v>
      </c>
      <c r="H1201" t="s">
        <v>128</v>
      </c>
      <c r="I1201" t="s">
        <v>128</v>
      </c>
      <c r="J1201" t="s">
        <v>128</v>
      </c>
      <c r="K1201" t="s">
        <v>128</v>
      </c>
      <c r="L1201" t="s">
        <v>128</v>
      </c>
      <c r="M1201" t="s">
        <v>1858</v>
      </c>
      <c r="N1201" t="b">
        <v>0</v>
      </c>
    </row>
    <row r="1202" spans="1:14">
      <c r="A1202">
        <v>80</v>
      </c>
      <c r="B1202">
        <v>22</v>
      </c>
      <c r="C1202" t="s">
        <v>128</v>
      </c>
      <c r="D1202" t="s">
        <v>743</v>
      </c>
      <c r="E1202" t="s">
        <v>128</v>
      </c>
      <c r="F1202">
        <v>0</v>
      </c>
      <c r="G1202" t="s">
        <v>128</v>
      </c>
      <c r="H1202" t="s">
        <v>128</v>
      </c>
      <c r="I1202" t="s">
        <v>128</v>
      </c>
      <c r="J1202" t="s">
        <v>128</v>
      </c>
      <c r="K1202" t="s">
        <v>128</v>
      </c>
      <c r="L1202" t="s">
        <v>128</v>
      </c>
      <c r="M1202" t="s">
        <v>1859</v>
      </c>
      <c r="N1202" t="b">
        <v>0</v>
      </c>
    </row>
    <row r="1203" spans="1:14">
      <c r="A1203">
        <v>80</v>
      </c>
      <c r="B1203">
        <v>23</v>
      </c>
      <c r="C1203" t="s">
        <v>128</v>
      </c>
      <c r="D1203" t="s">
        <v>743</v>
      </c>
      <c r="E1203" t="s">
        <v>128</v>
      </c>
      <c r="F1203">
        <v>0</v>
      </c>
      <c r="G1203" t="s">
        <v>128</v>
      </c>
      <c r="H1203" t="s">
        <v>128</v>
      </c>
      <c r="I1203" t="s">
        <v>128</v>
      </c>
      <c r="J1203" t="s">
        <v>128</v>
      </c>
      <c r="K1203" t="s">
        <v>128</v>
      </c>
      <c r="L1203" t="s">
        <v>128</v>
      </c>
      <c r="M1203" t="s">
        <v>1860</v>
      </c>
      <c r="N1203" t="b">
        <v>0</v>
      </c>
    </row>
    <row r="1204" spans="1:14">
      <c r="A1204">
        <v>80</v>
      </c>
      <c r="B1204">
        <v>24</v>
      </c>
      <c r="C1204" t="s">
        <v>128</v>
      </c>
      <c r="D1204" t="s">
        <v>743</v>
      </c>
      <c r="E1204" t="s">
        <v>128</v>
      </c>
      <c r="F1204">
        <v>0</v>
      </c>
      <c r="G1204" t="s">
        <v>128</v>
      </c>
      <c r="H1204" t="s">
        <v>128</v>
      </c>
      <c r="I1204" t="s">
        <v>128</v>
      </c>
      <c r="J1204" t="s">
        <v>128</v>
      </c>
      <c r="K1204" t="s">
        <v>128</v>
      </c>
      <c r="L1204" t="s">
        <v>128</v>
      </c>
      <c r="M1204" t="s">
        <v>1861</v>
      </c>
      <c r="N1204" t="b">
        <v>0</v>
      </c>
    </row>
    <row r="1205" spans="1:14">
      <c r="A1205">
        <v>80</v>
      </c>
      <c r="B1205">
        <v>25</v>
      </c>
      <c r="C1205" t="s">
        <v>128</v>
      </c>
      <c r="D1205" t="s">
        <v>743</v>
      </c>
      <c r="E1205" t="s">
        <v>128</v>
      </c>
      <c r="F1205">
        <v>0</v>
      </c>
      <c r="G1205" t="s">
        <v>128</v>
      </c>
      <c r="H1205" t="s">
        <v>128</v>
      </c>
      <c r="I1205" t="s">
        <v>128</v>
      </c>
      <c r="J1205" t="s">
        <v>128</v>
      </c>
      <c r="K1205" t="s">
        <v>128</v>
      </c>
      <c r="L1205" t="s">
        <v>128</v>
      </c>
      <c r="M1205" t="s">
        <v>1862</v>
      </c>
      <c r="N1205" t="b">
        <v>0</v>
      </c>
    </row>
    <row r="1206" spans="1:14">
      <c r="A1206">
        <v>80</v>
      </c>
      <c r="B1206">
        <v>26</v>
      </c>
      <c r="C1206" t="s">
        <v>128</v>
      </c>
      <c r="D1206" t="s">
        <v>743</v>
      </c>
      <c r="E1206" t="s">
        <v>128</v>
      </c>
      <c r="F1206">
        <v>0</v>
      </c>
      <c r="G1206" t="s">
        <v>128</v>
      </c>
      <c r="H1206" t="s">
        <v>128</v>
      </c>
      <c r="I1206" t="s">
        <v>128</v>
      </c>
      <c r="J1206" t="s">
        <v>128</v>
      </c>
      <c r="K1206" t="s">
        <v>128</v>
      </c>
      <c r="L1206" t="s">
        <v>128</v>
      </c>
      <c r="M1206" t="s">
        <v>1863</v>
      </c>
      <c r="N1206" t="b">
        <v>0</v>
      </c>
    </row>
    <row r="1207" spans="1:14">
      <c r="A1207">
        <v>81</v>
      </c>
      <c r="B1207">
        <v>0</v>
      </c>
      <c r="C1207" t="s">
        <v>218</v>
      </c>
      <c r="D1207" t="s">
        <v>726</v>
      </c>
      <c r="E1207" t="s">
        <v>65</v>
      </c>
      <c r="F1207">
        <v>60</v>
      </c>
      <c r="G1207" t="s">
        <v>128</v>
      </c>
      <c r="H1207" t="s">
        <v>128</v>
      </c>
      <c r="I1207" t="s">
        <v>65</v>
      </c>
      <c r="J1207" t="s">
        <v>128</v>
      </c>
      <c r="K1207" t="s">
        <v>128</v>
      </c>
      <c r="L1207" t="s">
        <v>128</v>
      </c>
      <c r="M1207" t="s">
        <v>1864</v>
      </c>
      <c r="N1207" t="b">
        <v>0</v>
      </c>
    </row>
    <row r="1208" spans="1:14">
      <c r="A1208">
        <v>81</v>
      </c>
      <c r="B1208">
        <v>1</v>
      </c>
      <c r="C1208" t="s">
        <v>160</v>
      </c>
      <c r="D1208" t="s">
        <v>726</v>
      </c>
      <c r="E1208" t="s">
        <v>83</v>
      </c>
      <c r="F1208">
        <v>40</v>
      </c>
      <c r="G1208" t="s">
        <v>128</v>
      </c>
      <c r="H1208" t="s">
        <v>128</v>
      </c>
      <c r="I1208" t="s">
        <v>83</v>
      </c>
      <c r="J1208" t="s">
        <v>128</v>
      </c>
      <c r="K1208" t="s">
        <v>128</v>
      </c>
      <c r="L1208" t="s">
        <v>128</v>
      </c>
      <c r="M1208" t="s">
        <v>1865</v>
      </c>
      <c r="N1208" t="b">
        <v>0</v>
      </c>
    </row>
    <row r="1209" spans="1:14">
      <c r="A1209">
        <v>81</v>
      </c>
      <c r="B1209">
        <v>2</v>
      </c>
      <c r="C1209" t="s">
        <v>214</v>
      </c>
      <c r="D1209" t="s">
        <v>726</v>
      </c>
      <c r="E1209" t="s">
        <v>109</v>
      </c>
      <c r="F1209">
        <v>40</v>
      </c>
      <c r="G1209" t="s">
        <v>128</v>
      </c>
      <c r="H1209" t="s">
        <v>128</v>
      </c>
      <c r="I1209" t="s">
        <v>109</v>
      </c>
      <c r="J1209" t="s">
        <v>128</v>
      </c>
      <c r="K1209" t="s">
        <v>128</v>
      </c>
      <c r="L1209" t="s">
        <v>128</v>
      </c>
      <c r="M1209" t="s">
        <v>1866</v>
      </c>
      <c r="N1209" t="b">
        <v>0</v>
      </c>
    </row>
    <row r="1210" spans="1:14">
      <c r="A1210">
        <v>81</v>
      </c>
      <c r="B1210">
        <v>3</v>
      </c>
      <c r="C1210" t="s">
        <v>184</v>
      </c>
      <c r="D1210" t="s">
        <v>726</v>
      </c>
      <c r="E1210" t="s">
        <v>61</v>
      </c>
      <c r="F1210">
        <v>40</v>
      </c>
      <c r="G1210" t="s">
        <v>128</v>
      </c>
      <c r="H1210" t="s">
        <v>128</v>
      </c>
      <c r="I1210" t="s">
        <v>61</v>
      </c>
      <c r="J1210" t="s">
        <v>128</v>
      </c>
      <c r="K1210" t="s">
        <v>128</v>
      </c>
      <c r="L1210" t="s">
        <v>128</v>
      </c>
      <c r="M1210" t="s">
        <v>1867</v>
      </c>
      <c r="N1210" t="b">
        <v>0</v>
      </c>
    </row>
    <row r="1211" spans="1:14">
      <c r="A1211">
        <v>81</v>
      </c>
      <c r="B1211">
        <v>4</v>
      </c>
      <c r="C1211" t="s">
        <v>433</v>
      </c>
      <c r="D1211" t="s">
        <v>755</v>
      </c>
      <c r="E1211" t="s">
        <v>547</v>
      </c>
      <c r="F1211">
        <v>60</v>
      </c>
      <c r="G1211" t="s">
        <v>1671</v>
      </c>
      <c r="H1211" t="s">
        <v>128</v>
      </c>
      <c r="I1211" t="s">
        <v>128</v>
      </c>
      <c r="J1211" t="s">
        <v>1868</v>
      </c>
      <c r="K1211" t="s">
        <v>803</v>
      </c>
      <c r="L1211" t="s">
        <v>804</v>
      </c>
      <c r="M1211" t="s">
        <v>1869</v>
      </c>
      <c r="N1211" t="b">
        <v>0</v>
      </c>
    </row>
    <row r="1212" spans="1:14">
      <c r="A1212">
        <v>81</v>
      </c>
      <c r="B1212">
        <v>5</v>
      </c>
      <c r="C1212" t="s">
        <v>434</v>
      </c>
      <c r="D1212" t="s">
        <v>755</v>
      </c>
      <c r="E1212" t="s">
        <v>547</v>
      </c>
      <c r="F1212">
        <v>50</v>
      </c>
      <c r="G1212" t="s">
        <v>1671</v>
      </c>
      <c r="H1212" t="s">
        <v>128</v>
      </c>
      <c r="I1212" t="s">
        <v>128</v>
      </c>
      <c r="J1212" t="s">
        <v>1870</v>
      </c>
      <c r="K1212" t="s">
        <v>827</v>
      </c>
      <c r="L1212" t="s">
        <v>828</v>
      </c>
      <c r="M1212" t="s">
        <v>1871</v>
      </c>
      <c r="N1212" t="b">
        <v>0</v>
      </c>
    </row>
    <row r="1213" spans="1:14">
      <c r="A1213">
        <v>81</v>
      </c>
      <c r="B1213">
        <v>6</v>
      </c>
      <c r="C1213" t="s">
        <v>210</v>
      </c>
      <c r="D1213" t="s">
        <v>755</v>
      </c>
      <c r="E1213" t="s">
        <v>547</v>
      </c>
      <c r="F1213">
        <v>50</v>
      </c>
      <c r="G1213" t="s">
        <v>762</v>
      </c>
      <c r="H1213" t="s">
        <v>128</v>
      </c>
      <c r="I1213" t="s">
        <v>128</v>
      </c>
      <c r="J1213" t="s">
        <v>826</v>
      </c>
      <c r="K1213" t="s">
        <v>892</v>
      </c>
      <c r="L1213" t="s">
        <v>893</v>
      </c>
      <c r="M1213" t="s">
        <v>1872</v>
      </c>
      <c r="N1213" t="b">
        <v>0</v>
      </c>
    </row>
    <row r="1214" spans="1:14">
      <c r="A1214">
        <v>81</v>
      </c>
      <c r="B1214">
        <v>7</v>
      </c>
      <c r="C1214" t="s">
        <v>171</v>
      </c>
      <c r="D1214" t="s">
        <v>726</v>
      </c>
      <c r="E1214" t="s">
        <v>98</v>
      </c>
      <c r="F1214">
        <v>60</v>
      </c>
      <c r="G1214" t="s">
        <v>128</v>
      </c>
      <c r="H1214" t="s">
        <v>128</v>
      </c>
      <c r="I1214" t="s">
        <v>98</v>
      </c>
      <c r="J1214" t="s">
        <v>128</v>
      </c>
      <c r="K1214" t="s">
        <v>128</v>
      </c>
      <c r="L1214" t="s">
        <v>128</v>
      </c>
      <c r="M1214" t="s">
        <v>1873</v>
      </c>
      <c r="N1214" t="b">
        <v>0</v>
      </c>
    </row>
    <row r="1215" spans="1:14">
      <c r="A1215">
        <v>81</v>
      </c>
      <c r="B1215">
        <v>8</v>
      </c>
      <c r="C1215" t="s">
        <v>128</v>
      </c>
      <c r="D1215" t="s">
        <v>726</v>
      </c>
      <c r="E1215" t="s">
        <v>128</v>
      </c>
      <c r="F1215">
        <v>0</v>
      </c>
      <c r="G1215" t="s">
        <v>128</v>
      </c>
      <c r="H1215" t="s">
        <v>128</v>
      </c>
      <c r="I1215" t="s">
        <v>128</v>
      </c>
      <c r="J1215" t="s">
        <v>128</v>
      </c>
      <c r="K1215" t="s">
        <v>128</v>
      </c>
      <c r="L1215" t="s">
        <v>128</v>
      </c>
      <c r="M1215" t="s">
        <v>1874</v>
      </c>
      <c r="N1215" t="b">
        <v>0</v>
      </c>
    </row>
    <row r="1216" spans="1:14">
      <c r="A1216">
        <v>81</v>
      </c>
      <c r="B1216">
        <v>9</v>
      </c>
      <c r="C1216" t="s">
        <v>128</v>
      </c>
      <c r="D1216" t="s">
        <v>726</v>
      </c>
      <c r="E1216" t="s">
        <v>128</v>
      </c>
      <c r="F1216">
        <v>0</v>
      </c>
      <c r="G1216" t="s">
        <v>128</v>
      </c>
      <c r="H1216" t="s">
        <v>128</v>
      </c>
      <c r="I1216" t="s">
        <v>128</v>
      </c>
      <c r="J1216" t="s">
        <v>128</v>
      </c>
      <c r="K1216" t="s">
        <v>128</v>
      </c>
      <c r="L1216" t="s">
        <v>128</v>
      </c>
      <c r="M1216" t="s">
        <v>1875</v>
      </c>
      <c r="N1216" t="b">
        <v>0</v>
      </c>
    </row>
    <row r="1217" spans="1:14">
      <c r="A1217">
        <v>81</v>
      </c>
      <c r="B1217">
        <v>10</v>
      </c>
      <c r="C1217" t="s">
        <v>128</v>
      </c>
      <c r="D1217" t="s">
        <v>726</v>
      </c>
      <c r="E1217" t="s">
        <v>128</v>
      </c>
      <c r="F1217">
        <v>0</v>
      </c>
      <c r="G1217" t="s">
        <v>128</v>
      </c>
      <c r="H1217" t="s">
        <v>128</v>
      </c>
      <c r="I1217" t="s">
        <v>128</v>
      </c>
      <c r="J1217" t="s">
        <v>128</v>
      </c>
      <c r="K1217" t="s">
        <v>128</v>
      </c>
      <c r="L1217" t="s">
        <v>128</v>
      </c>
      <c r="M1217" t="s">
        <v>1876</v>
      </c>
      <c r="N1217" t="b">
        <v>0</v>
      </c>
    </row>
    <row r="1218" spans="1:14">
      <c r="A1218">
        <v>81</v>
      </c>
      <c r="B1218">
        <v>11</v>
      </c>
      <c r="C1218" t="s">
        <v>128</v>
      </c>
      <c r="D1218" t="s">
        <v>726</v>
      </c>
      <c r="E1218" t="s">
        <v>128</v>
      </c>
      <c r="F1218">
        <v>0</v>
      </c>
      <c r="G1218" t="s">
        <v>128</v>
      </c>
      <c r="H1218" t="s">
        <v>128</v>
      </c>
      <c r="I1218" t="s">
        <v>128</v>
      </c>
      <c r="J1218" t="s">
        <v>128</v>
      </c>
      <c r="K1218" t="s">
        <v>128</v>
      </c>
      <c r="L1218" t="s">
        <v>128</v>
      </c>
      <c r="M1218" t="s">
        <v>1877</v>
      </c>
      <c r="N1218" t="b">
        <v>0</v>
      </c>
    </row>
    <row r="1219" spans="1:14">
      <c r="A1219">
        <v>81</v>
      </c>
      <c r="B1219">
        <v>12</v>
      </c>
      <c r="C1219" t="s">
        <v>128</v>
      </c>
      <c r="D1219" t="s">
        <v>726</v>
      </c>
      <c r="E1219" t="s">
        <v>128</v>
      </c>
      <c r="F1219">
        <v>0</v>
      </c>
      <c r="G1219" t="s">
        <v>128</v>
      </c>
      <c r="H1219" t="s">
        <v>128</v>
      </c>
      <c r="I1219" t="s">
        <v>128</v>
      </c>
      <c r="J1219" t="s">
        <v>128</v>
      </c>
      <c r="K1219" t="s">
        <v>128</v>
      </c>
      <c r="L1219" t="s">
        <v>128</v>
      </c>
      <c r="M1219" t="s">
        <v>1878</v>
      </c>
      <c r="N1219" t="b">
        <v>0</v>
      </c>
    </row>
    <row r="1220" spans="1:14">
      <c r="A1220">
        <v>81</v>
      </c>
      <c r="B1220">
        <v>13</v>
      </c>
      <c r="C1220" t="s">
        <v>128</v>
      </c>
      <c r="D1220" t="s">
        <v>726</v>
      </c>
      <c r="E1220" t="s">
        <v>128</v>
      </c>
      <c r="F1220">
        <v>0</v>
      </c>
      <c r="G1220" t="s">
        <v>128</v>
      </c>
      <c r="H1220" t="s">
        <v>128</v>
      </c>
      <c r="I1220" t="s">
        <v>128</v>
      </c>
      <c r="J1220" t="s">
        <v>128</v>
      </c>
      <c r="K1220" t="s">
        <v>128</v>
      </c>
      <c r="L1220" t="s">
        <v>128</v>
      </c>
      <c r="M1220" t="s">
        <v>1879</v>
      </c>
      <c r="N1220" t="b">
        <v>0</v>
      </c>
    </row>
    <row r="1221" spans="1:14">
      <c r="A1221">
        <v>81</v>
      </c>
      <c r="B1221">
        <v>14</v>
      </c>
      <c r="C1221" t="s">
        <v>128</v>
      </c>
      <c r="D1221" t="s">
        <v>726</v>
      </c>
      <c r="E1221" t="s">
        <v>128</v>
      </c>
      <c r="F1221">
        <v>0</v>
      </c>
      <c r="G1221" t="s">
        <v>128</v>
      </c>
      <c r="H1221" t="s">
        <v>128</v>
      </c>
      <c r="I1221" t="s">
        <v>128</v>
      </c>
      <c r="J1221" t="s">
        <v>128</v>
      </c>
      <c r="K1221" t="s">
        <v>128</v>
      </c>
      <c r="L1221" t="s">
        <v>128</v>
      </c>
      <c r="M1221" t="s">
        <v>1880</v>
      </c>
      <c r="N1221" t="b">
        <v>0</v>
      </c>
    </row>
    <row r="1222" spans="1:14">
      <c r="A1222">
        <v>81</v>
      </c>
      <c r="B1222">
        <v>15</v>
      </c>
      <c r="C1222" t="s">
        <v>128</v>
      </c>
      <c r="D1222" t="s">
        <v>726</v>
      </c>
      <c r="E1222" t="s">
        <v>128</v>
      </c>
      <c r="F1222">
        <v>0</v>
      </c>
      <c r="G1222" t="s">
        <v>128</v>
      </c>
      <c r="H1222" t="s">
        <v>128</v>
      </c>
      <c r="I1222" t="s">
        <v>128</v>
      </c>
      <c r="J1222" t="s">
        <v>128</v>
      </c>
      <c r="K1222" t="s">
        <v>128</v>
      </c>
      <c r="L1222" t="s">
        <v>128</v>
      </c>
      <c r="M1222" t="s">
        <v>1881</v>
      </c>
      <c r="N1222" t="b">
        <v>0</v>
      </c>
    </row>
    <row r="1223" spans="1:14">
      <c r="A1223">
        <v>81</v>
      </c>
      <c r="B1223">
        <v>16</v>
      </c>
      <c r="C1223" t="s">
        <v>128</v>
      </c>
      <c r="D1223" t="s">
        <v>743</v>
      </c>
      <c r="E1223" t="s">
        <v>128</v>
      </c>
      <c r="F1223">
        <v>0</v>
      </c>
      <c r="G1223" t="s">
        <v>128</v>
      </c>
      <c r="H1223" t="s">
        <v>128</v>
      </c>
      <c r="I1223" t="s">
        <v>128</v>
      </c>
      <c r="J1223" t="s">
        <v>128</v>
      </c>
      <c r="K1223" t="s">
        <v>128</v>
      </c>
      <c r="L1223" t="s">
        <v>128</v>
      </c>
      <c r="M1223" t="s">
        <v>1882</v>
      </c>
      <c r="N1223" t="b">
        <v>0</v>
      </c>
    </row>
    <row r="1224" spans="1:14">
      <c r="A1224">
        <v>81</v>
      </c>
      <c r="B1224">
        <v>17</v>
      </c>
      <c r="C1224" t="s">
        <v>128</v>
      </c>
      <c r="D1224" t="s">
        <v>743</v>
      </c>
      <c r="E1224" t="s">
        <v>128</v>
      </c>
      <c r="F1224">
        <v>0</v>
      </c>
      <c r="G1224" t="s">
        <v>128</v>
      </c>
      <c r="H1224" t="s">
        <v>128</v>
      </c>
      <c r="I1224" t="s">
        <v>128</v>
      </c>
      <c r="J1224" t="s">
        <v>128</v>
      </c>
      <c r="K1224" t="s">
        <v>128</v>
      </c>
      <c r="L1224" t="s">
        <v>128</v>
      </c>
      <c r="M1224" t="s">
        <v>1883</v>
      </c>
      <c r="N1224" t="b">
        <v>0</v>
      </c>
    </row>
    <row r="1225" spans="1:14">
      <c r="A1225">
        <v>81</v>
      </c>
      <c r="B1225">
        <v>18</v>
      </c>
      <c r="C1225" t="s">
        <v>128</v>
      </c>
      <c r="D1225" t="s">
        <v>743</v>
      </c>
      <c r="E1225" t="s">
        <v>128</v>
      </c>
      <c r="F1225">
        <v>0</v>
      </c>
      <c r="G1225" t="s">
        <v>128</v>
      </c>
      <c r="H1225" t="s">
        <v>128</v>
      </c>
      <c r="I1225" t="s">
        <v>128</v>
      </c>
      <c r="J1225" t="s">
        <v>128</v>
      </c>
      <c r="K1225" t="s">
        <v>128</v>
      </c>
      <c r="L1225" t="s">
        <v>128</v>
      </c>
      <c r="M1225" t="s">
        <v>1884</v>
      </c>
      <c r="N1225" t="b">
        <v>0</v>
      </c>
    </row>
    <row r="1226" spans="1:14">
      <c r="A1226">
        <v>81</v>
      </c>
      <c r="B1226">
        <v>19</v>
      </c>
      <c r="C1226" t="s">
        <v>128</v>
      </c>
      <c r="D1226" t="s">
        <v>743</v>
      </c>
      <c r="E1226" t="s">
        <v>128</v>
      </c>
      <c r="F1226">
        <v>0</v>
      </c>
      <c r="G1226" t="s">
        <v>128</v>
      </c>
      <c r="H1226" t="s">
        <v>128</v>
      </c>
      <c r="I1226" t="s">
        <v>128</v>
      </c>
      <c r="J1226" t="s">
        <v>128</v>
      </c>
      <c r="K1226" t="s">
        <v>128</v>
      </c>
      <c r="L1226" t="s">
        <v>128</v>
      </c>
      <c r="M1226" t="s">
        <v>1885</v>
      </c>
      <c r="N1226" t="b">
        <v>0</v>
      </c>
    </row>
    <row r="1227" spans="1:14">
      <c r="A1227">
        <v>81</v>
      </c>
      <c r="B1227">
        <v>20</v>
      </c>
      <c r="C1227" t="s">
        <v>128</v>
      </c>
      <c r="D1227" t="s">
        <v>743</v>
      </c>
      <c r="E1227" t="s">
        <v>128</v>
      </c>
      <c r="F1227">
        <v>0</v>
      </c>
      <c r="G1227" t="s">
        <v>128</v>
      </c>
      <c r="H1227" t="s">
        <v>128</v>
      </c>
      <c r="I1227" t="s">
        <v>128</v>
      </c>
      <c r="J1227" t="s">
        <v>128</v>
      </c>
      <c r="K1227" t="s">
        <v>128</v>
      </c>
      <c r="L1227" t="s">
        <v>128</v>
      </c>
      <c r="M1227" t="s">
        <v>1886</v>
      </c>
      <c r="N1227" t="b">
        <v>0</v>
      </c>
    </row>
    <row r="1228" spans="1:14">
      <c r="A1228">
        <v>81</v>
      </c>
      <c r="B1228">
        <v>21</v>
      </c>
      <c r="C1228" t="s">
        <v>128</v>
      </c>
      <c r="D1228" t="s">
        <v>743</v>
      </c>
      <c r="E1228" t="s">
        <v>128</v>
      </c>
      <c r="F1228">
        <v>0</v>
      </c>
      <c r="G1228" t="s">
        <v>128</v>
      </c>
      <c r="H1228" t="s">
        <v>128</v>
      </c>
      <c r="I1228" t="s">
        <v>128</v>
      </c>
      <c r="J1228" t="s">
        <v>128</v>
      </c>
      <c r="K1228" t="s">
        <v>128</v>
      </c>
      <c r="L1228" t="s">
        <v>128</v>
      </c>
      <c r="M1228" t="s">
        <v>1887</v>
      </c>
      <c r="N1228" t="b">
        <v>0</v>
      </c>
    </row>
    <row r="1229" spans="1:14">
      <c r="A1229">
        <v>81</v>
      </c>
      <c r="B1229">
        <v>22</v>
      </c>
      <c r="C1229" t="s">
        <v>128</v>
      </c>
      <c r="D1229" t="s">
        <v>743</v>
      </c>
      <c r="E1229" t="s">
        <v>128</v>
      </c>
      <c r="F1229">
        <v>0</v>
      </c>
      <c r="G1229" t="s">
        <v>128</v>
      </c>
      <c r="H1229" t="s">
        <v>128</v>
      </c>
      <c r="I1229" t="s">
        <v>128</v>
      </c>
      <c r="J1229" t="s">
        <v>128</v>
      </c>
      <c r="K1229" t="s">
        <v>128</v>
      </c>
      <c r="L1229" t="s">
        <v>128</v>
      </c>
      <c r="M1229" t="s">
        <v>1888</v>
      </c>
      <c r="N1229" t="b">
        <v>0</v>
      </c>
    </row>
    <row r="1230" spans="1:14">
      <c r="A1230">
        <v>81</v>
      </c>
      <c r="B1230">
        <v>23</v>
      </c>
      <c r="C1230" t="s">
        <v>128</v>
      </c>
      <c r="D1230" t="s">
        <v>743</v>
      </c>
      <c r="E1230" t="s">
        <v>128</v>
      </c>
      <c r="F1230">
        <v>0</v>
      </c>
      <c r="G1230" t="s">
        <v>128</v>
      </c>
      <c r="H1230" t="s">
        <v>128</v>
      </c>
      <c r="I1230" t="s">
        <v>128</v>
      </c>
      <c r="J1230" t="s">
        <v>128</v>
      </c>
      <c r="K1230" t="s">
        <v>128</v>
      </c>
      <c r="L1230" t="s">
        <v>128</v>
      </c>
      <c r="M1230" t="s">
        <v>1889</v>
      </c>
      <c r="N1230" t="b">
        <v>0</v>
      </c>
    </row>
    <row r="1231" spans="1:14">
      <c r="A1231">
        <v>81</v>
      </c>
      <c r="B1231">
        <v>24</v>
      </c>
      <c r="C1231" t="s">
        <v>128</v>
      </c>
      <c r="D1231" t="s">
        <v>743</v>
      </c>
      <c r="E1231" t="s">
        <v>128</v>
      </c>
      <c r="F1231">
        <v>0</v>
      </c>
      <c r="G1231" t="s">
        <v>128</v>
      </c>
      <c r="H1231" t="s">
        <v>128</v>
      </c>
      <c r="I1231" t="s">
        <v>128</v>
      </c>
      <c r="J1231" t="s">
        <v>128</v>
      </c>
      <c r="K1231" t="s">
        <v>128</v>
      </c>
      <c r="L1231" t="s">
        <v>128</v>
      </c>
      <c r="M1231" t="s">
        <v>1890</v>
      </c>
      <c r="N1231" t="b">
        <v>0</v>
      </c>
    </row>
    <row r="1232" spans="1:14">
      <c r="A1232">
        <v>81</v>
      </c>
      <c r="B1232">
        <v>25</v>
      </c>
      <c r="C1232" t="s">
        <v>128</v>
      </c>
      <c r="D1232" t="s">
        <v>743</v>
      </c>
      <c r="E1232" t="s">
        <v>128</v>
      </c>
      <c r="F1232">
        <v>0</v>
      </c>
      <c r="G1232" t="s">
        <v>128</v>
      </c>
      <c r="H1232" t="s">
        <v>128</v>
      </c>
      <c r="I1232" t="s">
        <v>128</v>
      </c>
      <c r="J1232" t="s">
        <v>128</v>
      </c>
      <c r="K1232" t="s">
        <v>128</v>
      </c>
      <c r="L1232" t="s">
        <v>128</v>
      </c>
      <c r="M1232" t="s">
        <v>1891</v>
      </c>
      <c r="N1232" t="b">
        <v>0</v>
      </c>
    </row>
    <row r="1233" spans="1:14">
      <c r="A1233">
        <v>81</v>
      </c>
      <c r="B1233">
        <v>26</v>
      </c>
      <c r="C1233" t="s">
        <v>128</v>
      </c>
      <c r="D1233" t="s">
        <v>743</v>
      </c>
      <c r="E1233" t="s">
        <v>128</v>
      </c>
      <c r="F1233">
        <v>0</v>
      </c>
      <c r="G1233" t="s">
        <v>128</v>
      </c>
      <c r="H1233" t="s">
        <v>128</v>
      </c>
      <c r="I1233" t="s">
        <v>128</v>
      </c>
      <c r="J1233" t="s">
        <v>128</v>
      </c>
      <c r="K1233" t="s">
        <v>128</v>
      </c>
      <c r="L1233" t="s">
        <v>128</v>
      </c>
      <c r="M1233" t="s">
        <v>1892</v>
      </c>
      <c r="N1233" t="b">
        <v>0</v>
      </c>
    </row>
    <row r="1234" spans="1:14">
      <c r="A1234">
        <v>83</v>
      </c>
      <c r="B1234">
        <v>0</v>
      </c>
      <c r="C1234" t="s">
        <v>188</v>
      </c>
      <c r="D1234" t="s">
        <v>726</v>
      </c>
      <c r="E1234" t="s">
        <v>65</v>
      </c>
      <c r="F1234">
        <v>50</v>
      </c>
      <c r="G1234" t="s">
        <v>128</v>
      </c>
      <c r="H1234" t="s">
        <v>128</v>
      </c>
      <c r="I1234" t="s">
        <v>65</v>
      </c>
      <c r="J1234" t="s">
        <v>128</v>
      </c>
      <c r="K1234" t="s">
        <v>128</v>
      </c>
      <c r="L1234" t="s">
        <v>128</v>
      </c>
      <c r="M1234" t="s">
        <v>1893</v>
      </c>
      <c r="N1234" t="b">
        <v>0</v>
      </c>
    </row>
    <row r="1235" spans="1:14">
      <c r="A1235">
        <v>83</v>
      </c>
      <c r="B1235">
        <v>1</v>
      </c>
      <c r="C1235" t="s">
        <v>270</v>
      </c>
      <c r="D1235" t="s">
        <v>726</v>
      </c>
      <c r="E1235" t="s">
        <v>83</v>
      </c>
      <c r="F1235">
        <v>30</v>
      </c>
      <c r="G1235" t="s">
        <v>128</v>
      </c>
      <c r="H1235" t="s">
        <v>128</v>
      </c>
      <c r="I1235" t="s">
        <v>83</v>
      </c>
      <c r="J1235" t="s">
        <v>128</v>
      </c>
      <c r="K1235" t="s">
        <v>128</v>
      </c>
      <c r="L1235" t="s">
        <v>128</v>
      </c>
      <c r="M1235" t="s">
        <v>1894</v>
      </c>
      <c r="N1235" t="b">
        <v>0</v>
      </c>
    </row>
    <row r="1236" spans="1:14">
      <c r="A1236">
        <v>83</v>
      </c>
      <c r="B1236">
        <v>2</v>
      </c>
      <c r="C1236" t="s">
        <v>189</v>
      </c>
      <c r="D1236" t="s">
        <v>726</v>
      </c>
      <c r="E1236" t="s">
        <v>93</v>
      </c>
      <c r="F1236">
        <v>50</v>
      </c>
      <c r="G1236" t="s">
        <v>128</v>
      </c>
      <c r="H1236" t="s">
        <v>128</v>
      </c>
      <c r="I1236" t="s">
        <v>93</v>
      </c>
      <c r="J1236" t="s">
        <v>128</v>
      </c>
      <c r="K1236" t="s">
        <v>128</v>
      </c>
      <c r="L1236" t="s">
        <v>128</v>
      </c>
      <c r="M1236" t="s">
        <v>1895</v>
      </c>
      <c r="N1236" t="b">
        <v>0</v>
      </c>
    </row>
    <row r="1237" spans="1:14">
      <c r="A1237">
        <v>83</v>
      </c>
      <c r="B1237">
        <v>3</v>
      </c>
      <c r="C1237" t="s">
        <v>190</v>
      </c>
      <c r="D1237" t="s">
        <v>726</v>
      </c>
      <c r="E1237" t="s">
        <v>99</v>
      </c>
      <c r="F1237">
        <v>50</v>
      </c>
      <c r="G1237" t="s">
        <v>128</v>
      </c>
      <c r="H1237" t="s">
        <v>128</v>
      </c>
      <c r="I1237" t="s">
        <v>99</v>
      </c>
      <c r="J1237" t="s">
        <v>128</v>
      </c>
      <c r="K1237" t="s">
        <v>128</v>
      </c>
      <c r="L1237" t="s">
        <v>128</v>
      </c>
      <c r="M1237" t="s">
        <v>1896</v>
      </c>
      <c r="N1237" t="b">
        <v>0</v>
      </c>
    </row>
    <row r="1238" spans="1:14">
      <c r="A1238">
        <v>83</v>
      </c>
      <c r="B1238">
        <v>4</v>
      </c>
      <c r="C1238" t="s">
        <v>191</v>
      </c>
      <c r="D1238" t="s">
        <v>726</v>
      </c>
      <c r="E1238" t="s">
        <v>101</v>
      </c>
      <c r="F1238">
        <v>50</v>
      </c>
      <c r="G1238" t="s">
        <v>128</v>
      </c>
      <c r="H1238" t="s">
        <v>128</v>
      </c>
      <c r="I1238" t="s">
        <v>101</v>
      </c>
      <c r="J1238" t="s">
        <v>128</v>
      </c>
      <c r="K1238" t="s">
        <v>128</v>
      </c>
      <c r="L1238" t="s">
        <v>128</v>
      </c>
      <c r="M1238" t="s">
        <v>1897</v>
      </c>
      <c r="N1238" t="b">
        <v>0</v>
      </c>
    </row>
    <row r="1239" spans="1:14">
      <c r="A1239">
        <v>83</v>
      </c>
      <c r="B1239">
        <v>5</v>
      </c>
      <c r="C1239" t="s">
        <v>192</v>
      </c>
      <c r="D1239" t="s">
        <v>726</v>
      </c>
      <c r="E1239" t="s">
        <v>109</v>
      </c>
      <c r="F1239">
        <v>30</v>
      </c>
      <c r="G1239" t="s">
        <v>128</v>
      </c>
      <c r="H1239" t="s">
        <v>128</v>
      </c>
      <c r="I1239" t="s">
        <v>109</v>
      </c>
      <c r="J1239" t="s">
        <v>128</v>
      </c>
      <c r="K1239" t="s">
        <v>128</v>
      </c>
      <c r="L1239" t="s">
        <v>128</v>
      </c>
      <c r="M1239" t="s">
        <v>1898</v>
      </c>
      <c r="N1239" t="b">
        <v>0</v>
      </c>
    </row>
    <row r="1240" spans="1:14">
      <c r="A1240">
        <v>83</v>
      </c>
      <c r="B1240">
        <v>6</v>
      </c>
      <c r="C1240" t="s">
        <v>438</v>
      </c>
      <c r="D1240" t="s">
        <v>726</v>
      </c>
      <c r="E1240" t="s">
        <v>299</v>
      </c>
      <c r="F1240">
        <v>50</v>
      </c>
      <c r="G1240" t="s">
        <v>128</v>
      </c>
      <c r="H1240" t="s">
        <v>1899</v>
      </c>
      <c r="I1240" t="s">
        <v>1900</v>
      </c>
      <c r="J1240" t="s">
        <v>128</v>
      </c>
      <c r="K1240" t="s">
        <v>764</v>
      </c>
      <c r="L1240" t="s">
        <v>765</v>
      </c>
      <c r="M1240" t="s">
        <v>1901</v>
      </c>
      <c r="N1240" t="b">
        <v>0</v>
      </c>
    </row>
    <row r="1241" spans="1:14">
      <c r="A1241">
        <v>83</v>
      </c>
      <c r="B1241">
        <v>7</v>
      </c>
      <c r="C1241" t="s">
        <v>318</v>
      </c>
      <c r="D1241" t="s">
        <v>726</v>
      </c>
      <c r="E1241" t="s">
        <v>113</v>
      </c>
      <c r="F1241">
        <v>30</v>
      </c>
      <c r="G1241" t="s">
        <v>128</v>
      </c>
      <c r="H1241" t="s">
        <v>128</v>
      </c>
      <c r="I1241" t="s">
        <v>113</v>
      </c>
      <c r="J1241" t="s">
        <v>128</v>
      </c>
      <c r="K1241" t="s">
        <v>128</v>
      </c>
      <c r="L1241" t="s">
        <v>128</v>
      </c>
      <c r="M1241" t="s">
        <v>1902</v>
      </c>
      <c r="N1241" t="b">
        <v>0</v>
      </c>
    </row>
    <row r="1242" spans="1:14">
      <c r="A1242">
        <v>83</v>
      </c>
      <c r="B1242">
        <v>8</v>
      </c>
      <c r="C1242" t="s">
        <v>193</v>
      </c>
      <c r="D1242" t="s">
        <v>726</v>
      </c>
      <c r="E1242" t="s">
        <v>115</v>
      </c>
      <c r="F1242">
        <v>60</v>
      </c>
      <c r="G1242" t="s">
        <v>128</v>
      </c>
      <c r="H1242" t="s">
        <v>128</v>
      </c>
      <c r="I1242" t="s">
        <v>115</v>
      </c>
      <c r="J1242" t="s">
        <v>128</v>
      </c>
      <c r="K1242" t="s">
        <v>128</v>
      </c>
      <c r="L1242" t="s">
        <v>128</v>
      </c>
      <c r="M1242" t="s">
        <v>1903</v>
      </c>
      <c r="N1242" t="b">
        <v>0</v>
      </c>
    </row>
    <row r="1243" spans="1:14">
      <c r="A1243">
        <v>83</v>
      </c>
      <c r="B1243">
        <v>9</v>
      </c>
      <c r="C1243" t="s">
        <v>194</v>
      </c>
      <c r="D1243" t="s">
        <v>726</v>
      </c>
      <c r="E1243" t="s">
        <v>61</v>
      </c>
      <c r="F1243">
        <v>30</v>
      </c>
      <c r="G1243" t="s">
        <v>128</v>
      </c>
      <c r="H1243" t="s">
        <v>128</v>
      </c>
      <c r="I1243" t="s">
        <v>61</v>
      </c>
      <c r="J1243" t="s">
        <v>128</v>
      </c>
      <c r="K1243" t="s">
        <v>128</v>
      </c>
      <c r="L1243" t="s">
        <v>128</v>
      </c>
      <c r="M1243" t="s">
        <v>1904</v>
      </c>
      <c r="N1243" t="b">
        <v>0</v>
      </c>
    </row>
    <row r="1244" spans="1:14">
      <c r="A1244">
        <v>83</v>
      </c>
      <c r="B1244">
        <v>10</v>
      </c>
      <c r="C1244" t="s">
        <v>165</v>
      </c>
      <c r="D1244" t="s">
        <v>726</v>
      </c>
      <c r="E1244" t="s">
        <v>78</v>
      </c>
      <c r="F1244">
        <v>40</v>
      </c>
      <c r="G1244" t="s">
        <v>128</v>
      </c>
      <c r="H1244" t="s">
        <v>128</v>
      </c>
      <c r="I1244" t="s">
        <v>78</v>
      </c>
      <c r="J1244" t="s">
        <v>128</v>
      </c>
      <c r="K1244" t="s">
        <v>128</v>
      </c>
      <c r="L1244" t="s">
        <v>128</v>
      </c>
      <c r="M1244" t="s">
        <v>1905</v>
      </c>
      <c r="N1244" t="b">
        <v>0</v>
      </c>
    </row>
    <row r="1245" spans="1:14">
      <c r="A1245">
        <v>83</v>
      </c>
      <c r="B1245">
        <v>11</v>
      </c>
      <c r="C1245" t="s">
        <v>439</v>
      </c>
      <c r="D1245" t="s">
        <v>726</v>
      </c>
      <c r="E1245" t="s">
        <v>360</v>
      </c>
      <c r="F1245">
        <v>60</v>
      </c>
      <c r="G1245" t="s">
        <v>128</v>
      </c>
      <c r="H1245" t="s">
        <v>1906</v>
      </c>
      <c r="I1245" t="s">
        <v>1907</v>
      </c>
      <c r="J1245" t="s">
        <v>128</v>
      </c>
      <c r="K1245" t="s">
        <v>1166</v>
      </c>
      <c r="L1245" t="s">
        <v>1167</v>
      </c>
      <c r="M1245" t="s">
        <v>1908</v>
      </c>
      <c r="N1245" t="b">
        <v>0</v>
      </c>
    </row>
    <row r="1246" spans="1:14">
      <c r="A1246">
        <v>83</v>
      </c>
      <c r="B1246">
        <v>12</v>
      </c>
      <c r="C1246" t="s">
        <v>196</v>
      </c>
      <c r="D1246" t="s">
        <v>726</v>
      </c>
      <c r="E1246" t="s">
        <v>98</v>
      </c>
      <c r="F1246">
        <v>50</v>
      </c>
      <c r="G1246" t="s">
        <v>128</v>
      </c>
      <c r="H1246" t="s">
        <v>128</v>
      </c>
      <c r="I1246" t="s">
        <v>98</v>
      </c>
      <c r="J1246" t="s">
        <v>128</v>
      </c>
      <c r="K1246" t="s">
        <v>128</v>
      </c>
      <c r="L1246" t="s">
        <v>128</v>
      </c>
      <c r="M1246" t="s">
        <v>1909</v>
      </c>
      <c r="N1246" t="b">
        <v>0</v>
      </c>
    </row>
    <row r="1247" spans="1:14">
      <c r="A1247">
        <v>83</v>
      </c>
      <c r="B1247">
        <v>13</v>
      </c>
      <c r="C1247" t="s">
        <v>225</v>
      </c>
      <c r="D1247" t="s">
        <v>726</v>
      </c>
      <c r="E1247" t="s">
        <v>107</v>
      </c>
      <c r="F1247">
        <v>50</v>
      </c>
      <c r="G1247" t="s">
        <v>128</v>
      </c>
      <c r="H1247" t="s">
        <v>128</v>
      </c>
      <c r="I1247" t="s">
        <v>107</v>
      </c>
      <c r="J1247" t="s">
        <v>128</v>
      </c>
      <c r="K1247" t="s">
        <v>128</v>
      </c>
      <c r="L1247" t="s">
        <v>128</v>
      </c>
      <c r="M1247" t="s">
        <v>1910</v>
      </c>
      <c r="N1247" t="b">
        <v>0</v>
      </c>
    </row>
    <row r="1248" spans="1:14">
      <c r="A1248">
        <v>83</v>
      </c>
      <c r="B1248">
        <v>14</v>
      </c>
      <c r="C1248" t="s">
        <v>197</v>
      </c>
      <c r="D1248" t="s">
        <v>726</v>
      </c>
      <c r="E1248" t="s">
        <v>108</v>
      </c>
      <c r="F1248">
        <v>60</v>
      </c>
      <c r="G1248" t="s">
        <v>128</v>
      </c>
      <c r="H1248" t="s">
        <v>128</v>
      </c>
      <c r="I1248" t="s">
        <v>108</v>
      </c>
      <c r="J1248" t="s">
        <v>128</v>
      </c>
      <c r="K1248" t="s">
        <v>128</v>
      </c>
      <c r="L1248" t="s">
        <v>128</v>
      </c>
      <c r="M1248" t="s">
        <v>1911</v>
      </c>
      <c r="N1248" t="b">
        <v>0</v>
      </c>
    </row>
    <row r="1249" spans="1:14">
      <c r="A1249">
        <v>83</v>
      </c>
      <c r="B1249">
        <v>15</v>
      </c>
      <c r="C1249" t="s">
        <v>128</v>
      </c>
      <c r="D1249" t="s">
        <v>726</v>
      </c>
      <c r="E1249" t="s">
        <v>128</v>
      </c>
      <c r="F1249">
        <v>0</v>
      </c>
      <c r="G1249" t="s">
        <v>128</v>
      </c>
      <c r="H1249" t="s">
        <v>128</v>
      </c>
      <c r="I1249" t="s">
        <v>128</v>
      </c>
      <c r="J1249" t="s">
        <v>128</v>
      </c>
      <c r="K1249" t="s">
        <v>128</v>
      </c>
      <c r="L1249" t="s">
        <v>128</v>
      </c>
      <c r="M1249" t="s">
        <v>1912</v>
      </c>
      <c r="N1249" t="b">
        <v>0</v>
      </c>
    </row>
    <row r="1250" spans="1:14">
      <c r="A1250">
        <v>83</v>
      </c>
      <c r="B1250">
        <v>16</v>
      </c>
      <c r="C1250" t="s">
        <v>128</v>
      </c>
      <c r="D1250" t="s">
        <v>743</v>
      </c>
      <c r="E1250" t="s">
        <v>128</v>
      </c>
      <c r="F1250">
        <v>0</v>
      </c>
      <c r="G1250" t="s">
        <v>128</v>
      </c>
      <c r="H1250" t="s">
        <v>128</v>
      </c>
      <c r="I1250" t="s">
        <v>128</v>
      </c>
      <c r="J1250" t="s">
        <v>128</v>
      </c>
      <c r="K1250" t="s">
        <v>128</v>
      </c>
      <c r="L1250" t="s">
        <v>128</v>
      </c>
      <c r="M1250" t="s">
        <v>1913</v>
      </c>
      <c r="N1250" t="b">
        <v>0</v>
      </c>
    </row>
    <row r="1251" spans="1:14">
      <c r="A1251">
        <v>83</v>
      </c>
      <c r="B1251">
        <v>17</v>
      </c>
      <c r="C1251" t="s">
        <v>128</v>
      </c>
      <c r="D1251" t="s">
        <v>743</v>
      </c>
      <c r="E1251" t="s">
        <v>128</v>
      </c>
      <c r="F1251">
        <v>0</v>
      </c>
      <c r="G1251" t="s">
        <v>128</v>
      </c>
      <c r="H1251" t="s">
        <v>128</v>
      </c>
      <c r="I1251" t="s">
        <v>128</v>
      </c>
      <c r="J1251" t="s">
        <v>128</v>
      </c>
      <c r="K1251" t="s">
        <v>128</v>
      </c>
      <c r="L1251" t="s">
        <v>128</v>
      </c>
      <c r="M1251" t="s">
        <v>1914</v>
      </c>
      <c r="N1251" t="b">
        <v>0</v>
      </c>
    </row>
    <row r="1252" spans="1:14">
      <c r="A1252">
        <v>83</v>
      </c>
      <c r="B1252">
        <v>18</v>
      </c>
      <c r="C1252" t="s">
        <v>128</v>
      </c>
      <c r="D1252" t="s">
        <v>743</v>
      </c>
      <c r="E1252" t="s">
        <v>128</v>
      </c>
      <c r="F1252">
        <v>0</v>
      </c>
      <c r="G1252" t="s">
        <v>128</v>
      </c>
      <c r="H1252" t="s">
        <v>128</v>
      </c>
      <c r="I1252" t="s">
        <v>128</v>
      </c>
      <c r="J1252" t="s">
        <v>128</v>
      </c>
      <c r="K1252" t="s">
        <v>128</v>
      </c>
      <c r="L1252" t="s">
        <v>128</v>
      </c>
      <c r="M1252" t="s">
        <v>1915</v>
      </c>
      <c r="N1252" t="b">
        <v>0</v>
      </c>
    </row>
    <row r="1253" spans="1:14">
      <c r="A1253">
        <v>83</v>
      </c>
      <c r="B1253">
        <v>19</v>
      </c>
      <c r="C1253" t="s">
        <v>128</v>
      </c>
      <c r="D1253" t="s">
        <v>743</v>
      </c>
      <c r="E1253" t="s">
        <v>128</v>
      </c>
      <c r="F1253">
        <v>0</v>
      </c>
      <c r="G1253" t="s">
        <v>128</v>
      </c>
      <c r="H1253" t="s">
        <v>128</v>
      </c>
      <c r="I1253" t="s">
        <v>128</v>
      </c>
      <c r="J1253" t="s">
        <v>128</v>
      </c>
      <c r="K1253" t="s">
        <v>128</v>
      </c>
      <c r="L1253" t="s">
        <v>128</v>
      </c>
      <c r="M1253" t="s">
        <v>1916</v>
      </c>
      <c r="N1253" t="b">
        <v>0</v>
      </c>
    </row>
    <row r="1254" spans="1:14">
      <c r="A1254">
        <v>83</v>
      </c>
      <c r="B1254">
        <v>20</v>
      </c>
      <c r="C1254" t="s">
        <v>128</v>
      </c>
      <c r="D1254" t="s">
        <v>743</v>
      </c>
      <c r="E1254" t="s">
        <v>128</v>
      </c>
      <c r="F1254">
        <v>0</v>
      </c>
      <c r="G1254" t="s">
        <v>128</v>
      </c>
      <c r="H1254" t="s">
        <v>128</v>
      </c>
      <c r="I1254" t="s">
        <v>128</v>
      </c>
      <c r="J1254" t="s">
        <v>128</v>
      </c>
      <c r="K1254" t="s">
        <v>128</v>
      </c>
      <c r="L1254" t="s">
        <v>128</v>
      </c>
      <c r="M1254" t="s">
        <v>1917</v>
      </c>
      <c r="N1254" t="b">
        <v>0</v>
      </c>
    </row>
    <row r="1255" spans="1:14">
      <c r="A1255">
        <v>83</v>
      </c>
      <c r="B1255">
        <v>21</v>
      </c>
      <c r="C1255" t="s">
        <v>128</v>
      </c>
      <c r="D1255" t="s">
        <v>743</v>
      </c>
      <c r="E1255" t="s">
        <v>128</v>
      </c>
      <c r="F1255">
        <v>0</v>
      </c>
      <c r="G1255" t="s">
        <v>128</v>
      </c>
      <c r="H1255" t="s">
        <v>128</v>
      </c>
      <c r="I1255" t="s">
        <v>128</v>
      </c>
      <c r="J1255" t="s">
        <v>128</v>
      </c>
      <c r="K1255" t="s">
        <v>128</v>
      </c>
      <c r="L1255" t="s">
        <v>128</v>
      </c>
      <c r="M1255" t="s">
        <v>1918</v>
      </c>
      <c r="N1255" t="b">
        <v>0</v>
      </c>
    </row>
    <row r="1256" spans="1:14">
      <c r="A1256">
        <v>83</v>
      </c>
      <c r="B1256">
        <v>22</v>
      </c>
      <c r="C1256" t="s">
        <v>128</v>
      </c>
      <c r="D1256" t="s">
        <v>743</v>
      </c>
      <c r="E1256" t="s">
        <v>128</v>
      </c>
      <c r="F1256">
        <v>0</v>
      </c>
      <c r="G1256" t="s">
        <v>128</v>
      </c>
      <c r="H1256" t="s">
        <v>128</v>
      </c>
      <c r="I1256" t="s">
        <v>128</v>
      </c>
      <c r="J1256" t="s">
        <v>128</v>
      </c>
      <c r="K1256" t="s">
        <v>128</v>
      </c>
      <c r="L1256" t="s">
        <v>128</v>
      </c>
      <c r="M1256" t="s">
        <v>1919</v>
      </c>
      <c r="N1256" t="b">
        <v>0</v>
      </c>
    </row>
    <row r="1257" spans="1:14">
      <c r="A1257">
        <v>83</v>
      </c>
      <c r="B1257">
        <v>23</v>
      </c>
      <c r="C1257" t="s">
        <v>128</v>
      </c>
      <c r="D1257" t="s">
        <v>743</v>
      </c>
      <c r="E1257" t="s">
        <v>128</v>
      </c>
      <c r="F1257">
        <v>0</v>
      </c>
      <c r="G1257" t="s">
        <v>128</v>
      </c>
      <c r="H1257" t="s">
        <v>128</v>
      </c>
      <c r="I1257" t="s">
        <v>128</v>
      </c>
      <c r="J1257" t="s">
        <v>128</v>
      </c>
      <c r="K1257" t="s">
        <v>128</v>
      </c>
      <c r="L1257" t="s">
        <v>128</v>
      </c>
      <c r="M1257" t="s">
        <v>1920</v>
      </c>
      <c r="N1257" t="b">
        <v>0</v>
      </c>
    </row>
    <row r="1258" spans="1:14">
      <c r="A1258">
        <v>83</v>
      </c>
      <c r="B1258">
        <v>24</v>
      </c>
      <c r="C1258" t="s">
        <v>128</v>
      </c>
      <c r="D1258" t="s">
        <v>743</v>
      </c>
      <c r="E1258" t="s">
        <v>128</v>
      </c>
      <c r="F1258">
        <v>0</v>
      </c>
      <c r="G1258" t="s">
        <v>128</v>
      </c>
      <c r="H1258" t="s">
        <v>128</v>
      </c>
      <c r="I1258" t="s">
        <v>128</v>
      </c>
      <c r="J1258" t="s">
        <v>128</v>
      </c>
      <c r="K1258" t="s">
        <v>128</v>
      </c>
      <c r="L1258" t="s">
        <v>128</v>
      </c>
      <c r="M1258" t="s">
        <v>1921</v>
      </c>
      <c r="N1258" t="b">
        <v>0</v>
      </c>
    </row>
    <row r="1259" spans="1:14">
      <c r="A1259">
        <v>83</v>
      </c>
      <c r="B1259">
        <v>25</v>
      </c>
      <c r="C1259" t="s">
        <v>128</v>
      </c>
      <c r="D1259" t="s">
        <v>743</v>
      </c>
      <c r="E1259" t="s">
        <v>128</v>
      </c>
      <c r="F1259">
        <v>0</v>
      </c>
      <c r="G1259" t="s">
        <v>128</v>
      </c>
      <c r="H1259" t="s">
        <v>128</v>
      </c>
      <c r="I1259" t="s">
        <v>128</v>
      </c>
      <c r="J1259" t="s">
        <v>128</v>
      </c>
      <c r="K1259" t="s">
        <v>128</v>
      </c>
      <c r="L1259" t="s">
        <v>128</v>
      </c>
      <c r="M1259" t="s">
        <v>1922</v>
      </c>
      <c r="N1259" t="b">
        <v>0</v>
      </c>
    </row>
    <row r="1260" spans="1:14">
      <c r="A1260">
        <v>83</v>
      </c>
      <c r="B1260">
        <v>26</v>
      </c>
      <c r="C1260" t="s">
        <v>128</v>
      </c>
      <c r="D1260" t="s">
        <v>743</v>
      </c>
      <c r="E1260" t="s">
        <v>128</v>
      </c>
      <c r="F1260">
        <v>0</v>
      </c>
      <c r="G1260" t="s">
        <v>128</v>
      </c>
      <c r="H1260" t="s">
        <v>128</v>
      </c>
      <c r="I1260" t="s">
        <v>128</v>
      </c>
      <c r="J1260" t="s">
        <v>128</v>
      </c>
      <c r="K1260" t="s">
        <v>128</v>
      </c>
      <c r="L1260" t="s">
        <v>128</v>
      </c>
      <c r="M1260" t="s">
        <v>1923</v>
      </c>
      <c r="N1260" t="b">
        <v>0</v>
      </c>
    </row>
    <row r="1261" spans="1:14">
      <c r="A1261">
        <v>86</v>
      </c>
      <c r="B1261">
        <v>0</v>
      </c>
      <c r="C1261" t="s">
        <v>188</v>
      </c>
      <c r="D1261" t="s">
        <v>726</v>
      </c>
      <c r="E1261" t="s">
        <v>65</v>
      </c>
      <c r="F1261">
        <v>50</v>
      </c>
      <c r="G1261" t="s">
        <v>128</v>
      </c>
      <c r="H1261" t="s">
        <v>128</v>
      </c>
      <c r="I1261" t="s">
        <v>65</v>
      </c>
      <c r="J1261" t="s">
        <v>128</v>
      </c>
      <c r="K1261" t="s">
        <v>128</v>
      </c>
      <c r="L1261" t="s">
        <v>128</v>
      </c>
      <c r="M1261" t="s">
        <v>1924</v>
      </c>
      <c r="N1261" t="b">
        <v>0</v>
      </c>
    </row>
    <row r="1262" spans="1:14">
      <c r="A1262">
        <v>86</v>
      </c>
      <c r="B1262">
        <v>1</v>
      </c>
      <c r="C1262" t="s">
        <v>445</v>
      </c>
      <c r="D1262" t="s">
        <v>726</v>
      </c>
      <c r="E1262" t="s">
        <v>83</v>
      </c>
      <c r="F1262">
        <v>20</v>
      </c>
      <c r="G1262" t="s">
        <v>128</v>
      </c>
      <c r="H1262" t="s">
        <v>128</v>
      </c>
      <c r="I1262" t="s">
        <v>83</v>
      </c>
      <c r="J1262" t="s">
        <v>128</v>
      </c>
      <c r="K1262" t="s">
        <v>128</v>
      </c>
      <c r="L1262" t="s">
        <v>128</v>
      </c>
      <c r="M1262" t="s">
        <v>1925</v>
      </c>
      <c r="N1262" t="b">
        <v>0</v>
      </c>
    </row>
    <row r="1263" spans="1:14">
      <c r="A1263">
        <v>86</v>
      </c>
      <c r="B1263">
        <v>2</v>
      </c>
      <c r="C1263" t="s">
        <v>189</v>
      </c>
      <c r="D1263" t="s">
        <v>726</v>
      </c>
      <c r="E1263" t="s">
        <v>93</v>
      </c>
      <c r="F1263">
        <v>50</v>
      </c>
      <c r="G1263" t="s">
        <v>128</v>
      </c>
      <c r="H1263" t="s">
        <v>128</v>
      </c>
      <c r="I1263" t="s">
        <v>93</v>
      </c>
      <c r="J1263" t="s">
        <v>128</v>
      </c>
      <c r="K1263" t="s">
        <v>128</v>
      </c>
      <c r="L1263" t="s">
        <v>128</v>
      </c>
      <c r="M1263" t="s">
        <v>1926</v>
      </c>
      <c r="N1263" t="b">
        <v>0</v>
      </c>
    </row>
    <row r="1264" spans="1:14">
      <c r="A1264">
        <v>86</v>
      </c>
      <c r="B1264">
        <v>3</v>
      </c>
      <c r="C1264" t="s">
        <v>190</v>
      </c>
      <c r="D1264" t="s">
        <v>726</v>
      </c>
      <c r="E1264" t="s">
        <v>99</v>
      </c>
      <c r="F1264">
        <v>50</v>
      </c>
      <c r="G1264" t="s">
        <v>128</v>
      </c>
      <c r="H1264" t="s">
        <v>128</v>
      </c>
      <c r="I1264" t="s">
        <v>99</v>
      </c>
      <c r="J1264" t="s">
        <v>128</v>
      </c>
      <c r="K1264" t="s">
        <v>128</v>
      </c>
      <c r="L1264" t="s">
        <v>128</v>
      </c>
      <c r="M1264" t="s">
        <v>1927</v>
      </c>
      <c r="N1264" t="b">
        <v>0</v>
      </c>
    </row>
    <row r="1265" spans="1:14">
      <c r="A1265">
        <v>86</v>
      </c>
      <c r="B1265">
        <v>4</v>
      </c>
      <c r="C1265" t="s">
        <v>191</v>
      </c>
      <c r="D1265" t="s">
        <v>726</v>
      </c>
      <c r="E1265" t="s">
        <v>101</v>
      </c>
      <c r="F1265">
        <v>50</v>
      </c>
      <c r="G1265" t="s">
        <v>128</v>
      </c>
      <c r="H1265" t="s">
        <v>128</v>
      </c>
      <c r="I1265" t="s">
        <v>101</v>
      </c>
      <c r="J1265" t="s">
        <v>128</v>
      </c>
      <c r="K1265" t="s">
        <v>128</v>
      </c>
      <c r="L1265" t="s">
        <v>128</v>
      </c>
      <c r="M1265" t="s">
        <v>1928</v>
      </c>
      <c r="N1265" t="b">
        <v>0</v>
      </c>
    </row>
    <row r="1266" spans="1:14">
      <c r="A1266">
        <v>86</v>
      </c>
      <c r="B1266">
        <v>5</v>
      </c>
      <c r="C1266" t="s">
        <v>192</v>
      </c>
      <c r="D1266" t="s">
        <v>726</v>
      </c>
      <c r="E1266" t="s">
        <v>109</v>
      </c>
      <c r="F1266">
        <v>30</v>
      </c>
      <c r="G1266" t="s">
        <v>128</v>
      </c>
      <c r="H1266" t="s">
        <v>128</v>
      </c>
      <c r="I1266" t="s">
        <v>109</v>
      </c>
      <c r="J1266" t="s">
        <v>128</v>
      </c>
      <c r="K1266" t="s">
        <v>128</v>
      </c>
      <c r="L1266" t="s">
        <v>128</v>
      </c>
      <c r="M1266" t="s">
        <v>1929</v>
      </c>
      <c r="N1266" t="b">
        <v>0</v>
      </c>
    </row>
    <row r="1267" spans="1:14">
      <c r="A1267">
        <v>86</v>
      </c>
      <c r="B1267">
        <v>6</v>
      </c>
      <c r="C1267" t="s">
        <v>446</v>
      </c>
      <c r="D1267" t="s">
        <v>726</v>
      </c>
      <c r="E1267" t="s">
        <v>299</v>
      </c>
      <c r="F1267">
        <v>40</v>
      </c>
      <c r="G1267" t="s">
        <v>128</v>
      </c>
      <c r="H1267" t="s">
        <v>1899</v>
      </c>
      <c r="I1267" t="s">
        <v>1900</v>
      </c>
      <c r="J1267" t="s">
        <v>128</v>
      </c>
      <c r="K1267" t="s">
        <v>764</v>
      </c>
      <c r="L1267" t="s">
        <v>765</v>
      </c>
      <c r="M1267" t="s">
        <v>1930</v>
      </c>
      <c r="N1267" t="b">
        <v>0</v>
      </c>
    </row>
    <row r="1268" spans="1:14">
      <c r="A1268">
        <v>86</v>
      </c>
      <c r="B1268">
        <v>7</v>
      </c>
      <c r="C1268" t="s">
        <v>256</v>
      </c>
      <c r="D1268" t="s">
        <v>726</v>
      </c>
      <c r="E1268" t="s">
        <v>115</v>
      </c>
      <c r="F1268">
        <v>40</v>
      </c>
      <c r="G1268" t="s">
        <v>128</v>
      </c>
      <c r="H1268" t="s">
        <v>128</v>
      </c>
      <c r="I1268" t="s">
        <v>115</v>
      </c>
      <c r="J1268" t="s">
        <v>128</v>
      </c>
      <c r="K1268" t="s">
        <v>128</v>
      </c>
      <c r="L1268" t="s">
        <v>128</v>
      </c>
      <c r="M1268" t="s">
        <v>1931</v>
      </c>
      <c r="N1268" t="b">
        <v>0</v>
      </c>
    </row>
    <row r="1269" spans="1:14">
      <c r="A1269">
        <v>86</v>
      </c>
      <c r="B1269">
        <v>8</v>
      </c>
      <c r="C1269" t="s">
        <v>194</v>
      </c>
      <c r="D1269" t="s">
        <v>726</v>
      </c>
      <c r="E1269" t="s">
        <v>61</v>
      </c>
      <c r="F1269">
        <v>30</v>
      </c>
      <c r="G1269" t="s">
        <v>128</v>
      </c>
      <c r="H1269" t="s">
        <v>128</v>
      </c>
      <c r="I1269" t="s">
        <v>61</v>
      </c>
      <c r="J1269" t="s">
        <v>128</v>
      </c>
      <c r="K1269" t="s">
        <v>128</v>
      </c>
      <c r="L1269" t="s">
        <v>128</v>
      </c>
      <c r="M1269" t="s">
        <v>1932</v>
      </c>
      <c r="N1269" t="b">
        <v>0</v>
      </c>
    </row>
    <row r="1270" spans="1:14">
      <c r="A1270">
        <v>86</v>
      </c>
      <c r="B1270">
        <v>9</v>
      </c>
      <c r="C1270" t="s">
        <v>357</v>
      </c>
      <c r="D1270" t="s">
        <v>726</v>
      </c>
      <c r="E1270" t="s">
        <v>74</v>
      </c>
      <c r="F1270">
        <v>60</v>
      </c>
      <c r="G1270" t="s">
        <v>128</v>
      </c>
      <c r="H1270" t="s">
        <v>128</v>
      </c>
      <c r="I1270" t="s">
        <v>74</v>
      </c>
      <c r="J1270" t="s">
        <v>128</v>
      </c>
      <c r="K1270" t="s">
        <v>128</v>
      </c>
      <c r="L1270" t="s">
        <v>128</v>
      </c>
      <c r="M1270" t="s">
        <v>1933</v>
      </c>
      <c r="N1270" t="b">
        <v>0</v>
      </c>
    </row>
    <row r="1271" spans="1:14">
      <c r="A1271">
        <v>86</v>
      </c>
      <c r="B1271">
        <v>10</v>
      </c>
      <c r="C1271" t="s">
        <v>195</v>
      </c>
      <c r="D1271" t="s">
        <v>726</v>
      </c>
      <c r="E1271" t="s">
        <v>78</v>
      </c>
      <c r="F1271">
        <v>50</v>
      </c>
      <c r="G1271" t="s">
        <v>128</v>
      </c>
      <c r="H1271" t="s">
        <v>128</v>
      </c>
      <c r="I1271" t="s">
        <v>78</v>
      </c>
      <c r="J1271" t="s">
        <v>128</v>
      </c>
      <c r="K1271" t="s">
        <v>128</v>
      </c>
      <c r="L1271" t="s">
        <v>128</v>
      </c>
      <c r="M1271" t="s">
        <v>1934</v>
      </c>
      <c r="N1271" t="b">
        <v>0</v>
      </c>
    </row>
    <row r="1272" spans="1:14">
      <c r="A1272">
        <v>86</v>
      </c>
      <c r="B1272">
        <v>11</v>
      </c>
      <c r="C1272" t="s">
        <v>201</v>
      </c>
      <c r="D1272" t="s">
        <v>726</v>
      </c>
      <c r="E1272" t="s">
        <v>84</v>
      </c>
      <c r="F1272">
        <v>50</v>
      </c>
      <c r="G1272" t="s">
        <v>128</v>
      </c>
      <c r="H1272" t="s">
        <v>128</v>
      </c>
      <c r="I1272" t="s">
        <v>84</v>
      </c>
      <c r="J1272" t="s">
        <v>128</v>
      </c>
      <c r="K1272" t="s">
        <v>128</v>
      </c>
      <c r="L1272" t="s">
        <v>128</v>
      </c>
      <c r="M1272" t="s">
        <v>1935</v>
      </c>
      <c r="N1272" t="b">
        <v>0</v>
      </c>
    </row>
    <row r="1273" spans="1:14">
      <c r="A1273">
        <v>86</v>
      </c>
      <c r="B1273">
        <v>12</v>
      </c>
      <c r="C1273" t="s">
        <v>196</v>
      </c>
      <c r="D1273" t="s">
        <v>726</v>
      </c>
      <c r="E1273" t="s">
        <v>98</v>
      </c>
      <c r="F1273">
        <v>50</v>
      </c>
      <c r="G1273" t="s">
        <v>128</v>
      </c>
      <c r="H1273" t="s">
        <v>128</v>
      </c>
      <c r="I1273" t="s">
        <v>98</v>
      </c>
      <c r="J1273" t="s">
        <v>128</v>
      </c>
      <c r="K1273" t="s">
        <v>128</v>
      </c>
      <c r="L1273" t="s">
        <v>128</v>
      </c>
      <c r="M1273" t="s">
        <v>1936</v>
      </c>
      <c r="N1273" t="b">
        <v>0</v>
      </c>
    </row>
    <row r="1274" spans="1:14">
      <c r="A1274">
        <v>86</v>
      </c>
      <c r="B1274">
        <v>13</v>
      </c>
      <c r="C1274" t="s">
        <v>391</v>
      </c>
      <c r="D1274" t="s">
        <v>726</v>
      </c>
      <c r="E1274" t="s">
        <v>106</v>
      </c>
      <c r="F1274">
        <v>60</v>
      </c>
      <c r="G1274" t="s">
        <v>128</v>
      </c>
      <c r="H1274" t="s">
        <v>128</v>
      </c>
      <c r="I1274" t="s">
        <v>106</v>
      </c>
      <c r="J1274" t="s">
        <v>128</v>
      </c>
      <c r="K1274" t="s">
        <v>128</v>
      </c>
      <c r="L1274" t="s">
        <v>128</v>
      </c>
      <c r="M1274" t="s">
        <v>1937</v>
      </c>
      <c r="N1274" t="b">
        <v>0</v>
      </c>
    </row>
    <row r="1275" spans="1:14">
      <c r="A1275">
        <v>86</v>
      </c>
      <c r="B1275">
        <v>14</v>
      </c>
      <c r="C1275" t="s">
        <v>197</v>
      </c>
      <c r="D1275" t="s">
        <v>726</v>
      </c>
      <c r="E1275" t="s">
        <v>108</v>
      </c>
      <c r="F1275">
        <v>60</v>
      </c>
      <c r="G1275" t="s">
        <v>128</v>
      </c>
      <c r="H1275" t="s">
        <v>128</v>
      </c>
      <c r="I1275" t="s">
        <v>108</v>
      </c>
      <c r="J1275" t="s">
        <v>128</v>
      </c>
      <c r="K1275" t="s">
        <v>128</v>
      </c>
      <c r="L1275" t="s">
        <v>128</v>
      </c>
      <c r="M1275" t="s">
        <v>1938</v>
      </c>
      <c r="N1275" t="b">
        <v>0</v>
      </c>
    </row>
    <row r="1276" spans="1:14">
      <c r="A1276">
        <v>86</v>
      </c>
      <c r="B1276">
        <v>15</v>
      </c>
      <c r="C1276" t="s">
        <v>128</v>
      </c>
      <c r="D1276" t="s">
        <v>726</v>
      </c>
      <c r="E1276" t="s">
        <v>128</v>
      </c>
      <c r="F1276">
        <v>0</v>
      </c>
      <c r="G1276" t="s">
        <v>128</v>
      </c>
      <c r="H1276" t="s">
        <v>128</v>
      </c>
      <c r="I1276" t="s">
        <v>128</v>
      </c>
      <c r="J1276" t="s">
        <v>128</v>
      </c>
      <c r="K1276" t="s">
        <v>128</v>
      </c>
      <c r="L1276" t="s">
        <v>128</v>
      </c>
      <c r="M1276" t="s">
        <v>1939</v>
      </c>
      <c r="N1276" t="b">
        <v>0</v>
      </c>
    </row>
    <row r="1277" spans="1:14">
      <c r="A1277">
        <v>86</v>
      </c>
      <c r="B1277">
        <v>16</v>
      </c>
      <c r="C1277" t="s">
        <v>128</v>
      </c>
      <c r="D1277" t="s">
        <v>743</v>
      </c>
      <c r="E1277" t="s">
        <v>128</v>
      </c>
      <c r="F1277">
        <v>0</v>
      </c>
      <c r="G1277" t="s">
        <v>128</v>
      </c>
      <c r="H1277" t="s">
        <v>128</v>
      </c>
      <c r="I1277" t="s">
        <v>128</v>
      </c>
      <c r="J1277" t="s">
        <v>128</v>
      </c>
      <c r="K1277" t="s">
        <v>128</v>
      </c>
      <c r="L1277" t="s">
        <v>128</v>
      </c>
      <c r="M1277" t="s">
        <v>1940</v>
      </c>
      <c r="N1277" t="b">
        <v>0</v>
      </c>
    </row>
    <row r="1278" spans="1:14">
      <c r="A1278">
        <v>86</v>
      </c>
      <c r="B1278">
        <v>17</v>
      </c>
      <c r="C1278" t="s">
        <v>128</v>
      </c>
      <c r="D1278" t="s">
        <v>743</v>
      </c>
      <c r="E1278" t="s">
        <v>128</v>
      </c>
      <c r="F1278">
        <v>0</v>
      </c>
      <c r="G1278" t="s">
        <v>128</v>
      </c>
      <c r="H1278" t="s">
        <v>128</v>
      </c>
      <c r="I1278" t="s">
        <v>128</v>
      </c>
      <c r="J1278" t="s">
        <v>128</v>
      </c>
      <c r="K1278" t="s">
        <v>128</v>
      </c>
      <c r="L1278" t="s">
        <v>128</v>
      </c>
      <c r="M1278" t="s">
        <v>1941</v>
      </c>
      <c r="N1278" t="b">
        <v>0</v>
      </c>
    </row>
    <row r="1279" spans="1:14">
      <c r="A1279">
        <v>86</v>
      </c>
      <c r="B1279">
        <v>18</v>
      </c>
      <c r="C1279" t="s">
        <v>128</v>
      </c>
      <c r="D1279" t="s">
        <v>743</v>
      </c>
      <c r="E1279" t="s">
        <v>128</v>
      </c>
      <c r="F1279">
        <v>0</v>
      </c>
      <c r="G1279" t="s">
        <v>128</v>
      </c>
      <c r="H1279" t="s">
        <v>128</v>
      </c>
      <c r="I1279" t="s">
        <v>128</v>
      </c>
      <c r="J1279" t="s">
        <v>128</v>
      </c>
      <c r="K1279" t="s">
        <v>128</v>
      </c>
      <c r="L1279" t="s">
        <v>128</v>
      </c>
      <c r="M1279" t="s">
        <v>1942</v>
      </c>
      <c r="N1279" t="b">
        <v>0</v>
      </c>
    </row>
    <row r="1280" spans="1:14">
      <c r="A1280">
        <v>86</v>
      </c>
      <c r="B1280">
        <v>19</v>
      </c>
      <c r="C1280" t="s">
        <v>128</v>
      </c>
      <c r="D1280" t="s">
        <v>743</v>
      </c>
      <c r="E1280" t="s">
        <v>128</v>
      </c>
      <c r="F1280">
        <v>0</v>
      </c>
      <c r="G1280" t="s">
        <v>128</v>
      </c>
      <c r="H1280" t="s">
        <v>128</v>
      </c>
      <c r="I1280" t="s">
        <v>128</v>
      </c>
      <c r="J1280" t="s">
        <v>128</v>
      </c>
      <c r="K1280" t="s">
        <v>128</v>
      </c>
      <c r="L1280" t="s">
        <v>128</v>
      </c>
      <c r="M1280" t="s">
        <v>1943</v>
      </c>
      <c r="N1280" t="b">
        <v>0</v>
      </c>
    </row>
    <row r="1281" spans="1:14">
      <c r="A1281">
        <v>86</v>
      </c>
      <c r="B1281">
        <v>20</v>
      </c>
      <c r="C1281" t="s">
        <v>128</v>
      </c>
      <c r="D1281" t="s">
        <v>743</v>
      </c>
      <c r="E1281" t="s">
        <v>128</v>
      </c>
      <c r="F1281">
        <v>0</v>
      </c>
      <c r="G1281" t="s">
        <v>128</v>
      </c>
      <c r="H1281" t="s">
        <v>128</v>
      </c>
      <c r="I1281" t="s">
        <v>128</v>
      </c>
      <c r="J1281" t="s">
        <v>128</v>
      </c>
      <c r="K1281" t="s">
        <v>128</v>
      </c>
      <c r="L1281" t="s">
        <v>128</v>
      </c>
      <c r="M1281" t="s">
        <v>1944</v>
      </c>
      <c r="N1281" t="b">
        <v>0</v>
      </c>
    </row>
    <row r="1282" spans="1:14">
      <c r="A1282">
        <v>86</v>
      </c>
      <c r="B1282">
        <v>21</v>
      </c>
      <c r="C1282" t="s">
        <v>128</v>
      </c>
      <c r="D1282" t="s">
        <v>743</v>
      </c>
      <c r="E1282" t="s">
        <v>128</v>
      </c>
      <c r="F1282">
        <v>0</v>
      </c>
      <c r="G1282" t="s">
        <v>128</v>
      </c>
      <c r="H1282" t="s">
        <v>128</v>
      </c>
      <c r="I1282" t="s">
        <v>128</v>
      </c>
      <c r="J1282" t="s">
        <v>128</v>
      </c>
      <c r="K1282" t="s">
        <v>128</v>
      </c>
      <c r="L1282" t="s">
        <v>128</v>
      </c>
      <c r="M1282" t="s">
        <v>1945</v>
      </c>
      <c r="N1282" t="b">
        <v>0</v>
      </c>
    </row>
    <row r="1283" spans="1:14">
      <c r="A1283">
        <v>86</v>
      </c>
      <c r="B1283">
        <v>22</v>
      </c>
      <c r="C1283" t="s">
        <v>128</v>
      </c>
      <c r="D1283" t="s">
        <v>743</v>
      </c>
      <c r="E1283" t="s">
        <v>128</v>
      </c>
      <c r="F1283">
        <v>0</v>
      </c>
      <c r="G1283" t="s">
        <v>128</v>
      </c>
      <c r="H1283" t="s">
        <v>128</v>
      </c>
      <c r="I1283" t="s">
        <v>128</v>
      </c>
      <c r="J1283" t="s">
        <v>128</v>
      </c>
      <c r="K1283" t="s">
        <v>128</v>
      </c>
      <c r="L1283" t="s">
        <v>128</v>
      </c>
      <c r="M1283" t="s">
        <v>1946</v>
      </c>
      <c r="N1283" t="b">
        <v>0</v>
      </c>
    </row>
    <row r="1284" spans="1:14">
      <c r="A1284">
        <v>86</v>
      </c>
      <c r="B1284">
        <v>23</v>
      </c>
      <c r="C1284" t="s">
        <v>128</v>
      </c>
      <c r="D1284" t="s">
        <v>743</v>
      </c>
      <c r="E1284" t="s">
        <v>128</v>
      </c>
      <c r="F1284">
        <v>0</v>
      </c>
      <c r="G1284" t="s">
        <v>128</v>
      </c>
      <c r="H1284" t="s">
        <v>128</v>
      </c>
      <c r="I1284" t="s">
        <v>128</v>
      </c>
      <c r="J1284" t="s">
        <v>128</v>
      </c>
      <c r="K1284" t="s">
        <v>128</v>
      </c>
      <c r="L1284" t="s">
        <v>128</v>
      </c>
      <c r="M1284" t="s">
        <v>1947</v>
      </c>
      <c r="N1284" t="b">
        <v>0</v>
      </c>
    </row>
    <row r="1285" spans="1:14">
      <c r="A1285">
        <v>86</v>
      </c>
      <c r="B1285">
        <v>24</v>
      </c>
      <c r="C1285" t="s">
        <v>128</v>
      </c>
      <c r="D1285" t="s">
        <v>743</v>
      </c>
      <c r="E1285" t="s">
        <v>128</v>
      </c>
      <c r="F1285">
        <v>0</v>
      </c>
      <c r="G1285" t="s">
        <v>128</v>
      </c>
      <c r="H1285" t="s">
        <v>128</v>
      </c>
      <c r="I1285" t="s">
        <v>128</v>
      </c>
      <c r="J1285" t="s">
        <v>128</v>
      </c>
      <c r="K1285" t="s">
        <v>128</v>
      </c>
      <c r="L1285" t="s">
        <v>128</v>
      </c>
      <c r="M1285" t="s">
        <v>1948</v>
      </c>
      <c r="N1285" t="b">
        <v>0</v>
      </c>
    </row>
    <row r="1286" spans="1:14">
      <c r="A1286">
        <v>86</v>
      </c>
      <c r="B1286">
        <v>25</v>
      </c>
      <c r="C1286" t="s">
        <v>128</v>
      </c>
      <c r="D1286" t="s">
        <v>743</v>
      </c>
      <c r="E1286" t="s">
        <v>128</v>
      </c>
      <c r="F1286">
        <v>0</v>
      </c>
      <c r="G1286" t="s">
        <v>128</v>
      </c>
      <c r="H1286" t="s">
        <v>128</v>
      </c>
      <c r="I1286" t="s">
        <v>128</v>
      </c>
      <c r="J1286" t="s">
        <v>128</v>
      </c>
      <c r="K1286" t="s">
        <v>128</v>
      </c>
      <c r="L1286" t="s">
        <v>128</v>
      </c>
      <c r="M1286" t="s">
        <v>1949</v>
      </c>
      <c r="N1286" t="b">
        <v>0</v>
      </c>
    </row>
    <row r="1287" spans="1:14">
      <c r="A1287">
        <v>86</v>
      </c>
      <c r="B1287">
        <v>26</v>
      </c>
      <c r="C1287" t="s">
        <v>128</v>
      </c>
      <c r="D1287" t="s">
        <v>743</v>
      </c>
      <c r="E1287" t="s">
        <v>128</v>
      </c>
      <c r="F1287">
        <v>0</v>
      </c>
      <c r="G1287" t="s">
        <v>128</v>
      </c>
      <c r="H1287" t="s">
        <v>128</v>
      </c>
      <c r="I1287" t="s">
        <v>128</v>
      </c>
      <c r="J1287" t="s">
        <v>128</v>
      </c>
      <c r="K1287" t="s">
        <v>128</v>
      </c>
      <c r="L1287" t="s">
        <v>128</v>
      </c>
      <c r="M1287" t="s">
        <v>1950</v>
      </c>
      <c r="N1287" t="b">
        <v>0</v>
      </c>
    </row>
    <row r="1288" spans="1:14">
      <c r="A1288">
        <v>87</v>
      </c>
      <c r="B1288">
        <v>0</v>
      </c>
      <c r="C1288" t="s">
        <v>181</v>
      </c>
      <c r="D1288" t="s">
        <v>726</v>
      </c>
      <c r="E1288" t="s">
        <v>83</v>
      </c>
      <c r="F1288">
        <v>50</v>
      </c>
      <c r="G1288" t="s">
        <v>128</v>
      </c>
      <c r="H1288" t="s">
        <v>128</v>
      </c>
      <c r="I1288" t="s">
        <v>83</v>
      </c>
      <c r="J1288" t="s">
        <v>128</v>
      </c>
      <c r="K1288" t="s">
        <v>128</v>
      </c>
      <c r="L1288" t="s">
        <v>128</v>
      </c>
      <c r="M1288" t="s">
        <v>1951</v>
      </c>
      <c r="N1288" t="b">
        <v>0</v>
      </c>
    </row>
    <row r="1289" spans="1:14">
      <c r="A1289">
        <v>87</v>
      </c>
      <c r="B1289">
        <v>1</v>
      </c>
      <c r="C1289" t="s">
        <v>204</v>
      </c>
      <c r="D1289" t="s">
        <v>726</v>
      </c>
      <c r="E1289" t="s">
        <v>103</v>
      </c>
      <c r="F1289">
        <v>60</v>
      </c>
      <c r="G1289" t="s">
        <v>128</v>
      </c>
      <c r="H1289" t="s">
        <v>128</v>
      </c>
      <c r="I1289" t="s">
        <v>103</v>
      </c>
      <c r="J1289" t="s">
        <v>128</v>
      </c>
      <c r="K1289" t="s">
        <v>128</v>
      </c>
      <c r="L1289" t="s">
        <v>128</v>
      </c>
      <c r="M1289" t="s">
        <v>1952</v>
      </c>
      <c r="N1289" t="b">
        <v>0</v>
      </c>
    </row>
    <row r="1290" spans="1:14">
      <c r="A1290">
        <v>87</v>
      </c>
      <c r="B1290">
        <v>2</v>
      </c>
      <c r="C1290" t="s">
        <v>208</v>
      </c>
      <c r="D1290" t="s">
        <v>726</v>
      </c>
      <c r="E1290" t="s">
        <v>109</v>
      </c>
      <c r="F1290">
        <v>50</v>
      </c>
      <c r="G1290" t="s">
        <v>128</v>
      </c>
      <c r="H1290" t="s">
        <v>128</v>
      </c>
      <c r="I1290" t="s">
        <v>109</v>
      </c>
      <c r="J1290" t="s">
        <v>128</v>
      </c>
      <c r="K1290" t="s">
        <v>128</v>
      </c>
      <c r="L1290" t="s">
        <v>128</v>
      </c>
      <c r="M1290" t="s">
        <v>1953</v>
      </c>
      <c r="N1290" t="b">
        <v>0</v>
      </c>
    </row>
    <row r="1291" spans="1:14">
      <c r="A1291">
        <v>87</v>
      </c>
      <c r="B1291">
        <v>3</v>
      </c>
      <c r="C1291" t="s">
        <v>205</v>
      </c>
      <c r="D1291" t="s">
        <v>726</v>
      </c>
      <c r="E1291" t="s">
        <v>66</v>
      </c>
      <c r="F1291">
        <v>60</v>
      </c>
      <c r="G1291" t="s">
        <v>128</v>
      </c>
      <c r="H1291" t="s">
        <v>128</v>
      </c>
      <c r="I1291" t="s">
        <v>66</v>
      </c>
      <c r="J1291" t="s">
        <v>128</v>
      </c>
      <c r="K1291" t="s">
        <v>128</v>
      </c>
      <c r="L1291" t="s">
        <v>128</v>
      </c>
      <c r="M1291" t="s">
        <v>1954</v>
      </c>
      <c r="N1291" t="b">
        <v>0</v>
      </c>
    </row>
    <row r="1292" spans="1:14">
      <c r="A1292">
        <v>87</v>
      </c>
      <c r="B1292">
        <v>4</v>
      </c>
      <c r="C1292" t="s">
        <v>278</v>
      </c>
      <c r="D1292" t="s">
        <v>726</v>
      </c>
      <c r="E1292" t="s">
        <v>74</v>
      </c>
      <c r="F1292">
        <v>40</v>
      </c>
      <c r="G1292" t="s">
        <v>128</v>
      </c>
      <c r="H1292" t="s">
        <v>128</v>
      </c>
      <c r="I1292" t="s">
        <v>74</v>
      </c>
      <c r="J1292" t="s">
        <v>128</v>
      </c>
      <c r="K1292" t="s">
        <v>128</v>
      </c>
      <c r="L1292" t="s">
        <v>128</v>
      </c>
      <c r="M1292" t="s">
        <v>1955</v>
      </c>
      <c r="N1292" t="b">
        <v>0</v>
      </c>
    </row>
    <row r="1293" spans="1:14">
      <c r="A1293">
        <v>87</v>
      </c>
      <c r="B1293">
        <v>5</v>
      </c>
      <c r="C1293" t="s">
        <v>165</v>
      </c>
      <c r="D1293" t="s">
        <v>726</v>
      </c>
      <c r="E1293" t="s">
        <v>78</v>
      </c>
      <c r="F1293">
        <v>40</v>
      </c>
      <c r="G1293" t="s">
        <v>128</v>
      </c>
      <c r="H1293" t="s">
        <v>128</v>
      </c>
      <c r="I1293" t="s">
        <v>78</v>
      </c>
      <c r="J1293" t="s">
        <v>128</v>
      </c>
      <c r="K1293" t="s">
        <v>128</v>
      </c>
      <c r="L1293" t="s">
        <v>128</v>
      </c>
      <c r="M1293" t="s">
        <v>1956</v>
      </c>
      <c r="N1293" t="b">
        <v>0</v>
      </c>
    </row>
    <row r="1294" spans="1:14">
      <c r="A1294">
        <v>87</v>
      </c>
      <c r="B1294">
        <v>6</v>
      </c>
      <c r="C1294" t="s">
        <v>201</v>
      </c>
      <c r="D1294" t="s">
        <v>726</v>
      </c>
      <c r="E1294" t="s">
        <v>84</v>
      </c>
      <c r="F1294">
        <v>50</v>
      </c>
      <c r="G1294" t="s">
        <v>128</v>
      </c>
      <c r="H1294" t="s">
        <v>128</v>
      </c>
      <c r="I1294" t="s">
        <v>84</v>
      </c>
      <c r="J1294" t="s">
        <v>128</v>
      </c>
      <c r="K1294" t="s">
        <v>128</v>
      </c>
      <c r="L1294" t="s">
        <v>128</v>
      </c>
      <c r="M1294" t="s">
        <v>1957</v>
      </c>
      <c r="N1294" t="b">
        <v>0</v>
      </c>
    </row>
    <row r="1295" spans="1:14">
      <c r="A1295">
        <v>87</v>
      </c>
      <c r="B1295">
        <v>7</v>
      </c>
      <c r="C1295" t="s">
        <v>449</v>
      </c>
      <c r="D1295" t="s">
        <v>726</v>
      </c>
      <c r="E1295" t="s">
        <v>547</v>
      </c>
      <c r="F1295">
        <v>50</v>
      </c>
      <c r="G1295" t="s">
        <v>128</v>
      </c>
      <c r="H1295" t="s">
        <v>557</v>
      </c>
      <c r="I1295" t="s">
        <v>334</v>
      </c>
      <c r="J1295" t="s">
        <v>128</v>
      </c>
      <c r="K1295" t="s">
        <v>803</v>
      </c>
      <c r="L1295" t="s">
        <v>804</v>
      </c>
      <c r="M1295" t="s">
        <v>1958</v>
      </c>
      <c r="N1295" t="b">
        <v>0</v>
      </c>
    </row>
    <row r="1296" spans="1:14">
      <c r="A1296">
        <v>87</v>
      </c>
      <c r="B1296">
        <v>8</v>
      </c>
      <c r="C1296" t="s">
        <v>196</v>
      </c>
      <c r="D1296" t="s">
        <v>726</v>
      </c>
      <c r="E1296" t="s">
        <v>98</v>
      </c>
      <c r="F1296">
        <v>50</v>
      </c>
      <c r="G1296" t="s">
        <v>128</v>
      </c>
      <c r="H1296" t="s">
        <v>128</v>
      </c>
      <c r="I1296" t="s">
        <v>98</v>
      </c>
      <c r="J1296" t="s">
        <v>128</v>
      </c>
      <c r="K1296" t="s">
        <v>128</v>
      </c>
      <c r="L1296" t="s">
        <v>128</v>
      </c>
      <c r="M1296" t="s">
        <v>1959</v>
      </c>
      <c r="N1296" t="b">
        <v>0</v>
      </c>
    </row>
    <row r="1297" spans="1:14">
      <c r="A1297">
        <v>87</v>
      </c>
      <c r="B1297">
        <v>9</v>
      </c>
      <c r="C1297" t="s">
        <v>211</v>
      </c>
      <c r="D1297" t="s">
        <v>726</v>
      </c>
      <c r="E1297" t="s">
        <v>104</v>
      </c>
      <c r="F1297">
        <v>50</v>
      </c>
      <c r="G1297" t="s">
        <v>128</v>
      </c>
      <c r="H1297" t="s">
        <v>128</v>
      </c>
      <c r="I1297" t="s">
        <v>104</v>
      </c>
      <c r="J1297" t="s">
        <v>128</v>
      </c>
      <c r="K1297" t="s">
        <v>128</v>
      </c>
      <c r="L1297" t="s">
        <v>128</v>
      </c>
      <c r="M1297" t="s">
        <v>1960</v>
      </c>
      <c r="N1297" t="b">
        <v>0</v>
      </c>
    </row>
    <row r="1298" spans="1:14">
      <c r="A1298">
        <v>87</v>
      </c>
      <c r="B1298">
        <v>10</v>
      </c>
      <c r="C1298" t="s">
        <v>322</v>
      </c>
      <c r="D1298" t="s">
        <v>726</v>
      </c>
      <c r="E1298" t="s">
        <v>106</v>
      </c>
      <c r="F1298">
        <v>30</v>
      </c>
      <c r="G1298" t="s">
        <v>128</v>
      </c>
      <c r="H1298" t="s">
        <v>128</v>
      </c>
      <c r="I1298" t="s">
        <v>106</v>
      </c>
      <c r="J1298" t="s">
        <v>128</v>
      </c>
      <c r="K1298" t="s">
        <v>128</v>
      </c>
      <c r="L1298" t="s">
        <v>128</v>
      </c>
      <c r="M1298" t="s">
        <v>1961</v>
      </c>
      <c r="N1298" t="b">
        <v>0</v>
      </c>
    </row>
    <row r="1299" spans="1:14">
      <c r="A1299">
        <v>87</v>
      </c>
      <c r="B1299">
        <v>11</v>
      </c>
      <c r="C1299" t="s">
        <v>128</v>
      </c>
      <c r="D1299" t="s">
        <v>726</v>
      </c>
      <c r="E1299" t="s">
        <v>128</v>
      </c>
      <c r="F1299">
        <v>0</v>
      </c>
      <c r="G1299" t="s">
        <v>128</v>
      </c>
      <c r="H1299" t="s">
        <v>128</v>
      </c>
      <c r="I1299" t="s">
        <v>128</v>
      </c>
      <c r="J1299" t="s">
        <v>128</v>
      </c>
      <c r="K1299" t="s">
        <v>128</v>
      </c>
      <c r="L1299" t="s">
        <v>128</v>
      </c>
      <c r="M1299" t="s">
        <v>1962</v>
      </c>
      <c r="N1299" t="b">
        <v>0</v>
      </c>
    </row>
    <row r="1300" spans="1:14">
      <c r="A1300">
        <v>87</v>
      </c>
      <c r="B1300">
        <v>12</v>
      </c>
      <c r="C1300" t="s">
        <v>128</v>
      </c>
      <c r="D1300" t="s">
        <v>726</v>
      </c>
      <c r="E1300" t="s">
        <v>128</v>
      </c>
      <c r="F1300">
        <v>0</v>
      </c>
      <c r="G1300" t="s">
        <v>128</v>
      </c>
      <c r="H1300" t="s">
        <v>128</v>
      </c>
      <c r="I1300" t="s">
        <v>128</v>
      </c>
      <c r="J1300" t="s">
        <v>128</v>
      </c>
      <c r="K1300" t="s">
        <v>128</v>
      </c>
      <c r="L1300" t="s">
        <v>128</v>
      </c>
      <c r="M1300" t="s">
        <v>1963</v>
      </c>
      <c r="N1300" t="b">
        <v>0</v>
      </c>
    </row>
    <row r="1301" spans="1:14">
      <c r="A1301">
        <v>87</v>
      </c>
      <c r="B1301">
        <v>13</v>
      </c>
      <c r="C1301" t="s">
        <v>128</v>
      </c>
      <c r="D1301" t="s">
        <v>726</v>
      </c>
      <c r="E1301" t="s">
        <v>128</v>
      </c>
      <c r="F1301">
        <v>0</v>
      </c>
      <c r="G1301" t="s">
        <v>128</v>
      </c>
      <c r="H1301" t="s">
        <v>128</v>
      </c>
      <c r="I1301" t="s">
        <v>128</v>
      </c>
      <c r="J1301" t="s">
        <v>128</v>
      </c>
      <c r="K1301" t="s">
        <v>128</v>
      </c>
      <c r="L1301" t="s">
        <v>128</v>
      </c>
      <c r="M1301" t="s">
        <v>1964</v>
      </c>
      <c r="N1301" t="b">
        <v>0</v>
      </c>
    </row>
    <row r="1302" spans="1:14">
      <c r="A1302">
        <v>87</v>
      </c>
      <c r="B1302">
        <v>14</v>
      </c>
      <c r="C1302" t="s">
        <v>128</v>
      </c>
      <c r="D1302" t="s">
        <v>726</v>
      </c>
      <c r="E1302" t="s">
        <v>128</v>
      </c>
      <c r="F1302">
        <v>0</v>
      </c>
      <c r="G1302" t="s">
        <v>128</v>
      </c>
      <c r="H1302" t="s">
        <v>128</v>
      </c>
      <c r="I1302" t="s">
        <v>128</v>
      </c>
      <c r="J1302" t="s">
        <v>128</v>
      </c>
      <c r="K1302" t="s">
        <v>128</v>
      </c>
      <c r="L1302" t="s">
        <v>128</v>
      </c>
      <c r="M1302" t="s">
        <v>1965</v>
      </c>
      <c r="N1302" t="b">
        <v>0</v>
      </c>
    </row>
    <row r="1303" spans="1:14">
      <c r="A1303">
        <v>87</v>
      </c>
      <c r="B1303">
        <v>15</v>
      </c>
      <c r="C1303" t="s">
        <v>128</v>
      </c>
      <c r="D1303" t="s">
        <v>726</v>
      </c>
      <c r="E1303" t="s">
        <v>128</v>
      </c>
      <c r="F1303">
        <v>0</v>
      </c>
      <c r="G1303" t="s">
        <v>128</v>
      </c>
      <c r="H1303" t="s">
        <v>128</v>
      </c>
      <c r="I1303" t="s">
        <v>128</v>
      </c>
      <c r="J1303" t="s">
        <v>128</v>
      </c>
      <c r="K1303" t="s">
        <v>128</v>
      </c>
      <c r="L1303" t="s">
        <v>128</v>
      </c>
      <c r="M1303" t="s">
        <v>1966</v>
      </c>
      <c r="N1303" t="b">
        <v>0</v>
      </c>
    </row>
    <row r="1304" spans="1:14">
      <c r="A1304">
        <v>87</v>
      </c>
      <c r="B1304">
        <v>16</v>
      </c>
      <c r="C1304" t="s">
        <v>128</v>
      </c>
      <c r="D1304" t="s">
        <v>743</v>
      </c>
      <c r="E1304" t="s">
        <v>128</v>
      </c>
      <c r="F1304">
        <v>0</v>
      </c>
      <c r="G1304" t="s">
        <v>128</v>
      </c>
      <c r="H1304" t="s">
        <v>128</v>
      </c>
      <c r="I1304" t="s">
        <v>128</v>
      </c>
      <c r="J1304" t="s">
        <v>128</v>
      </c>
      <c r="K1304" t="s">
        <v>128</v>
      </c>
      <c r="L1304" t="s">
        <v>128</v>
      </c>
      <c r="M1304" t="s">
        <v>1967</v>
      </c>
      <c r="N1304" t="b">
        <v>0</v>
      </c>
    </row>
    <row r="1305" spans="1:14">
      <c r="A1305">
        <v>87</v>
      </c>
      <c r="B1305">
        <v>17</v>
      </c>
      <c r="C1305" t="s">
        <v>128</v>
      </c>
      <c r="D1305" t="s">
        <v>743</v>
      </c>
      <c r="E1305" t="s">
        <v>128</v>
      </c>
      <c r="F1305">
        <v>0</v>
      </c>
      <c r="G1305" t="s">
        <v>128</v>
      </c>
      <c r="H1305" t="s">
        <v>128</v>
      </c>
      <c r="I1305" t="s">
        <v>128</v>
      </c>
      <c r="J1305" t="s">
        <v>128</v>
      </c>
      <c r="K1305" t="s">
        <v>128</v>
      </c>
      <c r="L1305" t="s">
        <v>128</v>
      </c>
      <c r="M1305" t="s">
        <v>1968</v>
      </c>
      <c r="N1305" t="b">
        <v>0</v>
      </c>
    </row>
    <row r="1306" spans="1:14">
      <c r="A1306">
        <v>87</v>
      </c>
      <c r="B1306">
        <v>18</v>
      </c>
      <c r="C1306" t="s">
        <v>128</v>
      </c>
      <c r="D1306" t="s">
        <v>743</v>
      </c>
      <c r="E1306" t="s">
        <v>128</v>
      </c>
      <c r="F1306">
        <v>0</v>
      </c>
      <c r="G1306" t="s">
        <v>128</v>
      </c>
      <c r="H1306" t="s">
        <v>128</v>
      </c>
      <c r="I1306" t="s">
        <v>128</v>
      </c>
      <c r="J1306" t="s">
        <v>128</v>
      </c>
      <c r="K1306" t="s">
        <v>128</v>
      </c>
      <c r="L1306" t="s">
        <v>128</v>
      </c>
      <c r="M1306" t="s">
        <v>1969</v>
      </c>
      <c r="N1306" t="b">
        <v>0</v>
      </c>
    </row>
    <row r="1307" spans="1:14">
      <c r="A1307">
        <v>87</v>
      </c>
      <c r="B1307">
        <v>19</v>
      </c>
      <c r="C1307" t="s">
        <v>128</v>
      </c>
      <c r="D1307" t="s">
        <v>743</v>
      </c>
      <c r="E1307" t="s">
        <v>128</v>
      </c>
      <c r="F1307">
        <v>0</v>
      </c>
      <c r="G1307" t="s">
        <v>128</v>
      </c>
      <c r="H1307" t="s">
        <v>128</v>
      </c>
      <c r="I1307" t="s">
        <v>128</v>
      </c>
      <c r="J1307" t="s">
        <v>128</v>
      </c>
      <c r="K1307" t="s">
        <v>128</v>
      </c>
      <c r="L1307" t="s">
        <v>128</v>
      </c>
      <c r="M1307" t="s">
        <v>1970</v>
      </c>
      <c r="N1307" t="b">
        <v>0</v>
      </c>
    </row>
    <row r="1308" spans="1:14">
      <c r="A1308">
        <v>87</v>
      </c>
      <c r="B1308">
        <v>20</v>
      </c>
      <c r="C1308" t="s">
        <v>128</v>
      </c>
      <c r="D1308" t="s">
        <v>743</v>
      </c>
      <c r="E1308" t="s">
        <v>128</v>
      </c>
      <c r="F1308">
        <v>0</v>
      </c>
      <c r="G1308" t="s">
        <v>128</v>
      </c>
      <c r="H1308" t="s">
        <v>128</v>
      </c>
      <c r="I1308" t="s">
        <v>128</v>
      </c>
      <c r="J1308" t="s">
        <v>128</v>
      </c>
      <c r="K1308" t="s">
        <v>128</v>
      </c>
      <c r="L1308" t="s">
        <v>128</v>
      </c>
      <c r="M1308" t="s">
        <v>1971</v>
      </c>
      <c r="N1308" t="b">
        <v>0</v>
      </c>
    </row>
    <row r="1309" spans="1:14">
      <c r="A1309">
        <v>87</v>
      </c>
      <c r="B1309">
        <v>21</v>
      </c>
      <c r="C1309" t="s">
        <v>128</v>
      </c>
      <c r="D1309" t="s">
        <v>743</v>
      </c>
      <c r="E1309" t="s">
        <v>128</v>
      </c>
      <c r="F1309">
        <v>0</v>
      </c>
      <c r="G1309" t="s">
        <v>128</v>
      </c>
      <c r="H1309" t="s">
        <v>128</v>
      </c>
      <c r="I1309" t="s">
        <v>128</v>
      </c>
      <c r="J1309" t="s">
        <v>128</v>
      </c>
      <c r="K1309" t="s">
        <v>128</v>
      </c>
      <c r="L1309" t="s">
        <v>128</v>
      </c>
      <c r="M1309" t="s">
        <v>1972</v>
      </c>
      <c r="N1309" t="b">
        <v>0</v>
      </c>
    </row>
    <row r="1310" spans="1:14">
      <c r="A1310">
        <v>87</v>
      </c>
      <c r="B1310">
        <v>22</v>
      </c>
      <c r="C1310" t="s">
        <v>128</v>
      </c>
      <c r="D1310" t="s">
        <v>743</v>
      </c>
      <c r="E1310" t="s">
        <v>128</v>
      </c>
      <c r="F1310">
        <v>0</v>
      </c>
      <c r="G1310" t="s">
        <v>128</v>
      </c>
      <c r="H1310" t="s">
        <v>128</v>
      </c>
      <c r="I1310" t="s">
        <v>128</v>
      </c>
      <c r="J1310" t="s">
        <v>128</v>
      </c>
      <c r="K1310" t="s">
        <v>128</v>
      </c>
      <c r="L1310" t="s">
        <v>128</v>
      </c>
      <c r="M1310" t="s">
        <v>1973</v>
      </c>
      <c r="N1310" t="b">
        <v>0</v>
      </c>
    </row>
    <row r="1311" spans="1:14">
      <c r="A1311">
        <v>87</v>
      </c>
      <c r="B1311">
        <v>23</v>
      </c>
      <c r="C1311" t="s">
        <v>128</v>
      </c>
      <c r="D1311" t="s">
        <v>743</v>
      </c>
      <c r="E1311" t="s">
        <v>128</v>
      </c>
      <c r="F1311">
        <v>0</v>
      </c>
      <c r="G1311" t="s">
        <v>128</v>
      </c>
      <c r="H1311" t="s">
        <v>128</v>
      </c>
      <c r="I1311" t="s">
        <v>128</v>
      </c>
      <c r="J1311" t="s">
        <v>128</v>
      </c>
      <c r="K1311" t="s">
        <v>128</v>
      </c>
      <c r="L1311" t="s">
        <v>128</v>
      </c>
      <c r="M1311" t="s">
        <v>1974</v>
      </c>
      <c r="N1311" t="b">
        <v>0</v>
      </c>
    </row>
    <row r="1312" spans="1:14">
      <c r="A1312">
        <v>87</v>
      </c>
      <c r="B1312">
        <v>24</v>
      </c>
      <c r="C1312" t="s">
        <v>128</v>
      </c>
      <c r="D1312" t="s">
        <v>743</v>
      </c>
      <c r="E1312" t="s">
        <v>128</v>
      </c>
      <c r="F1312">
        <v>0</v>
      </c>
      <c r="G1312" t="s">
        <v>128</v>
      </c>
      <c r="H1312" t="s">
        <v>128</v>
      </c>
      <c r="I1312" t="s">
        <v>128</v>
      </c>
      <c r="J1312" t="s">
        <v>128</v>
      </c>
      <c r="K1312" t="s">
        <v>128</v>
      </c>
      <c r="L1312" t="s">
        <v>128</v>
      </c>
      <c r="M1312" t="s">
        <v>1975</v>
      </c>
      <c r="N1312" t="b">
        <v>0</v>
      </c>
    </row>
    <row r="1313" spans="1:14">
      <c r="A1313">
        <v>87</v>
      </c>
      <c r="B1313">
        <v>25</v>
      </c>
      <c r="C1313" t="s">
        <v>128</v>
      </c>
      <c r="D1313" t="s">
        <v>743</v>
      </c>
      <c r="E1313" t="s">
        <v>128</v>
      </c>
      <c r="F1313">
        <v>0</v>
      </c>
      <c r="G1313" t="s">
        <v>128</v>
      </c>
      <c r="H1313" t="s">
        <v>128</v>
      </c>
      <c r="I1313" t="s">
        <v>128</v>
      </c>
      <c r="J1313" t="s">
        <v>128</v>
      </c>
      <c r="K1313" t="s">
        <v>128</v>
      </c>
      <c r="L1313" t="s">
        <v>128</v>
      </c>
      <c r="M1313" t="s">
        <v>1976</v>
      </c>
      <c r="N1313" t="b">
        <v>0</v>
      </c>
    </row>
    <row r="1314" spans="1:14">
      <c r="A1314">
        <v>87</v>
      </c>
      <c r="B1314">
        <v>26</v>
      </c>
      <c r="C1314" t="s">
        <v>128</v>
      </c>
      <c r="D1314" t="s">
        <v>743</v>
      </c>
      <c r="E1314" t="s">
        <v>128</v>
      </c>
      <c r="F1314">
        <v>0</v>
      </c>
      <c r="G1314" t="s">
        <v>128</v>
      </c>
      <c r="H1314" t="s">
        <v>128</v>
      </c>
      <c r="I1314" t="s">
        <v>128</v>
      </c>
      <c r="J1314" t="s">
        <v>128</v>
      </c>
      <c r="K1314" t="s">
        <v>128</v>
      </c>
      <c r="L1314" t="s">
        <v>128</v>
      </c>
      <c r="M1314" t="s">
        <v>1977</v>
      </c>
      <c r="N1314" t="b">
        <v>0</v>
      </c>
    </row>
    <row r="1315" spans="1:14">
      <c r="A1315">
        <v>90</v>
      </c>
      <c r="B1315">
        <v>0</v>
      </c>
      <c r="C1315" t="s">
        <v>188</v>
      </c>
      <c r="D1315" t="s">
        <v>726</v>
      </c>
      <c r="E1315" t="s">
        <v>65</v>
      </c>
      <c r="F1315">
        <v>50</v>
      </c>
      <c r="G1315" t="s">
        <v>128</v>
      </c>
      <c r="H1315" t="s">
        <v>128</v>
      </c>
      <c r="I1315" t="s">
        <v>65</v>
      </c>
      <c r="J1315" t="s">
        <v>128</v>
      </c>
      <c r="K1315" t="s">
        <v>128</v>
      </c>
      <c r="L1315" t="s">
        <v>128</v>
      </c>
      <c r="M1315" t="s">
        <v>1978</v>
      </c>
      <c r="N1315" t="b">
        <v>0</v>
      </c>
    </row>
    <row r="1316" spans="1:14">
      <c r="A1316">
        <v>90</v>
      </c>
      <c r="B1316">
        <v>1</v>
      </c>
      <c r="C1316" t="s">
        <v>160</v>
      </c>
      <c r="D1316" t="s">
        <v>726</v>
      </c>
      <c r="E1316" t="s">
        <v>83</v>
      </c>
      <c r="F1316">
        <v>40</v>
      </c>
      <c r="G1316" t="s">
        <v>128</v>
      </c>
      <c r="H1316" t="s">
        <v>128</v>
      </c>
      <c r="I1316" t="s">
        <v>83</v>
      </c>
      <c r="J1316" t="s">
        <v>128</v>
      </c>
      <c r="K1316" t="s">
        <v>128</v>
      </c>
      <c r="L1316" t="s">
        <v>128</v>
      </c>
      <c r="M1316" t="s">
        <v>1979</v>
      </c>
      <c r="N1316" t="b">
        <v>0</v>
      </c>
    </row>
    <row r="1317" spans="1:14">
      <c r="A1317">
        <v>90</v>
      </c>
      <c r="B1317">
        <v>2</v>
      </c>
      <c r="C1317" t="s">
        <v>189</v>
      </c>
      <c r="D1317" t="s">
        <v>726</v>
      </c>
      <c r="E1317" t="s">
        <v>93</v>
      </c>
      <c r="F1317">
        <v>50</v>
      </c>
      <c r="G1317" t="s">
        <v>128</v>
      </c>
      <c r="H1317" t="s">
        <v>128</v>
      </c>
      <c r="I1317" t="s">
        <v>93</v>
      </c>
      <c r="J1317" t="s">
        <v>128</v>
      </c>
      <c r="K1317" t="s">
        <v>128</v>
      </c>
      <c r="L1317" t="s">
        <v>128</v>
      </c>
      <c r="M1317" t="s">
        <v>1980</v>
      </c>
      <c r="N1317" t="b">
        <v>0</v>
      </c>
    </row>
    <row r="1318" spans="1:14">
      <c r="A1318">
        <v>90</v>
      </c>
      <c r="B1318">
        <v>3</v>
      </c>
      <c r="C1318" t="s">
        <v>190</v>
      </c>
      <c r="D1318" t="s">
        <v>726</v>
      </c>
      <c r="E1318" t="s">
        <v>99</v>
      </c>
      <c r="F1318">
        <v>50</v>
      </c>
      <c r="G1318" t="s">
        <v>128</v>
      </c>
      <c r="H1318" t="s">
        <v>128</v>
      </c>
      <c r="I1318" t="s">
        <v>99</v>
      </c>
      <c r="J1318" t="s">
        <v>128</v>
      </c>
      <c r="K1318" t="s">
        <v>128</v>
      </c>
      <c r="L1318" t="s">
        <v>128</v>
      </c>
      <c r="M1318" t="s">
        <v>1981</v>
      </c>
      <c r="N1318" t="b">
        <v>0</v>
      </c>
    </row>
    <row r="1319" spans="1:14">
      <c r="A1319">
        <v>90</v>
      </c>
      <c r="B1319">
        <v>4</v>
      </c>
      <c r="C1319" t="s">
        <v>191</v>
      </c>
      <c r="D1319" t="s">
        <v>726</v>
      </c>
      <c r="E1319" t="s">
        <v>101</v>
      </c>
      <c r="F1319">
        <v>50</v>
      </c>
      <c r="G1319" t="s">
        <v>128</v>
      </c>
      <c r="H1319" t="s">
        <v>128</v>
      </c>
      <c r="I1319" t="s">
        <v>101</v>
      </c>
      <c r="J1319" t="s">
        <v>128</v>
      </c>
      <c r="K1319" t="s">
        <v>128</v>
      </c>
      <c r="L1319" t="s">
        <v>128</v>
      </c>
      <c r="M1319" t="s">
        <v>1982</v>
      </c>
      <c r="N1319" t="b">
        <v>0</v>
      </c>
    </row>
    <row r="1320" spans="1:14">
      <c r="A1320">
        <v>90</v>
      </c>
      <c r="B1320">
        <v>5</v>
      </c>
      <c r="C1320" t="s">
        <v>243</v>
      </c>
      <c r="D1320" t="s">
        <v>726</v>
      </c>
      <c r="E1320" t="s">
        <v>103</v>
      </c>
      <c r="F1320">
        <v>50</v>
      </c>
      <c r="G1320" t="s">
        <v>128</v>
      </c>
      <c r="H1320" t="s">
        <v>128</v>
      </c>
      <c r="I1320" t="s">
        <v>103</v>
      </c>
      <c r="J1320" t="s">
        <v>128</v>
      </c>
      <c r="K1320" t="s">
        <v>128</v>
      </c>
      <c r="L1320" t="s">
        <v>128</v>
      </c>
      <c r="M1320" t="s">
        <v>1983</v>
      </c>
      <c r="N1320" t="b">
        <v>0</v>
      </c>
    </row>
    <row r="1321" spans="1:14">
      <c r="A1321">
        <v>90</v>
      </c>
      <c r="B1321">
        <v>6</v>
      </c>
      <c r="C1321" t="s">
        <v>192</v>
      </c>
      <c r="D1321" t="s">
        <v>726</v>
      </c>
      <c r="E1321" t="s">
        <v>109</v>
      </c>
      <c r="F1321">
        <v>30</v>
      </c>
      <c r="G1321" t="s">
        <v>128</v>
      </c>
      <c r="H1321" t="s">
        <v>128</v>
      </c>
      <c r="I1321" t="s">
        <v>109</v>
      </c>
      <c r="J1321" t="s">
        <v>128</v>
      </c>
      <c r="K1321" t="s">
        <v>128</v>
      </c>
      <c r="L1321" t="s">
        <v>128</v>
      </c>
      <c r="M1321" t="s">
        <v>1984</v>
      </c>
      <c r="N1321" t="b">
        <v>0</v>
      </c>
    </row>
    <row r="1322" spans="1:14">
      <c r="A1322">
        <v>90</v>
      </c>
      <c r="B1322">
        <v>7</v>
      </c>
      <c r="C1322" t="s">
        <v>193</v>
      </c>
      <c r="D1322" t="s">
        <v>726</v>
      </c>
      <c r="E1322" t="s">
        <v>115</v>
      </c>
      <c r="F1322">
        <v>60</v>
      </c>
      <c r="G1322" t="s">
        <v>128</v>
      </c>
      <c r="H1322" t="s">
        <v>128</v>
      </c>
      <c r="I1322" t="s">
        <v>115</v>
      </c>
      <c r="J1322" t="s">
        <v>128</v>
      </c>
      <c r="K1322" t="s">
        <v>128</v>
      </c>
      <c r="L1322" t="s">
        <v>128</v>
      </c>
      <c r="M1322" t="s">
        <v>1985</v>
      </c>
      <c r="N1322" t="b">
        <v>0</v>
      </c>
    </row>
    <row r="1323" spans="1:14">
      <c r="A1323">
        <v>90</v>
      </c>
      <c r="B1323">
        <v>8</v>
      </c>
      <c r="C1323" t="s">
        <v>194</v>
      </c>
      <c r="D1323" t="s">
        <v>726</v>
      </c>
      <c r="E1323" t="s">
        <v>61</v>
      </c>
      <c r="F1323">
        <v>30</v>
      </c>
      <c r="G1323" t="s">
        <v>128</v>
      </c>
      <c r="H1323" t="s">
        <v>128</v>
      </c>
      <c r="I1323" t="s">
        <v>61</v>
      </c>
      <c r="J1323" t="s">
        <v>128</v>
      </c>
      <c r="K1323" t="s">
        <v>128</v>
      </c>
      <c r="L1323" t="s">
        <v>128</v>
      </c>
      <c r="M1323" t="s">
        <v>1986</v>
      </c>
      <c r="N1323" t="b">
        <v>0</v>
      </c>
    </row>
    <row r="1324" spans="1:14">
      <c r="A1324">
        <v>90</v>
      </c>
      <c r="B1324">
        <v>9</v>
      </c>
      <c r="C1324" t="s">
        <v>455</v>
      </c>
      <c r="D1324" t="s">
        <v>726</v>
      </c>
      <c r="E1324" t="s">
        <v>66</v>
      </c>
      <c r="F1324">
        <v>30</v>
      </c>
      <c r="G1324" t="s">
        <v>128</v>
      </c>
      <c r="H1324" t="s">
        <v>128</v>
      </c>
      <c r="I1324" t="s">
        <v>66</v>
      </c>
      <c r="J1324" t="s">
        <v>128</v>
      </c>
      <c r="K1324" t="s">
        <v>128</v>
      </c>
      <c r="L1324" t="s">
        <v>128</v>
      </c>
      <c r="M1324" t="s">
        <v>1987</v>
      </c>
      <c r="N1324" t="b">
        <v>0</v>
      </c>
    </row>
    <row r="1325" spans="1:14">
      <c r="A1325">
        <v>90</v>
      </c>
      <c r="B1325">
        <v>10</v>
      </c>
      <c r="C1325" t="s">
        <v>320</v>
      </c>
      <c r="D1325" t="s">
        <v>726</v>
      </c>
      <c r="E1325" t="s">
        <v>333</v>
      </c>
      <c r="F1325">
        <v>30</v>
      </c>
      <c r="G1325" t="s">
        <v>128</v>
      </c>
      <c r="H1325" t="s">
        <v>550</v>
      </c>
      <c r="I1325" t="s">
        <v>447</v>
      </c>
      <c r="J1325" t="s">
        <v>128</v>
      </c>
      <c r="K1325" t="s">
        <v>923</v>
      </c>
      <c r="L1325" t="s">
        <v>924</v>
      </c>
      <c r="M1325" t="s">
        <v>1988</v>
      </c>
      <c r="N1325" t="b">
        <v>0</v>
      </c>
    </row>
    <row r="1326" spans="1:14">
      <c r="A1326">
        <v>90</v>
      </c>
      <c r="B1326">
        <v>11</v>
      </c>
      <c r="C1326" t="s">
        <v>195</v>
      </c>
      <c r="D1326" t="s">
        <v>726</v>
      </c>
      <c r="E1326" t="s">
        <v>78</v>
      </c>
      <c r="F1326">
        <v>50</v>
      </c>
      <c r="G1326" t="s">
        <v>128</v>
      </c>
      <c r="H1326" t="s">
        <v>128</v>
      </c>
      <c r="I1326" t="s">
        <v>78</v>
      </c>
      <c r="J1326" t="s">
        <v>128</v>
      </c>
      <c r="K1326" t="s">
        <v>128</v>
      </c>
      <c r="L1326" t="s">
        <v>128</v>
      </c>
      <c r="M1326" t="s">
        <v>1989</v>
      </c>
      <c r="N1326" t="b">
        <v>0</v>
      </c>
    </row>
    <row r="1327" spans="1:14">
      <c r="A1327">
        <v>90</v>
      </c>
      <c r="B1327">
        <v>12</v>
      </c>
      <c r="C1327" t="s">
        <v>201</v>
      </c>
      <c r="D1327" t="s">
        <v>726</v>
      </c>
      <c r="E1327" t="s">
        <v>84</v>
      </c>
      <c r="F1327">
        <v>50</v>
      </c>
      <c r="G1327" t="s">
        <v>128</v>
      </c>
      <c r="H1327" t="s">
        <v>128</v>
      </c>
      <c r="I1327" t="s">
        <v>84</v>
      </c>
      <c r="J1327" t="s">
        <v>128</v>
      </c>
      <c r="K1327" t="s">
        <v>128</v>
      </c>
      <c r="L1327" t="s">
        <v>128</v>
      </c>
      <c r="M1327" t="s">
        <v>1990</v>
      </c>
      <c r="N1327" t="b">
        <v>0</v>
      </c>
    </row>
    <row r="1328" spans="1:14">
      <c r="A1328">
        <v>90</v>
      </c>
      <c r="B1328">
        <v>13</v>
      </c>
      <c r="C1328" t="s">
        <v>196</v>
      </c>
      <c r="D1328" t="s">
        <v>726</v>
      </c>
      <c r="E1328" t="s">
        <v>98</v>
      </c>
      <c r="F1328">
        <v>50</v>
      </c>
      <c r="G1328" t="s">
        <v>128</v>
      </c>
      <c r="H1328" t="s">
        <v>128</v>
      </c>
      <c r="I1328" t="s">
        <v>98</v>
      </c>
      <c r="J1328" t="s">
        <v>128</v>
      </c>
      <c r="K1328" t="s">
        <v>128</v>
      </c>
      <c r="L1328" t="s">
        <v>128</v>
      </c>
      <c r="M1328" t="s">
        <v>1991</v>
      </c>
      <c r="N1328" t="b">
        <v>0</v>
      </c>
    </row>
    <row r="1329" spans="1:14">
      <c r="A1329">
        <v>90</v>
      </c>
      <c r="B1329">
        <v>14</v>
      </c>
      <c r="C1329" t="s">
        <v>197</v>
      </c>
      <c r="D1329" t="s">
        <v>726</v>
      </c>
      <c r="E1329" t="s">
        <v>108</v>
      </c>
      <c r="F1329">
        <v>60</v>
      </c>
      <c r="G1329" t="s">
        <v>128</v>
      </c>
      <c r="H1329" t="s">
        <v>128</v>
      </c>
      <c r="I1329" t="s">
        <v>108</v>
      </c>
      <c r="J1329" t="s">
        <v>128</v>
      </c>
      <c r="K1329" t="s">
        <v>128</v>
      </c>
      <c r="L1329" t="s">
        <v>128</v>
      </c>
      <c r="M1329" t="s">
        <v>1992</v>
      </c>
      <c r="N1329" t="b">
        <v>0</v>
      </c>
    </row>
    <row r="1330" spans="1:14">
      <c r="A1330">
        <v>90</v>
      </c>
      <c r="B1330">
        <v>15</v>
      </c>
      <c r="C1330" t="s">
        <v>128</v>
      </c>
      <c r="D1330" t="s">
        <v>726</v>
      </c>
      <c r="E1330" t="s">
        <v>128</v>
      </c>
      <c r="F1330">
        <v>0</v>
      </c>
      <c r="G1330" t="s">
        <v>128</v>
      </c>
      <c r="H1330" t="s">
        <v>128</v>
      </c>
      <c r="I1330" t="s">
        <v>128</v>
      </c>
      <c r="J1330" t="s">
        <v>128</v>
      </c>
      <c r="K1330" t="s">
        <v>128</v>
      </c>
      <c r="L1330" t="s">
        <v>128</v>
      </c>
      <c r="M1330" t="s">
        <v>1993</v>
      </c>
      <c r="N1330" t="b">
        <v>0</v>
      </c>
    </row>
    <row r="1331" spans="1:14">
      <c r="A1331">
        <v>90</v>
      </c>
      <c r="B1331">
        <v>16</v>
      </c>
      <c r="C1331" t="s">
        <v>128</v>
      </c>
      <c r="D1331" t="s">
        <v>743</v>
      </c>
      <c r="E1331" t="s">
        <v>128</v>
      </c>
      <c r="F1331">
        <v>0</v>
      </c>
      <c r="G1331" t="s">
        <v>128</v>
      </c>
      <c r="H1331" t="s">
        <v>128</v>
      </c>
      <c r="I1331" t="s">
        <v>128</v>
      </c>
      <c r="J1331" t="s">
        <v>128</v>
      </c>
      <c r="K1331" t="s">
        <v>128</v>
      </c>
      <c r="L1331" t="s">
        <v>128</v>
      </c>
      <c r="M1331" t="s">
        <v>1994</v>
      </c>
      <c r="N1331" t="b">
        <v>0</v>
      </c>
    </row>
    <row r="1332" spans="1:14">
      <c r="A1332">
        <v>90</v>
      </c>
      <c r="B1332">
        <v>17</v>
      </c>
      <c r="C1332" t="s">
        <v>128</v>
      </c>
      <c r="D1332" t="s">
        <v>743</v>
      </c>
      <c r="E1332" t="s">
        <v>128</v>
      </c>
      <c r="F1332">
        <v>0</v>
      </c>
      <c r="G1332" t="s">
        <v>128</v>
      </c>
      <c r="H1332" t="s">
        <v>128</v>
      </c>
      <c r="I1332" t="s">
        <v>128</v>
      </c>
      <c r="J1332" t="s">
        <v>128</v>
      </c>
      <c r="K1332" t="s">
        <v>128</v>
      </c>
      <c r="L1332" t="s">
        <v>128</v>
      </c>
      <c r="M1332" t="s">
        <v>1995</v>
      </c>
      <c r="N1332" t="b">
        <v>0</v>
      </c>
    </row>
    <row r="1333" spans="1:14">
      <c r="A1333">
        <v>90</v>
      </c>
      <c r="B1333">
        <v>18</v>
      </c>
      <c r="C1333" t="s">
        <v>128</v>
      </c>
      <c r="D1333" t="s">
        <v>743</v>
      </c>
      <c r="E1333" t="s">
        <v>128</v>
      </c>
      <c r="F1333">
        <v>0</v>
      </c>
      <c r="G1333" t="s">
        <v>128</v>
      </c>
      <c r="H1333" t="s">
        <v>128</v>
      </c>
      <c r="I1333" t="s">
        <v>128</v>
      </c>
      <c r="J1333" t="s">
        <v>128</v>
      </c>
      <c r="K1333" t="s">
        <v>128</v>
      </c>
      <c r="L1333" t="s">
        <v>128</v>
      </c>
      <c r="M1333" t="s">
        <v>1996</v>
      </c>
      <c r="N1333" t="b">
        <v>0</v>
      </c>
    </row>
    <row r="1334" spans="1:14">
      <c r="A1334">
        <v>90</v>
      </c>
      <c r="B1334">
        <v>19</v>
      </c>
      <c r="C1334" t="s">
        <v>128</v>
      </c>
      <c r="D1334" t="s">
        <v>743</v>
      </c>
      <c r="E1334" t="s">
        <v>128</v>
      </c>
      <c r="F1334">
        <v>0</v>
      </c>
      <c r="G1334" t="s">
        <v>128</v>
      </c>
      <c r="H1334" t="s">
        <v>128</v>
      </c>
      <c r="I1334" t="s">
        <v>128</v>
      </c>
      <c r="J1334" t="s">
        <v>128</v>
      </c>
      <c r="K1334" t="s">
        <v>128</v>
      </c>
      <c r="L1334" t="s">
        <v>128</v>
      </c>
      <c r="M1334" t="s">
        <v>1997</v>
      </c>
      <c r="N1334" t="b">
        <v>0</v>
      </c>
    </row>
    <row r="1335" spans="1:14">
      <c r="A1335">
        <v>90</v>
      </c>
      <c r="B1335">
        <v>20</v>
      </c>
      <c r="C1335" t="s">
        <v>128</v>
      </c>
      <c r="D1335" t="s">
        <v>743</v>
      </c>
      <c r="E1335" t="s">
        <v>128</v>
      </c>
      <c r="F1335">
        <v>0</v>
      </c>
      <c r="G1335" t="s">
        <v>128</v>
      </c>
      <c r="H1335" t="s">
        <v>128</v>
      </c>
      <c r="I1335" t="s">
        <v>128</v>
      </c>
      <c r="J1335" t="s">
        <v>128</v>
      </c>
      <c r="K1335" t="s">
        <v>128</v>
      </c>
      <c r="L1335" t="s">
        <v>128</v>
      </c>
      <c r="M1335" t="s">
        <v>1998</v>
      </c>
      <c r="N1335" t="b">
        <v>0</v>
      </c>
    </row>
    <row r="1336" spans="1:14">
      <c r="A1336">
        <v>90</v>
      </c>
      <c r="B1336">
        <v>21</v>
      </c>
      <c r="C1336" t="s">
        <v>128</v>
      </c>
      <c r="D1336" t="s">
        <v>743</v>
      </c>
      <c r="E1336" t="s">
        <v>128</v>
      </c>
      <c r="F1336">
        <v>0</v>
      </c>
      <c r="G1336" t="s">
        <v>128</v>
      </c>
      <c r="H1336" t="s">
        <v>128</v>
      </c>
      <c r="I1336" t="s">
        <v>128</v>
      </c>
      <c r="J1336" t="s">
        <v>128</v>
      </c>
      <c r="K1336" t="s">
        <v>128</v>
      </c>
      <c r="L1336" t="s">
        <v>128</v>
      </c>
      <c r="M1336" t="s">
        <v>1999</v>
      </c>
      <c r="N1336" t="b">
        <v>0</v>
      </c>
    </row>
    <row r="1337" spans="1:14">
      <c r="A1337">
        <v>90</v>
      </c>
      <c r="B1337">
        <v>22</v>
      </c>
      <c r="C1337" t="s">
        <v>128</v>
      </c>
      <c r="D1337" t="s">
        <v>743</v>
      </c>
      <c r="E1337" t="s">
        <v>128</v>
      </c>
      <c r="F1337">
        <v>0</v>
      </c>
      <c r="G1337" t="s">
        <v>128</v>
      </c>
      <c r="H1337" t="s">
        <v>128</v>
      </c>
      <c r="I1337" t="s">
        <v>128</v>
      </c>
      <c r="J1337" t="s">
        <v>128</v>
      </c>
      <c r="K1337" t="s">
        <v>128</v>
      </c>
      <c r="L1337" t="s">
        <v>128</v>
      </c>
      <c r="M1337" t="s">
        <v>2000</v>
      </c>
      <c r="N1337" t="b">
        <v>0</v>
      </c>
    </row>
    <row r="1338" spans="1:14">
      <c r="A1338">
        <v>90</v>
      </c>
      <c r="B1338">
        <v>23</v>
      </c>
      <c r="C1338" t="s">
        <v>128</v>
      </c>
      <c r="D1338" t="s">
        <v>743</v>
      </c>
      <c r="E1338" t="s">
        <v>128</v>
      </c>
      <c r="F1338">
        <v>0</v>
      </c>
      <c r="G1338" t="s">
        <v>128</v>
      </c>
      <c r="H1338" t="s">
        <v>128</v>
      </c>
      <c r="I1338" t="s">
        <v>128</v>
      </c>
      <c r="J1338" t="s">
        <v>128</v>
      </c>
      <c r="K1338" t="s">
        <v>128</v>
      </c>
      <c r="L1338" t="s">
        <v>128</v>
      </c>
      <c r="M1338" t="s">
        <v>2001</v>
      </c>
      <c r="N1338" t="b">
        <v>0</v>
      </c>
    </row>
    <row r="1339" spans="1:14">
      <c r="A1339">
        <v>90</v>
      </c>
      <c r="B1339">
        <v>24</v>
      </c>
      <c r="C1339" t="s">
        <v>128</v>
      </c>
      <c r="D1339" t="s">
        <v>743</v>
      </c>
      <c r="E1339" t="s">
        <v>128</v>
      </c>
      <c r="F1339">
        <v>0</v>
      </c>
      <c r="G1339" t="s">
        <v>128</v>
      </c>
      <c r="H1339" t="s">
        <v>128</v>
      </c>
      <c r="I1339" t="s">
        <v>128</v>
      </c>
      <c r="J1339" t="s">
        <v>128</v>
      </c>
      <c r="K1339" t="s">
        <v>128</v>
      </c>
      <c r="L1339" t="s">
        <v>128</v>
      </c>
      <c r="M1339" t="s">
        <v>2002</v>
      </c>
      <c r="N1339" t="b">
        <v>0</v>
      </c>
    </row>
    <row r="1340" spans="1:14">
      <c r="A1340">
        <v>90</v>
      </c>
      <c r="B1340">
        <v>25</v>
      </c>
      <c r="C1340" t="s">
        <v>128</v>
      </c>
      <c r="D1340" t="s">
        <v>743</v>
      </c>
      <c r="E1340" t="s">
        <v>128</v>
      </c>
      <c r="F1340">
        <v>0</v>
      </c>
      <c r="G1340" t="s">
        <v>128</v>
      </c>
      <c r="H1340" t="s">
        <v>128</v>
      </c>
      <c r="I1340" t="s">
        <v>128</v>
      </c>
      <c r="J1340" t="s">
        <v>128</v>
      </c>
      <c r="K1340" t="s">
        <v>128</v>
      </c>
      <c r="L1340" t="s">
        <v>128</v>
      </c>
      <c r="M1340" t="s">
        <v>2003</v>
      </c>
      <c r="N1340" t="b">
        <v>0</v>
      </c>
    </row>
    <row r="1341" spans="1:14">
      <c r="A1341">
        <v>90</v>
      </c>
      <c r="B1341">
        <v>26</v>
      </c>
      <c r="C1341" t="s">
        <v>128</v>
      </c>
      <c r="D1341" t="s">
        <v>743</v>
      </c>
      <c r="E1341" t="s">
        <v>128</v>
      </c>
      <c r="F1341">
        <v>0</v>
      </c>
      <c r="G1341" t="s">
        <v>128</v>
      </c>
      <c r="H1341" t="s">
        <v>128</v>
      </c>
      <c r="I1341" t="s">
        <v>128</v>
      </c>
      <c r="J1341" t="s">
        <v>128</v>
      </c>
      <c r="K1341" t="s">
        <v>128</v>
      </c>
      <c r="L1341" t="s">
        <v>128</v>
      </c>
      <c r="M1341" t="s">
        <v>2004</v>
      </c>
      <c r="N1341" t="b">
        <v>0</v>
      </c>
    </row>
    <row r="1342" spans="1:14">
      <c r="A1342">
        <v>91</v>
      </c>
      <c r="B1342">
        <v>0</v>
      </c>
      <c r="C1342" t="s">
        <v>218</v>
      </c>
      <c r="D1342" t="s">
        <v>726</v>
      </c>
      <c r="E1342" t="s">
        <v>65</v>
      </c>
      <c r="F1342">
        <v>60</v>
      </c>
      <c r="G1342" t="s">
        <v>128</v>
      </c>
      <c r="H1342" t="s">
        <v>128</v>
      </c>
      <c r="I1342" t="s">
        <v>65</v>
      </c>
      <c r="J1342" t="s">
        <v>128</v>
      </c>
      <c r="K1342" t="s">
        <v>128</v>
      </c>
      <c r="L1342" t="s">
        <v>128</v>
      </c>
      <c r="M1342" t="s">
        <v>2005</v>
      </c>
      <c r="N1342" t="b">
        <v>0</v>
      </c>
    </row>
    <row r="1343" spans="1:14">
      <c r="A1343">
        <v>91</v>
      </c>
      <c r="B1343">
        <v>1</v>
      </c>
      <c r="C1343" t="s">
        <v>219</v>
      </c>
      <c r="D1343" t="s">
        <v>726</v>
      </c>
      <c r="E1343" t="s">
        <v>77</v>
      </c>
      <c r="F1343">
        <v>60</v>
      </c>
      <c r="G1343" t="s">
        <v>128</v>
      </c>
      <c r="H1343" t="s">
        <v>128</v>
      </c>
      <c r="I1343" t="s">
        <v>77</v>
      </c>
      <c r="J1343" t="s">
        <v>128</v>
      </c>
      <c r="K1343" t="s">
        <v>128</v>
      </c>
      <c r="L1343" t="s">
        <v>128</v>
      </c>
      <c r="M1343" t="s">
        <v>2006</v>
      </c>
      <c r="N1343" t="b">
        <v>0</v>
      </c>
    </row>
    <row r="1344" spans="1:14">
      <c r="A1344">
        <v>91</v>
      </c>
      <c r="B1344">
        <v>2</v>
      </c>
      <c r="C1344" t="s">
        <v>242</v>
      </c>
      <c r="D1344" t="s">
        <v>726</v>
      </c>
      <c r="E1344" t="s">
        <v>95</v>
      </c>
      <c r="F1344">
        <v>50</v>
      </c>
      <c r="G1344" t="s">
        <v>128</v>
      </c>
      <c r="H1344" t="s">
        <v>128</v>
      </c>
      <c r="I1344" t="s">
        <v>95</v>
      </c>
      <c r="J1344" t="s">
        <v>128</v>
      </c>
      <c r="K1344" t="s">
        <v>128</v>
      </c>
      <c r="L1344" t="s">
        <v>128</v>
      </c>
      <c r="M1344" t="s">
        <v>2007</v>
      </c>
      <c r="N1344" t="b">
        <v>0</v>
      </c>
    </row>
    <row r="1345" spans="1:14">
      <c r="A1345">
        <v>91</v>
      </c>
      <c r="B1345">
        <v>3</v>
      </c>
      <c r="C1345" t="s">
        <v>458</v>
      </c>
      <c r="D1345" t="s">
        <v>726</v>
      </c>
      <c r="E1345" t="s">
        <v>97</v>
      </c>
      <c r="F1345">
        <v>60</v>
      </c>
      <c r="G1345" t="s">
        <v>128</v>
      </c>
      <c r="H1345" t="s">
        <v>128</v>
      </c>
      <c r="I1345" t="s">
        <v>97</v>
      </c>
      <c r="J1345" t="s">
        <v>128</v>
      </c>
      <c r="K1345" t="s">
        <v>128</v>
      </c>
      <c r="L1345" t="s">
        <v>128</v>
      </c>
      <c r="M1345" t="s">
        <v>2008</v>
      </c>
      <c r="N1345" t="b">
        <v>0</v>
      </c>
    </row>
    <row r="1346" spans="1:14">
      <c r="A1346">
        <v>91</v>
      </c>
      <c r="B1346">
        <v>4</v>
      </c>
      <c r="C1346" t="s">
        <v>221</v>
      </c>
      <c r="D1346" t="s">
        <v>726</v>
      </c>
      <c r="E1346" t="s">
        <v>101</v>
      </c>
      <c r="F1346">
        <v>60</v>
      </c>
      <c r="G1346" t="s">
        <v>128</v>
      </c>
      <c r="H1346" t="s">
        <v>128</v>
      </c>
      <c r="I1346" t="s">
        <v>101</v>
      </c>
      <c r="J1346" t="s">
        <v>128</v>
      </c>
      <c r="K1346" t="s">
        <v>128</v>
      </c>
      <c r="L1346" t="s">
        <v>128</v>
      </c>
      <c r="M1346" t="s">
        <v>2009</v>
      </c>
      <c r="N1346" t="b">
        <v>0</v>
      </c>
    </row>
    <row r="1347" spans="1:14">
      <c r="A1347">
        <v>91</v>
      </c>
      <c r="B1347">
        <v>5</v>
      </c>
      <c r="C1347" t="s">
        <v>289</v>
      </c>
      <c r="D1347" t="s">
        <v>726</v>
      </c>
      <c r="E1347" t="s">
        <v>103</v>
      </c>
      <c r="F1347">
        <v>40</v>
      </c>
      <c r="G1347" t="s">
        <v>128</v>
      </c>
      <c r="H1347" t="s">
        <v>128</v>
      </c>
      <c r="I1347" t="s">
        <v>103</v>
      </c>
      <c r="J1347" t="s">
        <v>128</v>
      </c>
      <c r="K1347" t="s">
        <v>128</v>
      </c>
      <c r="L1347" t="s">
        <v>128</v>
      </c>
      <c r="M1347" t="s">
        <v>2010</v>
      </c>
      <c r="N1347" t="b">
        <v>0</v>
      </c>
    </row>
    <row r="1348" spans="1:14">
      <c r="A1348">
        <v>91</v>
      </c>
      <c r="B1348">
        <v>6</v>
      </c>
      <c r="C1348" t="s">
        <v>200</v>
      </c>
      <c r="D1348" t="s">
        <v>726</v>
      </c>
      <c r="E1348" t="s">
        <v>113</v>
      </c>
      <c r="F1348">
        <v>50</v>
      </c>
      <c r="G1348" t="s">
        <v>128</v>
      </c>
      <c r="H1348" t="s">
        <v>128</v>
      </c>
      <c r="I1348" t="s">
        <v>113</v>
      </c>
      <c r="J1348" t="s">
        <v>128</v>
      </c>
      <c r="K1348" t="s">
        <v>128</v>
      </c>
      <c r="L1348" t="s">
        <v>128</v>
      </c>
      <c r="M1348" t="s">
        <v>2011</v>
      </c>
      <c r="N1348" t="b">
        <v>0</v>
      </c>
    </row>
    <row r="1349" spans="1:14">
      <c r="A1349">
        <v>91</v>
      </c>
      <c r="B1349">
        <v>7</v>
      </c>
      <c r="C1349" t="s">
        <v>222</v>
      </c>
      <c r="D1349" t="s">
        <v>726</v>
      </c>
      <c r="E1349" t="s">
        <v>68</v>
      </c>
      <c r="F1349">
        <v>50</v>
      </c>
      <c r="G1349" t="s">
        <v>128</v>
      </c>
      <c r="H1349" t="s">
        <v>128</v>
      </c>
      <c r="I1349" t="s">
        <v>68</v>
      </c>
      <c r="J1349" t="s">
        <v>128</v>
      </c>
      <c r="K1349" t="s">
        <v>128</v>
      </c>
      <c r="L1349" t="s">
        <v>128</v>
      </c>
      <c r="M1349" t="s">
        <v>2012</v>
      </c>
      <c r="N1349" t="b">
        <v>0</v>
      </c>
    </row>
    <row r="1350" spans="1:14">
      <c r="A1350">
        <v>91</v>
      </c>
      <c r="B1350">
        <v>8</v>
      </c>
      <c r="C1350" t="s">
        <v>320</v>
      </c>
      <c r="D1350" t="s">
        <v>726</v>
      </c>
      <c r="E1350" t="s">
        <v>333</v>
      </c>
      <c r="F1350">
        <v>30</v>
      </c>
      <c r="G1350" t="s">
        <v>128</v>
      </c>
      <c r="H1350" t="s">
        <v>550</v>
      </c>
      <c r="I1350" t="s">
        <v>447</v>
      </c>
      <c r="J1350" t="s">
        <v>128</v>
      </c>
      <c r="K1350" t="s">
        <v>923</v>
      </c>
      <c r="L1350" t="s">
        <v>924</v>
      </c>
      <c r="M1350" t="s">
        <v>2013</v>
      </c>
      <c r="N1350" t="b">
        <v>0</v>
      </c>
    </row>
    <row r="1351" spans="1:14">
      <c r="A1351">
        <v>91</v>
      </c>
      <c r="B1351">
        <v>9</v>
      </c>
      <c r="C1351" t="s">
        <v>169</v>
      </c>
      <c r="D1351" t="s">
        <v>726</v>
      </c>
      <c r="E1351" t="s">
        <v>74</v>
      </c>
      <c r="F1351">
        <v>50</v>
      </c>
      <c r="G1351" t="s">
        <v>128</v>
      </c>
      <c r="H1351" t="s">
        <v>128</v>
      </c>
      <c r="I1351" t="s">
        <v>74</v>
      </c>
      <c r="J1351" t="s">
        <v>128</v>
      </c>
      <c r="K1351" t="s">
        <v>128</v>
      </c>
      <c r="L1351" t="s">
        <v>128</v>
      </c>
      <c r="M1351" t="s">
        <v>2014</v>
      </c>
      <c r="N1351" t="b">
        <v>0</v>
      </c>
    </row>
    <row r="1352" spans="1:14">
      <c r="A1352">
        <v>91</v>
      </c>
      <c r="B1352">
        <v>10</v>
      </c>
      <c r="C1352" t="s">
        <v>393</v>
      </c>
      <c r="D1352" t="s">
        <v>726</v>
      </c>
      <c r="E1352" t="s">
        <v>102</v>
      </c>
      <c r="F1352">
        <v>60</v>
      </c>
      <c r="G1352" t="s">
        <v>128</v>
      </c>
      <c r="H1352" t="s">
        <v>128</v>
      </c>
      <c r="I1352" t="s">
        <v>102</v>
      </c>
      <c r="J1352" t="s">
        <v>128</v>
      </c>
      <c r="K1352" t="s">
        <v>128</v>
      </c>
      <c r="L1352" t="s">
        <v>128</v>
      </c>
      <c r="M1352" t="s">
        <v>2015</v>
      </c>
      <c r="N1352" t="b">
        <v>0</v>
      </c>
    </row>
    <row r="1353" spans="1:14">
      <c r="A1353">
        <v>91</v>
      </c>
      <c r="B1353">
        <v>11</v>
      </c>
      <c r="C1353" t="s">
        <v>172</v>
      </c>
      <c r="D1353" t="s">
        <v>726</v>
      </c>
      <c r="E1353" t="s">
        <v>106</v>
      </c>
      <c r="F1353">
        <v>50</v>
      </c>
      <c r="G1353" t="s">
        <v>128</v>
      </c>
      <c r="H1353" t="s">
        <v>128</v>
      </c>
      <c r="I1353" t="s">
        <v>106</v>
      </c>
      <c r="J1353" t="s">
        <v>128</v>
      </c>
      <c r="K1353" t="s">
        <v>128</v>
      </c>
      <c r="L1353" t="s">
        <v>128</v>
      </c>
      <c r="M1353" t="s">
        <v>2016</v>
      </c>
      <c r="N1353" t="b">
        <v>0</v>
      </c>
    </row>
    <row r="1354" spans="1:14">
      <c r="A1354">
        <v>91</v>
      </c>
      <c r="B1354">
        <v>12</v>
      </c>
      <c r="C1354" t="s">
        <v>225</v>
      </c>
      <c r="D1354" t="s">
        <v>726</v>
      </c>
      <c r="E1354" t="s">
        <v>107</v>
      </c>
      <c r="F1354">
        <v>50</v>
      </c>
      <c r="G1354" t="s">
        <v>128</v>
      </c>
      <c r="H1354" t="s">
        <v>128</v>
      </c>
      <c r="I1354" t="s">
        <v>107</v>
      </c>
      <c r="J1354" t="s">
        <v>128</v>
      </c>
      <c r="K1354" t="s">
        <v>128</v>
      </c>
      <c r="L1354" t="s">
        <v>128</v>
      </c>
      <c r="M1354" t="s">
        <v>2017</v>
      </c>
      <c r="N1354" t="b">
        <v>0</v>
      </c>
    </row>
    <row r="1355" spans="1:14">
      <c r="A1355">
        <v>91</v>
      </c>
      <c r="B1355">
        <v>13</v>
      </c>
      <c r="C1355" t="s">
        <v>197</v>
      </c>
      <c r="D1355" t="s">
        <v>726</v>
      </c>
      <c r="E1355" t="s">
        <v>108</v>
      </c>
      <c r="F1355">
        <v>60</v>
      </c>
      <c r="G1355" t="s">
        <v>128</v>
      </c>
      <c r="H1355" t="s">
        <v>128</v>
      </c>
      <c r="I1355" t="s">
        <v>108</v>
      </c>
      <c r="J1355" t="s">
        <v>128</v>
      </c>
      <c r="K1355" t="s">
        <v>128</v>
      </c>
      <c r="L1355" t="s">
        <v>128</v>
      </c>
      <c r="M1355" t="s">
        <v>2018</v>
      </c>
      <c r="N1355" t="b">
        <v>0</v>
      </c>
    </row>
    <row r="1356" spans="1:14">
      <c r="A1356">
        <v>91</v>
      </c>
      <c r="B1356">
        <v>14</v>
      </c>
      <c r="C1356" t="s">
        <v>128</v>
      </c>
      <c r="D1356" t="s">
        <v>726</v>
      </c>
      <c r="E1356" t="s">
        <v>128</v>
      </c>
      <c r="F1356">
        <v>0</v>
      </c>
      <c r="G1356" t="s">
        <v>128</v>
      </c>
      <c r="H1356" t="s">
        <v>128</v>
      </c>
      <c r="I1356" t="s">
        <v>128</v>
      </c>
      <c r="J1356" t="s">
        <v>128</v>
      </c>
      <c r="K1356" t="s">
        <v>128</v>
      </c>
      <c r="L1356" t="s">
        <v>128</v>
      </c>
      <c r="M1356" t="s">
        <v>2019</v>
      </c>
      <c r="N1356" t="b">
        <v>0</v>
      </c>
    </row>
    <row r="1357" spans="1:14">
      <c r="A1357">
        <v>91</v>
      </c>
      <c r="B1357">
        <v>15</v>
      </c>
      <c r="C1357" t="s">
        <v>128</v>
      </c>
      <c r="D1357" t="s">
        <v>726</v>
      </c>
      <c r="E1357" t="s">
        <v>128</v>
      </c>
      <c r="F1357">
        <v>0</v>
      </c>
      <c r="G1357" t="s">
        <v>128</v>
      </c>
      <c r="H1357" t="s">
        <v>128</v>
      </c>
      <c r="I1357" t="s">
        <v>128</v>
      </c>
      <c r="J1357" t="s">
        <v>128</v>
      </c>
      <c r="K1357" t="s">
        <v>128</v>
      </c>
      <c r="L1357" t="s">
        <v>128</v>
      </c>
      <c r="M1357" t="s">
        <v>2020</v>
      </c>
      <c r="N1357" t="b">
        <v>0</v>
      </c>
    </row>
    <row r="1358" spans="1:14">
      <c r="A1358">
        <v>91</v>
      </c>
      <c r="B1358">
        <v>16</v>
      </c>
      <c r="C1358" t="s">
        <v>128</v>
      </c>
      <c r="D1358" t="s">
        <v>743</v>
      </c>
      <c r="E1358" t="s">
        <v>128</v>
      </c>
      <c r="F1358">
        <v>0</v>
      </c>
      <c r="G1358" t="s">
        <v>128</v>
      </c>
      <c r="H1358" t="s">
        <v>128</v>
      </c>
      <c r="I1358" t="s">
        <v>128</v>
      </c>
      <c r="J1358" t="s">
        <v>128</v>
      </c>
      <c r="K1358" t="s">
        <v>128</v>
      </c>
      <c r="L1358" t="s">
        <v>128</v>
      </c>
      <c r="M1358" t="s">
        <v>2021</v>
      </c>
      <c r="N1358" t="b">
        <v>0</v>
      </c>
    </row>
    <row r="1359" spans="1:14">
      <c r="A1359">
        <v>91</v>
      </c>
      <c r="B1359">
        <v>17</v>
      </c>
      <c r="C1359" t="s">
        <v>128</v>
      </c>
      <c r="D1359" t="s">
        <v>743</v>
      </c>
      <c r="E1359" t="s">
        <v>128</v>
      </c>
      <c r="F1359">
        <v>0</v>
      </c>
      <c r="G1359" t="s">
        <v>128</v>
      </c>
      <c r="H1359" t="s">
        <v>128</v>
      </c>
      <c r="I1359" t="s">
        <v>128</v>
      </c>
      <c r="J1359" t="s">
        <v>128</v>
      </c>
      <c r="K1359" t="s">
        <v>128</v>
      </c>
      <c r="L1359" t="s">
        <v>128</v>
      </c>
      <c r="M1359" t="s">
        <v>2022</v>
      </c>
      <c r="N1359" t="b">
        <v>0</v>
      </c>
    </row>
    <row r="1360" spans="1:14">
      <c r="A1360">
        <v>91</v>
      </c>
      <c r="B1360">
        <v>18</v>
      </c>
      <c r="C1360" t="s">
        <v>128</v>
      </c>
      <c r="D1360" t="s">
        <v>743</v>
      </c>
      <c r="E1360" t="s">
        <v>128</v>
      </c>
      <c r="F1360">
        <v>0</v>
      </c>
      <c r="G1360" t="s">
        <v>128</v>
      </c>
      <c r="H1360" t="s">
        <v>128</v>
      </c>
      <c r="I1360" t="s">
        <v>128</v>
      </c>
      <c r="J1360" t="s">
        <v>128</v>
      </c>
      <c r="K1360" t="s">
        <v>128</v>
      </c>
      <c r="L1360" t="s">
        <v>128</v>
      </c>
      <c r="M1360" t="s">
        <v>2023</v>
      </c>
      <c r="N1360" t="b">
        <v>0</v>
      </c>
    </row>
    <row r="1361" spans="1:14">
      <c r="A1361">
        <v>91</v>
      </c>
      <c r="B1361">
        <v>19</v>
      </c>
      <c r="C1361" t="s">
        <v>128</v>
      </c>
      <c r="D1361" t="s">
        <v>743</v>
      </c>
      <c r="E1361" t="s">
        <v>128</v>
      </c>
      <c r="F1361">
        <v>0</v>
      </c>
      <c r="G1361" t="s">
        <v>128</v>
      </c>
      <c r="H1361" t="s">
        <v>128</v>
      </c>
      <c r="I1361" t="s">
        <v>128</v>
      </c>
      <c r="J1361" t="s">
        <v>128</v>
      </c>
      <c r="K1361" t="s">
        <v>128</v>
      </c>
      <c r="L1361" t="s">
        <v>128</v>
      </c>
      <c r="M1361" t="s">
        <v>2024</v>
      </c>
      <c r="N1361" t="b">
        <v>0</v>
      </c>
    </row>
    <row r="1362" spans="1:14">
      <c r="A1362">
        <v>91</v>
      </c>
      <c r="B1362">
        <v>20</v>
      </c>
      <c r="C1362" t="s">
        <v>128</v>
      </c>
      <c r="D1362" t="s">
        <v>743</v>
      </c>
      <c r="E1362" t="s">
        <v>128</v>
      </c>
      <c r="F1362">
        <v>0</v>
      </c>
      <c r="G1362" t="s">
        <v>128</v>
      </c>
      <c r="H1362" t="s">
        <v>128</v>
      </c>
      <c r="I1362" t="s">
        <v>128</v>
      </c>
      <c r="J1362" t="s">
        <v>128</v>
      </c>
      <c r="K1362" t="s">
        <v>128</v>
      </c>
      <c r="L1362" t="s">
        <v>128</v>
      </c>
      <c r="M1362" t="s">
        <v>2025</v>
      </c>
      <c r="N1362" t="b">
        <v>0</v>
      </c>
    </row>
    <row r="1363" spans="1:14">
      <c r="A1363">
        <v>91</v>
      </c>
      <c r="B1363">
        <v>21</v>
      </c>
      <c r="C1363" t="s">
        <v>128</v>
      </c>
      <c r="D1363" t="s">
        <v>743</v>
      </c>
      <c r="E1363" t="s">
        <v>128</v>
      </c>
      <c r="F1363">
        <v>0</v>
      </c>
      <c r="G1363" t="s">
        <v>128</v>
      </c>
      <c r="H1363" t="s">
        <v>128</v>
      </c>
      <c r="I1363" t="s">
        <v>128</v>
      </c>
      <c r="J1363" t="s">
        <v>128</v>
      </c>
      <c r="K1363" t="s">
        <v>128</v>
      </c>
      <c r="L1363" t="s">
        <v>128</v>
      </c>
      <c r="M1363" t="s">
        <v>2026</v>
      </c>
      <c r="N1363" t="b">
        <v>0</v>
      </c>
    </row>
    <row r="1364" spans="1:14">
      <c r="A1364">
        <v>91</v>
      </c>
      <c r="B1364">
        <v>22</v>
      </c>
      <c r="C1364" t="s">
        <v>128</v>
      </c>
      <c r="D1364" t="s">
        <v>743</v>
      </c>
      <c r="E1364" t="s">
        <v>128</v>
      </c>
      <c r="F1364">
        <v>0</v>
      </c>
      <c r="G1364" t="s">
        <v>128</v>
      </c>
      <c r="H1364" t="s">
        <v>128</v>
      </c>
      <c r="I1364" t="s">
        <v>128</v>
      </c>
      <c r="J1364" t="s">
        <v>128</v>
      </c>
      <c r="K1364" t="s">
        <v>128</v>
      </c>
      <c r="L1364" t="s">
        <v>128</v>
      </c>
      <c r="M1364" t="s">
        <v>2027</v>
      </c>
      <c r="N1364" t="b">
        <v>0</v>
      </c>
    </row>
    <row r="1365" spans="1:14">
      <c r="A1365">
        <v>91</v>
      </c>
      <c r="B1365">
        <v>23</v>
      </c>
      <c r="C1365" t="s">
        <v>128</v>
      </c>
      <c r="D1365" t="s">
        <v>743</v>
      </c>
      <c r="E1365" t="s">
        <v>128</v>
      </c>
      <c r="F1365">
        <v>0</v>
      </c>
      <c r="G1365" t="s">
        <v>128</v>
      </c>
      <c r="H1365" t="s">
        <v>128</v>
      </c>
      <c r="I1365" t="s">
        <v>128</v>
      </c>
      <c r="J1365" t="s">
        <v>128</v>
      </c>
      <c r="K1365" t="s">
        <v>128</v>
      </c>
      <c r="L1365" t="s">
        <v>128</v>
      </c>
      <c r="M1365" t="s">
        <v>2028</v>
      </c>
      <c r="N1365" t="b">
        <v>0</v>
      </c>
    </row>
    <row r="1366" spans="1:14">
      <c r="A1366">
        <v>91</v>
      </c>
      <c r="B1366">
        <v>24</v>
      </c>
      <c r="C1366" t="s">
        <v>128</v>
      </c>
      <c r="D1366" t="s">
        <v>743</v>
      </c>
      <c r="E1366" t="s">
        <v>128</v>
      </c>
      <c r="F1366">
        <v>0</v>
      </c>
      <c r="G1366" t="s">
        <v>128</v>
      </c>
      <c r="H1366" t="s">
        <v>128</v>
      </c>
      <c r="I1366" t="s">
        <v>128</v>
      </c>
      <c r="J1366" t="s">
        <v>128</v>
      </c>
      <c r="K1366" t="s">
        <v>128</v>
      </c>
      <c r="L1366" t="s">
        <v>128</v>
      </c>
      <c r="M1366" t="s">
        <v>2029</v>
      </c>
      <c r="N1366" t="b">
        <v>0</v>
      </c>
    </row>
    <row r="1367" spans="1:14">
      <c r="A1367">
        <v>91</v>
      </c>
      <c r="B1367">
        <v>25</v>
      </c>
      <c r="C1367" t="s">
        <v>128</v>
      </c>
      <c r="D1367" t="s">
        <v>743</v>
      </c>
      <c r="E1367" t="s">
        <v>128</v>
      </c>
      <c r="F1367">
        <v>0</v>
      </c>
      <c r="G1367" t="s">
        <v>128</v>
      </c>
      <c r="H1367" t="s">
        <v>128</v>
      </c>
      <c r="I1367" t="s">
        <v>128</v>
      </c>
      <c r="J1367" t="s">
        <v>128</v>
      </c>
      <c r="K1367" t="s">
        <v>128</v>
      </c>
      <c r="L1367" t="s">
        <v>128</v>
      </c>
      <c r="M1367" t="s">
        <v>2030</v>
      </c>
      <c r="N1367" t="b">
        <v>0</v>
      </c>
    </row>
    <row r="1368" spans="1:14">
      <c r="A1368">
        <v>91</v>
      </c>
      <c r="B1368">
        <v>26</v>
      </c>
      <c r="C1368" t="s">
        <v>128</v>
      </c>
      <c r="D1368" t="s">
        <v>743</v>
      </c>
      <c r="E1368" t="s">
        <v>128</v>
      </c>
      <c r="F1368">
        <v>0</v>
      </c>
      <c r="G1368" t="s">
        <v>128</v>
      </c>
      <c r="H1368" t="s">
        <v>128</v>
      </c>
      <c r="I1368" t="s">
        <v>128</v>
      </c>
      <c r="J1368" t="s">
        <v>128</v>
      </c>
      <c r="K1368" t="s">
        <v>128</v>
      </c>
      <c r="L1368" t="s">
        <v>128</v>
      </c>
      <c r="M1368" t="s">
        <v>2031</v>
      </c>
      <c r="N1368" t="b">
        <v>0</v>
      </c>
    </row>
    <row r="1369" spans="1:14">
      <c r="A1369">
        <v>93</v>
      </c>
      <c r="B1369">
        <v>0</v>
      </c>
      <c r="C1369" t="s">
        <v>160</v>
      </c>
      <c r="D1369" t="s">
        <v>726</v>
      </c>
      <c r="E1369" t="s">
        <v>83</v>
      </c>
      <c r="F1369">
        <v>40</v>
      </c>
      <c r="G1369" t="s">
        <v>128</v>
      </c>
      <c r="H1369" t="s">
        <v>128</v>
      </c>
      <c r="I1369" t="s">
        <v>83</v>
      </c>
      <c r="J1369" t="s">
        <v>128</v>
      </c>
      <c r="K1369" t="s">
        <v>128</v>
      </c>
      <c r="L1369" t="s">
        <v>128</v>
      </c>
      <c r="M1369" t="s">
        <v>2032</v>
      </c>
      <c r="N1369" t="b">
        <v>0</v>
      </c>
    </row>
    <row r="1370" spans="1:14">
      <c r="A1370">
        <v>93</v>
      </c>
      <c r="B1370">
        <v>1</v>
      </c>
      <c r="C1370" t="s">
        <v>212</v>
      </c>
      <c r="D1370" t="s">
        <v>726</v>
      </c>
      <c r="E1370" t="s">
        <v>87</v>
      </c>
      <c r="F1370">
        <v>40</v>
      </c>
      <c r="G1370" t="s">
        <v>128</v>
      </c>
      <c r="H1370" t="s">
        <v>128</v>
      </c>
      <c r="I1370" t="s">
        <v>87</v>
      </c>
      <c r="J1370" t="s">
        <v>128</v>
      </c>
      <c r="K1370" t="s">
        <v>128</v>
      </c>
      <c r="L1370" t="s">
        <v>128</v>
      </c>
      <c r="M1370" t="s">
        <v>2033</v>
      </c>
      <c r="N1370" t="b">
        <v>0</v>
      </c>
    </row>
    <row r="1371" spans="1:14">
      <c r="A1371">
        <v>93</v>
      </c>
      <c r="B1371">
        <v>2</v>
      </c>
      <c r="C1371" t="s">
        <v>189</v>
      </c>
      <c r="D1371" t="s">
        <v>726</v>
      </c>
      <c r="E1371" t="s">
        <v>93</v>
      </c>
      <c r="F1371">
        <v>50</v>
      </c>
      <c r="G1371" t="s">
        <v>128</v>
      </c>
      <c r="H1371" t="s">
        <v>128</v>
      </c>
      <c r="I1371" t="s">
        <v>93</v>
      </c>
      <c r="J1371" t="s">
        <v>128</v>
      </c>
      <c r="K1371" t="s">
        <v>128</v>
      </c>
      <c r="L1371" t="s">
        <v>128</v>
      </c>
      <c r="M1371" t="s">
        <v>2034</v>
      </c>
      <c r="N1371" t="b">
        <v>0</v>
      </c>
    </row>
    <row r="1372" spans="1:14">
      <c r="A1372">
        <v>93</v>
      </c>
      <c r="B1372">
        <v>3</v>
      </c>
      <c r="C1372" t="s">
        <v>446</v>
      </c>
      <c r="D1372" t="s">
        <v>726</v>
      </c>
      <c r="E1372" t="s">
        <v>299</v>
      </c>
      <c r="F1372">
        <v>40</v>
      </c>
      <c r="G1372" t="s">
        <v>128</v>
      </c>
      <c r="H1372" t="s">
        <v>1899</v>
      </c>
      <c r="I1372" t="s">
        <v>1900</v>
      </c>
      <c r="J1372" t="s">
        <v>128</v>
      </c>
      <c r="K1372" t="s">
        <v>764</v>
      </c>
      <c r="L1372" t="s">
        <v>765</v>
      </c>
      <c r="M1372" t="s">
        <v>2035</v>
      </c>
      <c r="N1372" t="b">
        <v>0</v>
      </c>
    </row>
    <row r="1373" spans="1:14">
      <c r="A1373">
        <v>93</v>
      </c>
      <c r="B1373">
        <v>4</v>
      </c>
      <c r="C1373" t="s">
        <v>193</v>
      </c>
      <c r="D1373" t="s">
        <v>726</v>
      </c>
      <c r="E1373" t="s">
        <v>115</v>
      </c>
      <c r="F1373">
        <v>60</v>
      </c>
      <c r="G1373" t="s">
        <v>128</v>
      </c>
      <c r="H1373" t="s">
        <v>128</v>
      </c>
      <c r="I1373" t="s">
        <v>115</v>
      </c>
      <c r="J1373" t="s">
        <v>128</v>
      </c>
      <c r="K1373" t="s">
        <v>128</v>
      </c>
      <c r="L1373" t="s">
        <v>128</v>
      </c>
      <c r="M1373" t="s">
        <v>2036</v>
      </c>
      <c r="N1373" t="b">
        <v>0</v>
      </c>
    </row>
    <row r="1374" spans="1:14">
      <c r="A1374">
        <v>93</v>
      </c>
      <c r="B1374">
        <v>5</v>
      </c>
      <c r="C1374" t="s">
        <v>214</v>
      </c>
      <c r="D1374" t="s">
        <v>726</v>
      </c>
      <c r="E1374" t="s">
        <v>109</v>
      </c>
      <c r="F1374">
        <v>40</v>
      </c>
      <c r="G1374" t="s">
        <v>128</v>
      </c>
      <c r="H1374" t="s">
        <v>128</v>
      </c>
      <c r="I1374" t="s">
        <v>109</v>
      </c>
      <c r="J1374" t="s">
        <v>128</v>
      </c>
      <c r="K1374" t="s">
        <v>128</v>
      </c>
      <c r="L1374" t="s">
        <v>128</v>
      </c>
      <c r="M1374" t="s">
        <v>2037</v>
      </c>
      <c r="N1374" t="b">
        <v>0</v>
      </c>
    </row>
    <row r="1375" spans="1:14">
      <c r="A1375">
        <v>93</v>
      </c>
      <c r="B1375">
        <v>6</v>
      </c>
      <c r="C1375" t="s">
        <v>184</v>
      </c>
      <c r="D1375" t="s">
        <v>726</v>
      </c>
      <c r="E1375" t="s">
        <v>61</v>
      </c>
      <c r="F1375">
        <v>40</v>
      </c>
      <c r="G1375" t="s">
        <v>128</v>
      </c>
      <c r="H1375" t="s">
        <v>128</v>
      </c>
      <c r="I1375" t="s">
        <v>61</v>
      </c>
      <c r="J1375" t="s">
        <v>128</v>
      </c>
      <c r="K1375" t="s">
        <v>128</v>
      </c>
      <c r="L1375" t="s">
        <v>128</v>
      </c>
      <c r="M1375" t="s">
        <v>2038</v>
      </c>
      <c r="N1375" t="b">
        <v>0</v>
      </c>
    </row>
    <row r="1376" spans="1:14">
      <c r="A1376">
        <v>93</v>
      </c>
      <c r="B1376">
        <v>7</v>
      </c>
      <c r="C1376" t="s">
        <v>461</v>
      </c>
      <c r="D1376" t="s">
        <v>726</v>
      </c>
      <c r="E1376" t="s">
        <v>91</v>
      </c>
      <c r="F1376">
        <v>30</v>
      </c>
      <c r="G1376" t="s">
        <v>128</v>
      </c>
      <c r="H1376" t="s">
        <v>128</v>
      </c>
      <c r="I1376" t="s">
        <v>91</v>
      </c>
      <c r="J1376" t="s">
        <v>128</v>
      </c>
      <c r="K1376" t="s">
        <v>128</v>
      </c>
      <c r="L1376" t="s">
        <v>128</v>
      </c>
      <c r="M1376" t="s">
        <v>2039</v>
      </c>
      <c r="N1376" t="b">
        <v>0</v>
      </c>
    </row>
    <row r="1377" spans="1:14">
      <c r="A1377">
        <v>93</v>
      </c>
      <c r="B1377">
        <v>8</v>
      </c>
      <c r="C1377" t="s">
        <v>462</v>
      </c>
      <c r="D1377" t="s">
        <v>726</v>
      </c>
      <c r="E1377" t="s">
        <v>547</v>
      </c>
      <c r="F1377">
        <v>50</v>
      </c>
      <c r="G1377" t="s">
        <v>128</v>
      </c>
      <c r="H1377" t="s">
        <v>582</v>
      </c>
      <c r="I1377" t="s">
        <v>375</v>
      </c>
      <c r="J1377" t="s">
        <v>128</v>
      </c>
      <c r="K1377" t="s">
        <v>803</v>
      </c>
      <c r="L1377" t="s">
        <v>804</v>
      </c>
      <c r="M1377" t="s">
        <v>2040</v>
      </c>
      <c r="N1377" t="b">
        <v>0</v>
      </c>
    </row>
    <row r="1378" spans="1:14">
      <c r="A1378">
        <v>93</v>
      </c>
      <c r="B1378">
        <v>9</v>
      </c>
      <c r="C1378" t="s">
        <v>449</v>
      </c>
      <c r="D1378" t="s">
        <v>726</v>
      </c>
      <c r="E1378" t="s">
        <v>547</v>
      </c>
      <c r="F1378">
        <v>50</v>
      </c>
      <c r="G1378" t="s">
        <v>128</v>
      </c>
      <c r="H1378" t="s">
        <v>557</v>
      </c>
      <c r="I1378" t="s">
        <v>334</v>
      </c>
      <c r="J1378" t="s">
        <v>128</v>
      </c>
      <c r="K1378" t="s">
        <v>827</v>
      </c>
      <c r="L1378" t="s">
        <v>828</v>
      </c>
      <c r="M1378" t="s">
        <v>2041</v>
      </c>
      <c r="N1378" t="b">
        <v>0</v>
      </c>
    </row>
    <row r="1379" spans="1:14">
      <c r="A1379">
        <v>93</v>
      </c>
      <c r="B1379">
        <v>10</v>
      </c>
      <c r="C1379" t="s">
        <v>128</v>
      </c>
      <c r="D1379" t="s">
        <v>726</v>
      </c>
      <c r="E1379" t="s">
        <v>128</v>
      </c>
      <c r="F1379">
        <v>0</v>
      </c>
      <c r="G1379" t="s">
        <v>128</v>
      </c>
      <c r="H1379" t="s">
        <v>128</v>
      </c>
      <c r="I1379" t="s">
        <v>128</v>
      </c>
      <c r="J1379" t="s">
        <v>128</v>
      </c>
      <c r="K1379" t="s">
        <v>128</v>
      </c>
      <c r="L1379" t="s">
        <v>128</v>
      </c>
      <c r="M1379" t="s">
        <v>2042</v>
      </c>
      <c r="N1379" t="b">
        <v>0</v>
      </c>
    </row>
    <row r="1380" spans="1:14">
      <c r="A1380">
        <v>93</v>
      </c>
      <c r="B1380">
        <v>11</v>
      </c>
      <c r="C1380" t="s">
        <v>128</v>
      </c>
      <c r="D1380" t="s">
        <v>726</v>
      </c>
      <c r="E1380" t="s">
        <v>128</v>
      </c>
      <c r="F1380">
        <v>0</v>
      </c>
      <c r="G1380" t="s">
        <v>128</v>
      </c>
      <c r="H1380" t="s">
        <v>128</v>
      </c>
      <c r="I1380" t="s">
        <v>128</v>
      </c>
      <c r="J1380" t="s">
        <v>128</v>
      </c>
      <c r="K1380" t="s">
        <v>128</v>
      </c>
      <c r="L1380" t="s">
        <v>128</v>
      </c>
      <c r="M1380" t="s">
        <v>2043</v>
      </c>
      <c r="N1380" t="b">
        <v>0</v>
      </c>
    </row>
    <row r="1381" spans="1:14">
      <c r="A1381">
        <v>93</v>
      </c>
      <c r="B1381">
        <v>12</v>
      </c>
      <c r="C1381" t="s">
        <v>128</v>
      </c>
      <c r="D1381" t="s">
        <v>726</v>
      </c>
      <c r="E1381" t="s">
        <v>128</v>
      </c>
      <c r="F1381">
        <v>0</v>
      </c>
      <c r="G1381" t="s">
        <v>128</v>
      </c>
      <c r="H1381" t="s">
        <v>128</v>
      </c>
      <c r="I1381" t="s">
        <v>128</v>
      </c>
      <c r="J1381" t="s">
        <v>128</v>
      </c>
      <c r="K1381" t="s">
        <v>128</v>
      </c>
      <c r="L1381" t="s">
        <v>128</v>
      </c>
      <c r="M1381" t="s">
        <v>2044</v>
      </c>
      <c r="N1381" t="b">
        <v>0</v>
      </c>
    </row>
    <row r="1382" spans="1:14">
      <c r="A1382">
        <v>93</v>
      </c>
      <c r="B1382">
        <v>13</v>
      </c>
      <c r="C1382" t="s">
        <v>128</v>
      </c>
      <c r="D1382" t="s">
        <v>726</v>
      </c>
      <c r="E1382" t="s">
        <v>128</v>
      </c>
      <c r="F1382">
        <v>0</v>
      </c>
      <c r="G1382" t="s">
        <v>128</v>
      </c>
      <c r="H1382" t="s">
        <v>128</v>
      </c>
      <c r="I1382" t="s">
        <v>128</v>
      </c>
      <c r="J1382" t="s">
        <v>128</v>
      </c>
      <c r="K1382" t="s">
        <v>128</v>
      </c>
      <c r="L1382" t="s">
        <v>128</v>
      </c>
      <c r="M1382" t="s">
        <v>2045</v>
      </c>
      <c r="N1382" t="b">
        <v>0</v>
      </c>
    </row>
    <row r="1383" spans="1:14">
      <c r="A1383">
        <v>93</v>
      </c>
      <c r="B1383">
        <v>14</v>
      </c>
      <c r="C1383" t="s">
        <v>128</v>
      </c>
      <c r="D1383" t="s">
        <v>726</v>
      </c>
      <c r="E1383" t="s">
        <v>128</v>
      </c>
      <c r="F1383">
        <v>0</v>
      </c>
      <c r="G1383" t="s">
        <v>128</v>
      </c>
      <c r="H1383" t="s">
        <v>128</v>
      </c>
      <c r="I1383" t="s">
        <v>128</v>
      </c>
      <c r="J1383" t="s">
        <v>128</v>
      </c>
      <c r="K1383" t="s">
        <v>128</v>
      </c>
      <c r="L1383" t="s">
        <v>128</v>
      </c>
      <c r="M1383" t="s">
        <v>2046</v>
      </c>
      <c r="N1383" t="b">
        <v>0</v>
      </c>
    </row>
    <row r="1384" spans="1:14">
      <c r="A1384">
        <v>93</v>
      </c>
      <c r="B1384">
        <v>15</v>
      </c>
      <c r="C1384" t="s">
        <v>128</v>
      </c>
      <c r="D1384" t="s">
        <v>726</v>
      </c>
      <c r="E1384" t="s">
        <v>128</v>
      </c>
      <c r="F1384">
        <v>0</v>
      </c>
      <c r="G1384" t="s">
        <v>128</v>
      </c>
      <c r="H1384" t="s">
        <v>128</v>
      </c>
      <c r="I1384" t="s">
        <v>128</v>
      </c>
      <c r="J1384" t="s">
        <v>128</v>
      </c>
      <c r="K1384" t="s">
        <v>128</v>
      </c>
      <c r="L1384" t="s">
        <v>128</v>
      </c>
      <c r="M1384" t="s">
        <v>2047</v>
      </c>
      <c r="N1384" t="b">
        <v>0</v>
      </c>
    </row>
    <row r="1385" spans="1:14">
      <c r="A1385">
        <v>93</v>
      </c>
      <c r="B1385">
        <v>16</v>
      </c>
      <c r="C1385" t="s">
        <v>128</v>
      </c>
      <c r="D1385" t="s">
        <v>743</v>
      </c>
      <c r="E1385" t="s">
        <v>128</v>
      </c>
      <c r="F1385">
        <v>0</v>
      </c>
      <c r="G1385" t="s">
        <v>128</v>
      </c>
      <c r="H1385" t="s">
        <v>128</v>
      </c>
      <c r="I1385" t="s">
        <v>128</v>
      </c>
      <c r="J1385" t="s">
        <v>128</v>
      </c>
      <c r="K1385" t="s">
        <v>128</v>
      </c>
      <c r="L1385" t="s">
        <v>128</v>
      </c>
      <c r="M1385" t="s">
        <v>2048</v>
      </c>
      <c r="N1385" t="b">
        <v>0</v>
      </c>
    </row>
    <row r="1386" spans="1:14">
      <c r="A1386">
        <v>93</v>
      </c>
      <c r="B1386">
        <v>17</v>
      </c>
      <c r="C1386" t="s">
        <v>128</v>
      </c>
      <c r="D1386" t="s">
        <v>743</v>
      </c>
      <c r="E1386" t="s">
        <v>128</v>
      </c>
      <c r="F1386">
        <v>0</v>
      </c>
      <c r="G1386" t="s">
        <v>128</v>
      </c>
      <c r="H1386" t="s">
        <v>128</v>
      </c>
      <c r="I1386" t="s">
        <v>128</v>
      </c>
      <c r="J1386" t="s">
        <v>128</v>
      </c>
      <c r="K1386" t="s">
        <v>128</v>
      </c>
      <c r="L1386" t="s">
        <v>128</v>
      </c>
      <c r="M1386" t="s">
        <v>2049</v>
      </c>
      <c r="N1386" t="b">
        <v>0</v>
      </c>
    </row>
    <row r="1387" spans="1:14">
      <c r="A1387">
        <v>93</v>
      </c>
      <c r="B1387">
        <v>18</v>
      </c>
      <c r="C1387" t="s">
        <v>128</v>
      </c>
      <c r="D1387" t="s">
        <v>743</v>
      </c>
      <c r="E1387" t="s">
        <v>128</v>
      </c>
      <c r="F1387">
        <v>0</v>
      </c>
      <c r="G1387" t="s">
        <v>128</v>
      </c>
      <c r="H1387" t="s">
        <v>128</v>
      </c>
      <c r="I1387" t="s">
        <v>128</v>
      </c>
      <c r="J1387" t="s">
        <v>128</v>
      </c>
      <c r="K1387" t="s">
        <v>128</v>
      </c>
      <c r="L1387" t="s">
        <v>128</v>
      </c>
      <c r="M1387" t="s">
        <v>2050</v>
      </c>
      <c r="N1387" t="b">
        <v>0</v>
      </c>
    </row>
    <row r="1388" spans="1:14">
      <c r="A1388">
        <v>93</v>
      </c>
      <c r="B1388">
        <v>19</v>
      </c>
      <c r="C1388" t="s">
        <v>128</v>
      </c>
      <c r="D1388" t="s">
        <v>743</v>
      </c>
      <c r="E1388" t="s">
        <v>128</v>
      </c>
      <c r="F1388">
        <v>0</v>
      </c>
      <c r="G1388" t="s">
        <v>128</v>
      </c>
      <c r="H1388" t="s">
        <v>128</v>
      </c>
      <c r="I1388" t="s">
        <v>128</v>
      </c>
      <c r="J1388" t="s">
        <v>128</v>
      </c>
      <c r="K1388" t="s">
        <v>128</v>
      </c>
      <c r="L1388" t="s">
        <v>128</v>
      </c>
      <c r="M1388" t="s">
        <v>2051</v>
      </c>
      <c r="N1388" t="b">
        <v>0</v>
      </c>
    </row>
    <row r="1389" spans="1:14">
      <c r="A1389">
        <v>93</v>
      </c>
      <c r="B1389">
        <v>20</v>
      </c>
      <c r="C1389" t="s">
        <v>128</v>
      </c>
      <c r="D1389" t="s">
        <v>743</v>
      </c>
      <c r="E1389" t="s">
        <v>128</v>
      </c>
      <c r="F1389">
        <v>0</v>
      </c>
      <c r="G1389" t="s">
        <v>128</v>
      </c>
      <c r="H1389" t="s">
        <v>128</v>
      </c>
      <c r="I1389" t="s">
        <v>128</v>
      </c>
      <c r="J1389" t="s">
        <v>128</v>
      </c>
      <c r="K1389" t="s">
        <v>128</v>
      </c>
      <c r="L1389" t="s">
        <v>128</v>
      </c>
      <c r="M1389" t="s">
        <v>2052</v>
      </c>
      <c r="N1389" t="b">
        <v>0</v>
      </c>
    </row>
    <row r="1390" spans="1:14">
      <c r="A1390">
        <v>93</v>
      </c>
      <c r="B1390">
        <v>21</v>
      </c>
      <c r="C1390" t="s">
        <v>128</v>
      </c>
      <c r="D1390" t="s">
        <v>743</v>
      </c>
      <c r="E1390" t="s">
        <v>128</v>
      </c>
      <c r="F1390">
        <v>0</v>
      </c>
      <c r="G1390" t="s">
        <v>128</v>
      </c>
      <c r="H1390" t="s">
        <v>128</v>
      </c>
      <c r="I1390" t="s">
        <v>128</v>
      </c>
      <c r="J1390" t="s">
        <v>128</v>
      </c>
      <c r="K1390" t="s">
        <v>128</v>
      </c>
      <c r="L1390" t="s">
        <v>128</v>
      </c>
      <c r="M1390" t="s">
        <v>2053</v>
      </c>
      <c r="N1390" t="b">
        <v>0</v>
      </c>
    </row>
    <row r="1391" spans="1:14">
      <c r="A1391">
        <v>93</v>
      </c>
      <c r="B1391">
        <v>22</v>
      </c>
      <c r="C1391" t="s">
        <v>128</v>
      </c>
      <c r="D1391" t="s">
        <v>743</v>
      </c>
      <c r="E1391" t="s">
        <v>128</v>
      </c>
      <c r="F1391">
        <v>0</v>
      </c>
      <c r="G1391" t="s">
        <v>128</v>
      </c>
      <c r="H1391" t="s">
        <v>128</v>
      </c>
      <c r="I1391" t="s">
        <v>128</v>
      </c>
      <c r="J1391" t="s">
        <v>128</v>
      </c>
      <c r="K1391" t="s">
        <v>128</v>
      </c>
      <c r="L1391" t="s">
        <v>128</v>
      </c>
      <c r="M1391" t="s">
        <v>2054</v>
      </c>
      <c r="N1391" t="b">
        <v>0</v>
      </c>
    </row>
    <row r="1392" spans="1:14">
      <c r="A1392">
        <v>93</v>
      </c>
      <c r="B1392">
        <v>23</v>
      </c>
      <c r="C1392" t="s">
        <v>128</v>
      </c>
      <c r="D1392" t="s">
        <v>743</v>
      </c>
      <c r="E1392" t="s">
        <v>128</v>
      </c>
      <c r="F1392">
        <v>0</v>
      </c>
      <c r="G1392" t="s">
        <v>128</v>
      </c>
      <c r="H1392" t="s">
        <v>128</v>
      </c>
      <c r="I1392" t="s">
        <v>128</v>
      </c>
      <c r="J1392" t="s">
        <v>128</v>
      </c>
      <c r="K1392" t="s">
        <v>128</v>
      </c>
      <c r="L1392" t="s">
        <v>128</v>
      </c>
      <c r="M1392" t="s">
        <v>2055</v>
      </c>
      <c r="N1392" t="b">
        <v>0</v>
      </c>
    </row>
    <row r="1393" spans="1:14">
      <c r="A1393">
        <v>93</v>
      </c>
      <c r="B1393">
        <v>24</v>
      </c>
      <c r="C1393" t="s">
        <v>128</v>
      </c>
      <c r="D1393" t="s">
        <v>743</v>
      </c>
      <c r="E1393" t="s">
        <v>128</v>
      </c>
      <c r="F1393">
        <v>0</v>
      </c>
      <c r="G1393" t="s">
        <v>128</v>
      </c>
      <c r="H1393" t="s">
        <v>128</v>
      </c>
      <c r="I1393" t="s">
        <v>128</v>
      </c>
      <c r="J1393" t="s">
        <v>128</v>
      </c>
      <c r="K1393" t="s">
        <v>128</v>
      </c>
      <c r="L1393" t="s">
        <v>128</v>
      </c>
      <c r="M1393" t="s">
        <v>2056</v>
      </c>
      <c r="N1393" t="b">
        <v>0</v>
      </c>
    </row>
    <row r="1394" spans="1:14">
      <c r="A1394">
        <v>93</v>
      </c>
      <c r="B1394">
        <v>25</v>
      </c>
      <c r="C1394" t="s">
        <v>128</v>
      </c>
      <c r="D1394" t="s">
        <v>743</v>
      </c>
      <c r="E1394" t="s">
        <v>128</v>
      </c>
      <c r="F1394">
        <v>0</v>
      </c>
      <c r="G1394" t="s">
        <v>128</v>
      </c>
      <c r="H1394" t="s">
        <v>128</v>
      </c>
      <c r="I1394" t="s">
        <v>128</v>
      </c>
      <c r="J1394" t="s">
        <v>128</v>
      </c>
      <c r="K1394" t="s">
        <v>128</v>
      </c>
      <c r="L1394" t="s">
        <v>128</v>
      </c>
      <c r="M1394" t="s">
        <v>2057</v>
      </c>
      <c r="N1394" t="b">
        <v>0</v>
      </c>
    </row>
    <row r="1395" spans="1:14">
      <c r="A1395">
        <v>93</v>
      </c>
      <c r="B1395">
        <v>26</v>
      </c>
      <c r="C1395" t="s">
        <v>128</v>
      </c>
      <c r="D1395" t="s">
        <v>743</v>
      </c>
      <c r="E1395" t="s">
        <v>128</v>
      </c>
      <c r="F1395">
        <v>0</v>
      </c>
      <c r="G1395" t="s">
        <v>128</v>
      </c>
      <c r="H1395" t="s">
        <v>128</v>
      </c>
      <c r="I1395" t="s">
        <v>128</v>
      </c>
      <c r="J1395" t="s">
        <v>128</v>
      </c>
      <c r="K1395" t="s">
        <v>128</v>
      </c>
      <c r="L1395" t="s">
        <v>128</v>
      </c>
      <c r="M1395" t="s">
        <v>2058</v>
      </c>
      <c r="N1395" t="b">
        <v>0</v>
      </c>
    </row>
    <row r="1396" spans="1:14">
      <c r="A1396">
        <v>94</v>
      </c>
      <c r="B1396">
        <v>0</v>
      </c>
      <c r="C1396" t="s">
        <v>218</v>
      </c>
      <c r="D1396" t="s">
        <v>726</v>
      </c>
      <c r="E1396" t="s">
        <v>65</v>
      </c>
      <c r="F1396">
        <v>60</v>
      </c>
      <c r="G1396" t="s">
        <v>128</v>
      </c>
      <c r="H1396" t="s">
        <v>128</v>
      </c>
      <c r="I1396" t="s">
        <v>65</v>
      </c>
      <c r="J1396" t="s">
        <v>128</v>
      </c>
      <c r="K1396" t="s">
        <v>128</v>
      </c>
      <c r="L1396" t="s">
        <v>128</v>
      </c>
      <c r="M1396" t="s">
        <v>2059</v>
      </c>
      <c r="N1396" t="b">
        <v>0</v>
      </c>
    </row>
    <row r="1397" spans="1:14">
      <c r="A1397">
        <v>94</v>
      </c>
      <c r="B1397">
        <v>1</v>
      </c>
      <c r="C1397" t="s">
        <v>219</v>
      </c>
      <c r="D1397" t="s">
        <v>726</v>
      </c>
      <c r="E1397" t="s">
        <v>77</v>
      </c>
      <c r="F1397">
        <v>60</v>
      </c>
      <c r="G1397" t="s">
        <v>128</v>
      </c>
      <c r="H1397" t="s">
        <v>128</v>
      </c>
      <c r="I1397" t="s">
        <v>77</v>
      </c>
      <c r="J1397" t="s">
        <v>128</v>
      </c>
      <c r="K1397" t="s">
        <v>128</v>
      </c>
      <c r="L1397" t="s">
        <v>128</v>
      </c>
      <c r="M1397" t="s">
        <v>2060</v>
      </c>
      <c r="N1397" t="b">
        <v>0</v>
      </c>
    </row>
    <row r="1398" spans="1:14">
      <c r="A1398">
        <v>94</v>
      </c>
      <c r="B1398">
        <v>2</v>
      </c>
      <c r="C1398" t="s">
        <v>292</v>
      </c>
      <c r="D1398" t="s">
        <v>726</v>
      </c>
      <c r="E1398" t="s">
        <v>75</v>
      </c>
      <c r="F1398">
        <v>40</v>
      </c>
      <c r="G1398" t="s">
        <v>128</v>
      </c>
      <c r="H1398" t="s">
        <v>128</v>
      </c>
      <c r="I1398" t="s">
        <v>75</v>
      </c>
      <c r="J1398" t="s">
        <v>128</v>
      </c>
      <c r="K1398" t="s">
        <v>128</v>
      </c>
      <c r="L1398" t="s">
        <v>128</v>
      </c>
      <c r="M1398" t="s">
        <v>2061</v>
      </c>
      <c r="N1398" t="b">
        <v>0</v>
      </c>
    </row>
    <row r="1399" spans="1:14">
      <c r="A1399">
        <v>94</v>
      </c>
      <c r="B1399">
        <v>3</v>
      </c>
      <c r="C1399" t="s">
        <v>383</v>
      </c>
      <c r="D1399" t="s">
        <v>726</v>
      </c>
      <c r="E1399" t="s">
        <v>95</v>
      </c>
      <c r="F1399">
        <v>60</v>
      </c>
      <c r="G1399" t="s">
        <v>128</v>
      </c>
      <c r="H1399" t="s">
        <v>128</v>
      </c>
      <c r="I1399" t="s">
        <v>95</v>
      </c>
      <c r="J1399" t="s">
        <v>128</v>
      </c>
      <c r="K1399" t="s">
        <v>128</v>
      </c>
      <c r="L1399" t="s">
        <v>128</v>
      </c>
      <c r="M1399" t="s">
        <v>2062</v>
      </c>
      <c r="N1399" t="b">
        <v>0</v>
      </c>
    </row>
    <row r="1400" spans="1:14">
      <c r="A1400">
        <v>94</v>
      </c>
      <c r="B1400">
        <v>4</v>
      </c>
      <c r="C1400" t="s">
        <v>458</v>
      </c>
      <c r="D1400" t="s">
        <v>726</v>
      </c>
      <c r="E1400" t="s">
        <v>97</v>
      </c>
      <c r="F1400">
        <v>60</v>
      </c>
      <c r="G1400" t="s">
        <v>128</v>
      </c>
      <c r="H1400" t="s">
        <v>128</v>
      </c>
      <c r="I1400" t="s">
        <v>97</v>
      </c>
      <c r="J1400" t="s">
        <v>128</v>
      </c>
      <c r="K1400" t="s">
        <v>128</v>
      </c>
      <c r="L1400" t="s">
        <v>128</v>
      </c>
      <c r="M1400" t="s">
        <v>2063</v>
      </c>
      <c r="N1400" t="b">
        <v>0</v>
      </c>
    </row>
    <row r="1401" spans="1:14">
      <c r="A1401">
        <v>94</v>
      </c>
      <c r="B1401">
        <v>5</v>
      </c>
      <c r="C1401" t="s">
        <v>191</v>
      </c>
      <c r="D1401" t="s">
        <v>726</v>
      </c>
      <c r="E1401" t="s">
        <v>101</v>
      </c>
      <c r="F1401">
        <v>50</v>
      </c>
      <c r="G1401" t="s">
        <v>128</v>
      </c>
      <c r="H1401" t="s">
        <v>128</v>
      </c>
      <c r="I1401" t="s">
        <v>101</v>
      </c>
      <c r="J1401" t="s">
        <v>128</v>
      </c>
      <c r="K1401" t="s">
        <v>128</v>
      </c>
      <c r="L1401" t="s">
        <v>128</v>
      </c>
      <c r="M1401" t="s">
        <v>2064</v>
      </c>
      <c r="N1401" t="b">
        <v>0</v>
      </c>
    </row>
    <row r="1402" spans="1:14">
      <c r="A1402">
        <v>94</v>
      </c>
      <c r="B1402">
        <v>6</v>
      </c>
      <c r="C1402" t="s">
        <v>289</v>
      </c>
      <c r="D1402" t="s">
        <v>726</v>
      </c>
      <c r="E1402" t="s">
        <v>103</v>
      </c>
      <c r="F1402">
        <v>40</v>
      </c>
      <c r="G1402" t="s">
        <v>128</v>
      </c>
      <c r="H1402" t="s">
        <v>128</v>
      </c>
      <c r="I1402" t="s">
        <v>103</v>
      </c>
      <c r="J1402" t="s">
        <v>128</v>
      </c>
      <c r="K1402" t="s">
        <v>128</v>
      </c>
      <c r="L1402" t="s">
        <v>128</v>
      </c>
      <c r="M1402" t="s">
        <v>2065</v>
      </c>
      <c r="N1402" t="b">
        <v>0</v>
      </c>
    </row>
    <row r="1403" spans="1:14">
      <c r="A1403">
        <v>94</v>
      </c>
      <c r="B1403">
        <v>7</v>
      </c>
      <c r="C1403" t="s">
        <v>279</v>
      </c>
      <c r="D1403" t="s">
        <v>726</v>
      </c>
      <c r="E1403" t="s">
        <v>112</v>
      </c>
      <c r="F1403">
        <v>60</v>
      </c>
      <c r="G1403" t="s">
        <v>128</v>
      </c>
      <c r="H1403" t="s">
        <v>128</v>
      </c>
      <c r="I1403" t="s">
        <v>112</v>
      </c>
      <c r="J1403" t="s">
        <v>128</v>
      </c>
      <c r="K1403" t="s">
        <v>128</v>
      </c>
      <c r="L1403" t="s">
        <v>128</v>
      </c>
      <c r="M1403" t="s">
        <v>2066</v>
      </c>
      <c r="N1403" t="b">
        <v>0</v>
      </c>
    </row>
    <row r="1404" spans="1:14">
      <c r="A1404">
        <v>94</v>
      </c>
      <c r="B1404">
        <v>8</v>
      </c>
      <c r="C1404" t="s">
        <v>200</v>
      </c>
      <c r="D1404" t="s">
        <v>726</v>
      </c>
      <c r="E1404" t="s">
        <v>113</v>
      </c>
      <c r="F1404">
        <v>50</v>
      </c>
      <c r="G1404" t="s">
        <v>128</v>
      </c>
      <c r="H1404" t="s">
        <v>128</v>
      </c>
      <c r="I1404" t="s">
        <v>113</v>
      </c>
      <c r="J1404" t="s">
        <v>128</v>
      </c>
      <c r="K1404" t="s">
        <v>128</v>
      </c>
      <c r="L1404" t="s">
        <v>128</v>
      </c>
      <c r="M1404" t="s">
        <v>2067</v>
      </c>
      <c r="N1404" t="b">
        <v>0</v>
      </c>
    </row>
    <row r="1405" spans="1:14">
      <c r="A1405">
        <v>94</v>
      </c>
      <c r="B1405">
        <v>9</v>
      </c>
      <c r="C1405" t="s">
        <v>356</v>
      </c>
      <c r="D1405" t="s">
        <v>726</v>
      </c>
      <c r="E1405" t="s">
        <v>333</v>
      </c>
      <c r="F1405">
        <v>20</v>
      </c>
      <c r="G1405" t="s">
        <v>128</v>
      </c>
      <c r="H1405" t="s">
        <v>550</v>
      </c>
      <c r="I1405" t="s">
        <v>447</v>
      </c>
      <c r="J1405" t="s">
        <v>128</v>
      </c>
      <c r="K1405" t="s">
        <v>923</v>
      </c>
      <c r="L1405" t="s">
        <v>924</v>
      </c>
      <c r="M1405" t="s">
        <v>2068</v>
      </c>
      <c r="N1405" t="b">
        <v>0</v>
      </c>
    </row>
    <row r="1406" spans="1:14">
      <c r="A1406">
        <v>94</v>
      </c>
      <c r="B1406">
        <v>10</v>
      </c>
      <c r="C1406" t="s">
        <v>224</v>
      </c>
      <c r="D1406" t="s">
        <v>726</v>
      </c>
      <c r="E1406" t="s">
        <v>102</v>
      </c>
      <c r="F1406">
        <v>50</v>
      </c>
      <c r="G1406" t="s">
        <v>128</v>
      </c>
      <c r="H1406" t="s">
        <v>128</v>
      </c>
      <c r="I1406" t="s">
        <v>102</v>
      </c>
      <c r="J1406" t="s">
        <v>128</v>
      </c>
      <c r="K1406" t="s">
        <v>128</v>
      </c>
      <c r="L1406" t="s">
        <v>128</v>
      </c>
      <c r="M1406" t="s">
        <v>2069</v>
      </c>
      <c r="N1406" t="b">
        <v>0</v>
      </c>
    </row>
    <row r="1407" spans="1:14">
      <c r="A1407">
        <v>94</v>
      </c>
      <c r="B1407">
        <v>11</v>
      </c>
      <c r="C1407" t="s">
        <v>172</v>
      </c>
      <c r="D1407" t="s">
        <v>726</v>
      </c>
      <c r="E1407" t="s">
        <v>106</v>
      </c>
      <c r="F1407">
        <v>50</v>
      </c>
      <c r="G1407" t="s">
        <v>128</v>
      </c>
      <c r="H1407" t="s">
        <v>128</v>
      </c>
      <c r="I1407" t="s">
        <v>106</v>
      </c>
      <c r="J1407" t="s">
        <v>128</v>
      </c>
      <c r="K1407" t="s">
        <v>128</v>
      </c>
      <c r="L1407" t="s">
        <v>128</v>
      </c>
      <c r="M1407" t="s">
        <v>2070</v>
      </c>
      <c r="N1407" t="b">
        <v>0</v>
      </c>
    </row>
    <row r="1408" spans="1:14">
      <c r="A1408">
        <v>94</v>
      </c>
      <c r="B1408">
        <v>12</v>
      </c>
      <c r="C1408" t="s">
        <v>225</v>
      </c>
      <c r="D1408" t="s">
        <v>726</v>
      </c>
      <c r="E1408" t="s">
        <v>107</v>
      </c>
      <c r="F1408">
        <v>50</v>
      </c>
      <c r="G1408" t="s">
        <v>128</v>
      </c>
      <c r="H1408" t="s">
        <v>128</v>
      </c>
      <c r="I1408" t="s">
        <v>107</v>
      </c>
      <c r="J1408" t="s">
        <v>128</v>
      </c>
      <c r="K1408" t="s">
        <v>128</v>
      </c>
      <c r="L1408" t="s">
        <v>128</v>
      </c>
      <c r="M1408" t="s">
        <v>2071</v>
      </c>
      <c r="N1408" t="b">
        <v>0</v>
      </c>
    </row>
    <row r="1409" spans="1:14">
      <c r="A1409">
        <v>94</v>
      </c>
      <c r="B1409">
        <v>13</v>
      </c>
      <c r="C1409" t="s">
        <v>234</v>
      </c>
      <c r="D1409" t="s">
        <v>726</v>
      </c>
      <c r="E1409" t="s">
        <v>108</v>
      </c>
      <c r="F1409">
        <v>50</v>
      </c>
      <c r="G1409" t="s">
        <v>128</v>
      </c>
      <c r="H1409" t="s">
        <v>128</v>
      </c>
      <c r="I1409" t="s">
        <v>108</v>
      </c>
      <c r="J1409" t="s">
        <v>128</v>
      </c>
      <c r="K1409" t="s">
        <v>128</v>
      </c>
      <c r="L1409" t="s">
        <v>128</v>
      </c>
      <c r="M1409" t="s">
        <v>2072</v>
      </c>
      <c r="N1409" t="b">
        <v>0</v>
      </c>
    </row>
    <row r="1410" spans="1:14">
      <c r="A1410">
        <v>94</v>
      </c>
      <c r="B1410">
        <v>14</v>
      </c>
      <c r="C1410" t="s">
        <v>128</v>
      </c>
      <c r="D1410" t="s">
        <v>726</v>
      </c>
      <c r="E1410" t="s">
        <v>128</v>
      </c>
      <c r="F1410">
        <v>0</v>
      </c>
      <c r="G1410" t="s">
        <v>128</v>
      </c>
      <c r="H1410" t="s">
        <v>128</v>
      </c>
      <c r="I1410" t="s">
        <v>128</v>
      </c>
      <c r="J1410" t="s">
        <v>128</v>
      </c>
      <c r="K1410" t="s">
        <v>128</v>
      </c>
      <c r="L1410" t="s">
        <v>128</v>
      </c>
      <c r="M1410" t="s">
        <v>2073</v>
      </c>
      <c r="N1410" t="b">
        <v>0</v>
      </c>
    </row>
    <row r="1411" spans="1:14">
      <c r="A1411">
        <v>94</v>
      </c>
      <c r="B1411">
        <v>15</v>
      </c>
      <c r="C1411" t="s">
        <v>128</v>
      </c>
      <c r="D1411" t="s">
        <v>726</v>
      </c>
      <c r="E1411" t="s">
        <v>128</v>
      </c>
      <c r="F1411">
        <v>0</v>
      </c>
      <c r="G1411" t="s">
        <v>128</v>
      </c>
      <c r="H1411" t="s">
        <v>128</v>
      </c>
      <c r="I1411" t="s">
        <v>128</v>
      </c>
      <c r="J1411" t="s">
        <v>128</v>
      </c>
      <c r="K1411" t="s">
        <v>128</v>
      </c>
      <c r="L1411" t="s">
        <v>128</v>
      </c>
      <c r="M1411" t="s">
        <v>2074</v>
      </c>
      <c r="N1411" t="b">
        <v>0</v>
      </c>
    </row>
    <row r="1412" spans="1:14">
      <c r="A1412">
        <v>94</v>
      </c>
      <c r="B1412">
        <v>16</v>
      </c>
      <c r="C1412" t="s">
        <v>128</v>
      </c>
      <c r="D1412" t="s">
        <v>743</v>
      </c>
      <c r="E1412" t="s">
        <v>128</v>
      </c>
      <c r="F1412">
        <v>0</v>
      </c>
      <c r="G1412" t="s">
        <v>128</v>
      </c>
      <c r="H1412" t="s">
        <v>128</v>
      </c>
      <c r="I1412" t="s">
        <v>128</v>
      </c>
      <c r="J1412" t="s">
        <v>128</v>
      </c>
      <c r="K1412" t="s">
        <v>128</v>
      </c>
      <c r="L1412" t="s">
        <v>128</v>
      </c>
      <c r="M1412" t="s">
        <v>2075</v>
      </c>
      <c r="N1412" t="b">
        <v>0</v>
      </c>
    </row>
    <row r="1413" spans="1:14">
      <c r="A1413">
        <v>94</v>
      </c>
      <c r="B1413">
        <v>17</v>
      </c>
      <c r="C1413" t="s">
        <v>128</v>
      </c>
      <c r="D1413" t="s">
        <v>743</v>
      </c>
      <c r="E1413" t="s">
        <v>128</v>
      </c>
      <c r="F1413">
        <v>0</v>
      </c>
      <c r="G1413" t="s">
        <v>128</v>
      </c>
      <c r="H1413" t="s">
        <v>128</v>
      </c>
      <c r="I1413" t="s">
        <v>128</v>
      </c>
      <c r="J1413" t="s">
        <v>128</v>
      </c>
      <c r="K1413" t="s">
        <v>128</v>
      </c>
      <c r="L1413" t="s">
        <v>128</v>
      </c>
      <c r="M1413" t="s">
        <v>2076</v>
      </c>
      <c r="N1413" t="b">
        <v>0</v>
      </c>
    </row>
    <row r="1414" spans="1:14">
      <c r="A1414">
        <v>94</v>
      </c>
      <c r="B1414">
        <v>18</v>
      </c>
      <c r="C1414" t="s">
        <v>128</v>
      </c>
      <c r="D1414" t="s">
        <v>743</v>
      </c>
      <c r="E1414" t="s">
        <v>128</v>
      </c>
      <c r="F1414">
        <v>0</v>
      </c>
      <c r="G1414" t="s">
        <v>128</v>
      </c>
      <c r="H1414" t="s">
        <v>128</v>
      </c>
      <c r="I1414" t="s">
        <v>128</v>
      </c>
      <c r="J1414" t="s">
        <v>128</v>
      </c>
      <c r="K1414" t="s">
        <v>128</v>
      </c>
      <c r="L1414" t="s">
        <v>128</v>
      </c>
      <c r="M1414" t="s">
        <v>2077</v>
      </c>
      <c r="N1414" t="b">
        <v>0</v>
      </c>
    </row>
    <row r="1415" spans="1:14">
      <c r="A1415">
        <v>94</v>
      </c>
      <c r="B1415">
        <v>19</v>
      </c>
      <c r="C1415" t="s">
        <v>128</v>
      </c>
      <c r="D1415" t="s">
        <v>743</v>
      </c>
      <c r="E1415" t="s">
        <v>128</v>
      </c>
      <c r="F1415">
        <v>0</v>
      </c>
      <c r="G1415" t="s">
        <v>128</v>
      </c>
      <c r="H1415" t="s">
        <v>128</v>
      </c>
      <c r="I1415" t="s">
        <v>128</v>
      </c>
      <c r="J1415" t="s">
        <v>128</v>
      </c>
      <c r="K1415" t="s">
        <v>128</v>
      </c>
      <c r="L1415" t="s">
        <v>128</v>
      </c>
      <c r="M1415" t="s">
        <v>2078</v>
      </c>
      <c r="N1415" t="b">
        <v>0</v>
      </c>
    </row>
    <row r="1416" spans="1:14">
      <c r="A1416">
        <v>94</v>
      </c>
      <c r="B1416">
        <v>20</v>
      </c>
      <c r="C1416" t="s">
        <v>128</v>
      </c>
      <c r="D1416" t="s">
        <v>743</v>
      </c>
      <c r="E1416" t="s">
        <v>128</v>
      </c>
      <c r="F1416">
        <v>0</v>
      </c>
      <c r="G1416" t="s">
        <v>128</v>
      </c>
      <c r="H1416" t="s">
        <v>128</v>
      </c>
      <c r="I1416" t="s">
        <v>128</v>
      </c>
      <c r="J1416" t="s">
        <v>128</v>
      </c>
      <c r="K1416" t="s">
        <v>128</v>
      </c>
      <c r="L1416" t="s">
        <v>128</v>
      </c>
      <c r="M1416" t="s">
        <v>2079</v>
      </c>
      <c r="N1416" t="b">
        <v>0</v>
      </c>
    </row>
    <row r="1417" spans="1:14">
      <c r="A1417">
        <v>94</v>
      </c>
      <c r="B1417">
        <v>21</v>
      </c>
      <c r="C1417" t="s">
        <v>128</v>
      </c>
      <c r="D1417" t="s">
        <v>743</v>
      </c>
      <c r="E1417" t="s">
        <v>128</v>
      </c>
      <c r="F1417">
        <v>0</v>
      </c>
      <c r="G1417" t="s">
        <v>128</v>
      </c>
      <c r="H1417" t="s">
        <v>128</v>
      </c>
      <c r="I1417" t="s">
        <v>128</v>
      </c>
      <c r="J1417" t="s">
        <v>128</v>
      </c>
      <c r="K1417" t="s">
        <v>128</v>
      </c>
      <c r="L1417" t="s">
        <v>128</v>
      </c>
      <c r="M1417" t="s">
        <v>2080</v>
      </c>
      <c r="N1417" t="b">
        <v>0</v>
      </c>
    </row>
    <row r="1418" spans="1:14">
      <c r="A1418">
        <v>94</v>
      </c>
      <c r="B1418">
        <v>22</v>
      </c>
      <c r="C1418" t="s">
        <v>128</v>
      </c>
      <c r="D1418" t="s">
        <v>743</v>
      </c>
      <c r="E1418" t="s">
        <v>128</v>
      </c>
      <c r="F1418">
        <v>0</v>
      </c>
      <c r="G1418" t="s">
        <v>128</v>
      </c>
      <c r="H1418" t="s">
        <v>128</v>
      </c>
      <c r="I1418" t="s">
        <v>128</v>
      </c>
      <c r="J1418" t="s">
        <v>128</v>
      </c>
      <c r="K1418" t="s">
        <v>128</v>
      </c>
      <c r="L1418" t="s">
        <v>128</v>
      </c>
      <c r="M1418" t="s">
        <v>2081</v>
      </c>
      <c r="N1418" t="b">
        <v>0</v>
      </c>
    </row>
    <row r="1419" spans="1:14">
      <c r="A1419">
        <v>94</v>
      </c>
      <c r="B1419">
        <v>23</v>
      </c>
      <c r="C1419" t="s">
        <v>128</v>
      </c>
      <c r="D1419" t="s">
        <v>743</v>
      </c>
      <c r="E1419" t="s">
        <v>128</v>
      </c>
      <c r="F1419">
        <v>0</v>
      </c>
      <c r="G1419" t="s">
        <v>128</v>
      </c>
      <c r="H1419" t="s">
        <v>128</v>
      </c>
      <c r="I1419" t="s">
        <v>128</v>
      </c>
      <c r="J1419" t="s">
        <v>128</v>
      </c>
      <c r="K1419" t="s">
        <v>128</v>
      </c>
      <c r="L1419" t="s">
        <v>128</v>
      </c>
      <c r="M1419" t="s">
        <v>2082</v>
      </c>
      <c r="N1419" t="b">
        <v>0</v>
      </c>
    </row>
    <row r="1420" spans="1:14">
      <c r="A1420">
        <v>94</v>
      </c>
      <c r="B1420">
        <v>24</v>
      </c>
      <c r="C1420" t="s">
        <v>128</v>
      </c>
      <c r="D1420" t="s">
        <v>743</v>
      </c>
      <c r="E1420" t="s">
        <v>128</v>
      </c>
      <c r="F1420">
        <v>0</v>
      </c>
      <c r="G1420" t="s">
        <v>128</v>
      </c>
      <c r="H1420" t="s">
        <v>128</v>
      </c>
      <c r="I1420" t="s">
        <v>128</v>
      </c>
      <c r="J1420" t="s">
        <v>128</v>
      </c>
      <c r="K1420" t="s">
        <v>128</v>
      </c>
      <c r="L1420" t="s">
        <v>128</v>
      </c>
      <c r="M1420" t="s">
        <v>2083</v>
      </c>
      <c r="N1420" t="b">
        <v>0</v>
      </c>
    </row>
    <row r="1421" spans="1:14">
      <c r="A1421">
        <v>94</v>
      </c>
      <c r="B1421">
        <v>25</v>
      </c>
      <c r="C1421" t="s">
        <v>128</v>
      </c>
      <c r="D1421" t="s">
        <v>743</v>
      </c>
      <c r="E1421" t="s">
        <v>128</v>
      </c>
      <c r="F1421">
        <v>0</v>
      </c>
      <c r="G1421" t="s">
        <v>128</v>
      </c>
      <c r="H1421" t="s">
        <v>128</v>
      </c>
      <c r="I1421" t="s">
        <v>128</v>
      </c>
      <c r="J1421" t="s">
        <v>128</v>
      </c>
      <c r="K1421" t="s">
        <v>128</v>
      </c>
      <c r="L1421" t="s">
        <v>128</v>
      </c>
      <c r="M1421" t="s">
        <v>2084</v>
      </c>
      <c r="N1421" t="b">
        <v>0</v>
      </c>
    </row>
    <row r="1422" spans="1:14">
      <c r="A1422">
        <v>94</v>
      </c>
      <c r="B1422">
        <v>26</v>
      </c>
      <c r="C1422" t="s">
        <v>128</v>
      </c>
      <c r="D1422" t="s">
        <v>743</v>
      </c>
      <c r="E1422" t="s">
        <v>128</v>
      </c>
      <c r="F1422">
        <v>0</v>
      </c>
      <c r="G1422" t="s">
        <v>128</v>
      </c>
      <c r="H1422" t="s">
        <v>128</v>
      </c>
      <c r="I1422" t="s">
        <v>128</v>
      </c>
      <c r="J1422" t="s">
        <v>128</v>
      </c>
      <c r="K1422" t="s">
        <v>128</v>
      </c>
      <c r="L1422" t="s">
        <v>128</v>
      </c>
      <c r="M1422" t="s">
        <v>2085</v>
      </c>
      <c r="N1422" t="b">
        <v>0</v>
      </c>
    </row>
    <row r="1423" spans="1:14">
      <c r="A1423">
        <v>96</v>
      </c>
      <c r="B1423">
        <v>0</v>
      </c>
      <c r="C1423" t="s">
        <v>218</v>
      </c>
      <c r="D1423" t="s">
        <v>726</v>
      </c>
      <c r="E1423" t="s">
        <v>65</v>
      </c>
      <c r="F1423">
        <v>60</v>
      </c>
      <c r="G1423" t="s">
        <v>128</v>
      </c>
      <c r="H1423" t="s">
        <v>128</v>
      </c>
      <c r="I1423" t="s">
        <v>65</v>
      </c>
      <c r="J1423" t="s">
        <v>128</v>
      </c>
      <c r="K1423" t="s">
        <v>128</v>
      </c>
      <c r="L1423" t="s">
        <v>128</v>
      </c>
      <c r="M1423" t="s">
        <v>2086</v>
      </c>
      <c r="N1423" t="b">
        <v>0</v>
      </c>
    </row>
    <row r="1424" spans="1:14">
      <c r="A1424">
        <v>96</v>
      </c>
      <c r="B1424">
        <v>1</v>
      </c>
      <c r="C1424" t="s">
        <v>228</v>
      </c>
      <c r="D1424" t="s">
        <v>726</v>
      </c>
      <c r="E1424" t="s">
        <v>77</v>
      </c>
      <c r="F1424">
        <v>50</v>
      </c>
      <c r="G1424" t="s">
        <v>128</v>
      </c>
      <c r="H1424" t="s">
        <v>128</v>
      </c>
      <c r="I1424" t="s">
        <v>77</v>
      </c>
      <c r="J1424" t="s">
        <v>128</v>
      </c>
      <c r="K1424" t="s">
        <v>128</v>
      </c>
      <c r="L1424" t="s">
        <v>128</v>
      </c>
      <c r="M1424" t="s">
        <v>2087</v>
      </c>
      <c r="N1424" t="b">
        <v>0</v>
      </c>
    </row>
    <row r="1425" spans="1:14">
      <c r="A1425">
        <v>96</v>
      </c>
      <c r="B1425">
        <v>2</v>
      </c>
      <c r="C1425" t="s">
        <v>282</v>
      </c>
      <c r="D1425" t="s">
        <v>726</v>
      </c>
      <c r="E1425" t="s">
        <v>93</v>
      </c>
      <c r="F1425">
        <v>30</v>
      </c>
      <c r="G1425" t="s">
        <v>128</v>
      </c>
      <c r="H1425" t="s">
        <v>128</v>
      </c>
      <c r="I1425" t="s">
        <v>93</v>
      </c>
      <c r="J1425" t="s">
        <v>128</v>
      </c>
      <c r="K1425" t="s">
        <v>128</v>
      </c>
      <c r="L1425" t="s">
        <v>128</v>
      </c>
      <c r="M1425" t="s">
        <v>2088</v>
      </c>
      <c r="N1425" t="b">
        <v>0</v>
      </c>
    </row>
    <row r="1426" spans="1:14">
      <c r="A1426">
        <v>96</v>
      </c>
      <c r="B1426">
        <v>3</v>
      </c>
      <c r="C1426" t="s">
        <v>220</v>
      </c>
      <c r="D1426" t="s">
        <v>726</v>
      </c>
      <c r="E1426" t="s">
        <v>95</v>
      </c>
      <c r="F1426">
        <v>40</v>
      </c>
      <c r="G1426" t="s">
        <v>128</v>
      </c>
      <c r="H1426" t="s">
        <v>128</v>
      </c>
      <c r="I1426" t="s">
        <v>95</v>
      </c>
      <c r="J1426" t="s">
        <v>128</v>
      </c>
      <c r="K1426" t="s">
        <v>128</v>
      </c>
      <c r="L1426" t="s">
        <v>128</v>
      </c>
      <c r="M1426" t="s">
        <v>2089</v>
      </c>
      <c r="N1426" t="b">
        <v>0</v>
      </c>
    </row>
    <row r="1427" spans="1:14">
      <c r="A1427">
        <v>96</v>
      </c>
      <c r="B1427">
        <v>4</v>
      </c>
      <c r="C1427" t="s">
        <v>190</v>
      </c>
      <c r="D1427" t="s">
        <v>726</v>
      </c>
      <c r="E1427" t="s">
        <v>99</v>
      </c>
      <c r="F1427">
        <v>50</v>
      </c>
      <c r="G1427" t="s">
        <v>128</v>
      </c>
      <c r="H1427" t="s">
        <v>128</v>
      </c>
      <c r="I1427" t="s">
        <v>99</v>
      </c>
      <c r="J1427" t="s">
        <v>128</v>
      </c>
      <c r="K1427" t="s">
        <v>128</v>
      </c>
      <c r="L1427" t="s">
        <v>128</v>
      </c>
      <c r="M1427" t="s">
        <v>2090</v>
      </c>
      <c r="N1427" t="b">
        <v>0</v>
      </c>
    </row>
    <row r="1428" spans="1:14">
      <c r="A1428">
        <v>96</v>
      </c>
      <c r="B1428">
        <v>5</v>
      </c>
      <c r="C1428" t="s">
        <v>221</v>
      </c>
      <c r="D1428" t="s">
        <v>726</v>
      </c>
      <c r="E1428" t="s">
        <v>101</v>
      </c>
      <c r="F1428">
        <v>60</v>
      </c>
      <c r="G1428" t="s">
        <v>128</v>
      </c>
      <c r="H1428" t="s">
        <v>128</v>
      </c>
      <c r="I1428" t="s">
        <v>101</v>
      </c>
      <c r="J1428" t="s">
        <v>128</v>
      </c>
      <c r="K1428" t="s">
        <v>128</v>
      </c>
      <c r="L1428" t="s">
        <v>128</v>
      </c>
      <c r="M1428" t="s">
        <v>2091</v>
      </c>
      <c r="N1428" t="b">
        <v>0</v>
      </c>
    </row>
    <row r="1429" spans="1:14">
      <c r="A1429">
        <v>96</v>
      </c>
      <c r="B1429">
        <v>6</v>
      </c>
      <c r="C1429" t="s">
        <v>200</v>
      </c>
      <c r="D1429" t="s">
        <v>726</v>
      </c>
      <c r="E1429" t="s">
        <v>113</v>
      </c>
      <c r="F1429">
        <v>50</v>
      </c>
      <c r="G1429" t="s">
        <v>128</v>
      </c>
      <c r="H1429" t="s">
        <v>128</v>
      </c>
      <c r="I1429" t="s">
        <v>113</v>
      </c>
      <c r="J1429" t="s">
        <v>128</v>
      </c>
      <c r="K1429" t="s">
        <v>128</v>
      </c>
      <c r="L1429" t="s">
        <v>128</v>
      </c>
      <c r="M1429" t="s">
        <v>2092</v>
      </c>
      <c r="N1429" t="b">
        <v>0</v>
      </c>
    </row>
    <row r="1430" spans="1:14">
      <c r="A1430">
        <v>96</v>
      </c>
      <c r="B1430">
        <v>7</v>
      </c>
      <c r="C1430" t="s">
        <v>193</v>
      </c>
      <c r="D1430" t="s">
        <v>726</v>
      </c>
      <c r="E1430" t="s">
        <v>115</v>
      </c>
      <c r="F1430">
        <v>60</v>
      </c>
      <c r="G1430" t="s">
        <v>128</v>
      </c>
      <c r="H1430" t="s">
        <v>128</v>
      </c>
      <c r="I1430" t="s">
        <v>115</v>
      </c>
      <c r="J1430" t="s">
        <v>128</v>
      </c>
      <c r="K1430" t="s">
        <v>128</v>
      </c>
      <c r="L1430" t="s">
        <v>128</v>
      </c>
      <c r="M1430" t="s">
        <v>2093</v>
      </c>
      <c r="N1430" t="b">
        <v>0</v>
      </c>
    </row>
    <row r="1431" spans="1:14">
      <c r="A1431">
        <v>96</v>
      </c>
      <c r="B1431">
        <v>8</v>
      </c>
      <c r="C1431" t="s">
        <v>232</v>
      </c>
      <c r="D1431" t="s">
        <v>726</v>
      </c>
      <c r="E1431" t="s">
        <v>61</v>
      </c>
      <c r="F1431">
        <v>20</v>
      </c>
      <c r="G1431" t="s">
        <v>128</v>
      </c>
      <c r="H1431" t="s">
        <v>128</v>
      </c>
      <c r="I1431" t="s">
        <v>61</v>
      </c>
      <c r="J1431" t="s">
        <v>128</v>
      </c>
      <c r="K1431" t="s">
        <v>128</v>
      </c>
      <c r="L1431" t="s">
        <v>128</v>
      </c>
      <c r="M1431" t="s">
        <v>2094</v>
      </c>
      <c r="N1431" t="b">
        <v>0</v>
      </c>
    </row>
    <row r="1432" spans="1:14">
      <c r="A1432">
        <v>96</v>
      </c>
      <c r="B1432">
        <v>9</v>
      </c>
      <c r="C1432" t="s">
        <v>222</v>
      </c>
      <c r="D1432" t="s">
        <v>726</v>
      </c>
      <c r="E1432" t="s">
        <v>68</v>
      </c>
      <c r="F1432">
        <v>50</v>
      </c>
      <c r="G1432" t="s">
        <v>128</v>
      </c>
      <c r="H1432" t="s">
        <v>128</v>
      </c>
      <c r="I1432" t="s">
        <v>68</v>
      </c>
      <c r="J1432" t="s">
        <v>128</v>
      </c>
      <c r="K1432" t="s">
        <v>128</v>
      </c>
      <c r="L1432" t="s">
        <v>128</v>
      </c>
      <c r="M1432" t="s">
        <v>2095</v>
      </c>
      <c r="N1432" t="b">
        <v>0</v>
      </c>
    </row>
    <row r="1433" spans="1:14">
      <c r="A1433">
        <v>96</v>
      </c>
      <c r="B1433">
        <v>10</v>
      </c>
      <c r="C1433" t="s">
        <v>169</v>
      </c>
      <c r="D1433" t="s">
        <v>726</v>
      </c>
      <c r="E1433" t="s">
        <v>74</v>
      </c>
      <c r="F1433">
        <v>50</v>
      </c>
      <c r="G1433" t="s">
        <v>128</v>
      </c>
      <c r="H1433" t="s">
        <v>128</v>
      </c>
      <c r="I1433" t="s">
        <v>74</v>
      </c>
      <c r="J1433" t="s">
        <v>128</v>
      </c>
      <c r="K1433" t="s">
        <v>128</v>
      </c>
      <c r="L1433" t="s">
        <v>128</v>
      </c>
      <c r="M1433" t="s">
        <v>2096</v>
      </c>
      <c r="N1433" t="b">
        <v>0</v>
      </c>
    </row>
    <row r="1434" spans="1:14">
      <c r="A1434">
        <v>96</v>
      </c>
      <c r="B1434">
        <v>11</v>
      </c>
      <c r="C1434" t="s">
        <v>224</v>
      </c>
      <c r="D1434" t="s">
        <v>726</v>
      </c>
      <c r="E1434" t="s">
        <v>102</v>
      </c>
      <c r="F1434">
        <v>50</v>
      </c>
      <c r="G1434" t="s">
        <v>128</v>
      </c>
      <c r="H1434" t="s">
        <v>128</v>
      </c>
      <c r="I1434" t="s">
        <v>102</v>
      </c>
      <c r="J1434" t="s">
        <v>128</v>
      </c>
      <c r="K1434" t="s">
        <v>128</v>
      </c>
      <c r="L1434" t="s">
        <v>128</v>
      </c>
      <c r="M1434" t="s">
        <v>2097</v>
      </c>
      <c r="N1434" t="b">
        <v>0</v>
      </c>
    </row>
    <row r="1435" spans="1:14">
      <c r="A1435">
        <v>96</v>
      </c>
      <c r="B1435">
        <v>12</v>
      </c>
      <c r="C1435" t="s">
        <v>172</v>
      </c>
      <c r="D1435" t="s">
        <v>726</v>
      </c>
      <c r="E1435" t="s">
        <v>106</v>
      </c>
      <c r="F1435">
        <v>50</v>
      </c>
      <c r="G1435" t="s">
        <v>128</v>
      </c>
      <c r="H1435" t="s">
        <v>128</v>
      </c>
      <c r="I1435" t="s">
        <v>106</v>
      </c>
      <c r="J1435" t="s">
        <v>128</v>
      </c>
      <c r="K1435" t="s">
        <v>128</v>
      </c>
      <c r="L1435" t="s">
        <v>128</v>
      </c>
      <c r="M1435" t="s">
        <v>2098</v>
      </c>
      <c r="N1435" t="b">
        <v>0</v>
      </c>
    </row>
    <row r="1436" spans="1:14">
      <c r="A1436">
        <v>96</v>
      </c>
      <c r="B1436">
        <v>13</v>
      </c>
      <c r="C1436" t="s">
        <v>225</v>
      </c>
      <c r="D1436" t="s">
        <v>726</v>
      </c>
      <c r="E1436" t="s">
        <v>107</v>
      </c>
      <c r="F1436">
        <v>50</v>
      </c>
      <c r="G1436" t="s">
        <v>128</v>
      </c>
      <c r="H1436" t="s">
        <v>128</v>
      </c>
      <c r="I1436" t="s">
        <v>107</v>
      </c>
      <c r="J1436" t="s">
        <v>128</v>
      </c>
      <c r="K1436" t="s">
        <v>128</v>
      </c>
      <c r="L1436" t="s">
        <v>128</v>
      </c>
      <c r="M1436" t="s">
        <v>2099</v>
      </c>
      <c r="N1436" t="b">
        <v>0</v>
      </c>
    </row>
    <row r="1437" spans="1:14">
      <c r="A1437">
        <v>96</v>
      </c>
      <c r="B1437">
        <v>14</v>
      </c>
      <c r="C1437" t="s">
        <v>197</v>
      </c>
      <c r="D1437" t="s">
        <v>726</v>
      </c>
      <c r="E1437" t="s">
        <v>108</v>
      </c>
      <c r="F1437">
        <v>60</v>
      </c>
      <c r="G1437" t="s">
        <v>128</v>
      </c>
      <c r="H1437" t="s">
        <v>128</v>
      </c>
      <c r="I1437" t="s">
        <v>108</v>
      </c>
      <c r="J1437" t="s">
        <v>128</v>
      </c>
      <c r="K1437" t="s">
        <v>128</v>
      </c>
      <c r="L1437" t="s">
        <v>128</v>
      </c>
      <c r="M1437" t="s">
        <v>2100</v>
      </c>
      <c r="N1437" t="b">
        <v>0</v>
      </c>
    </row>
    <row r="1438" spans="1:14">
      <c r="A1438">
        <v>96</v>
      </c>
      <c r="B1438">
        <v>15</v>
      </c>
      <c r="C1438" t="s">
        <v>128</v>
      </c>
      <c r="D1438" t="s">
        <v>726</v>
      </c>
      <c r="E1438" t="s">
        <v>128</v>
      </c>
      <c r="F1438">
        <v>0</v>
      </c>
      <c r="G1438" t="s">
        <v>128</v>
      </c>
      <c r="H1438" t="s">
        <v>128</v>
      </c>
      <c r="I1438" t="s">
        <v>128</v>
      </c>
      <c r="J1438" t="s">
        <v>128</v>
      </c>
      <c r="K1438" t="s">
        <v>128</v>
      </c>
      <c r="L1438" t="s">
        <v>128</v>
      </c>
      <c r="M1438" t="s">
        <v>2101</v>
      </c>
      <c r="N1438" t="b">
        <v>0</v>
      </c>
    </row>
    <row r="1439" spans="1:14">
      <c r="A1439">
        <v>96</v>
      </c>
      <c r="B1439">
        <v>16</v>
      </c>
      <c r="C1439" t="s">
        <v>128</v>
      </c>
      <c r="D1439" t="s">
        <v>743</v>
      </c>
      <c r="E1439" t="s">
        <v>128</v>
      </c>
      <c r="F1439">
        <v>0</v>
      </c>
      <c r="G1439" t="s">
        <v>128</v>
      </c>
      <c r="H1439" t="s">
        <v>128</v>
      </c>
      <c r="I1439" t="s">
        <v>128</v>
      </c>
      <c r="J1439" t="s">
        <v>128</v>
      </c>
      <c r="K1439" t="s">
        <v>128</v>
      </c>
      <c r="L1439" t="s">
        <v>128</v>
      </c>
      <c r="M1439" t="s">
        <v>2102</v>
      </c>
      <c r="N1439" t="b">
        <v>0</v>
      </c>
    </row>
    <row r="1440" spans="1:14">
      <c r="A1440">
        <v>96</v>
      </c>
      <c r="B1440">
        <v>17</v>
      </c>
      <c r="C1440" t="s">
        <v>128</v>
      </c>
      <c r="D1440" t="s">
        <v>743</v>
      </c>
      <c r="E1440" t="s">
        <v>128</v>
      </c>
      <c r="F1440">
        <v>0</v>
      </c>
      <c r="G1440" t="s">
        <v>128</v>
      </c>
      <c r="H1440" t="s">
        <v>128</v>
      </c>
      <c r="I1440" t="s">
        <v>128</v>
      </c>
      <c r="J1440" t="s">
        <v>128</v>
      </c>
      <c r="K1440" t="s">
        <v>128</v>
      </c>
      <c r="L1440" t="s">
        <v>128</v>
      </c>
      <c r="M1440" t="s">
        <v>2103</v>
      </c>
      <c r="N1440" t="b">
        <v>0</v>
      </c>
    </row>
    <row r="1441" spans="1:14">
      <c r="A1441">
        <v>96</v>
      </c>
      <c r="B1441">
        <v>18</v>
      </c>
      <c r="C1441" t="s">
        <v>128</v>
      </c>
      <c r="D1441" t="s">
        <v>743</v>
      </c>
      <c r="E1441" t="s">
        <v>128</v>
      </c>
      <c r="F1441">
        <v>0</v>
      </c>
      <c r="G1441" t="s">
        <v>128</v>
      </c>
      <c r="H1441" t="s">
        <v>128</v>
      </c>
      <c r="I1441" t="s">
        <v>128</v>
      </c>
      <c r="J1441" t="s">
        <v>128</v>
      </c>
      <c r="K1441" t="s">
        <v>128</v>
      </c>
      <c r="L1441" t="s">
        <v>128</v>
      </c>
      <c r="M1441" t="s">
        <v>2104</v>
      </c>
      <c r="N1441" t="b">
        <v>0</v>
      </c>
    </row>
    <row r="1442" spans="1:14">
      <c r="A1442">
        <v>96</v>
      </c>
      <c r="B1442">
        <v>19</v>
      </c>
      <c r="C1442" t="s">
        <v>128</v>
      </c>
      <c r="D1442" t="s">
        <v>743</v>
      </c>
      <c r="E1442" t="s">
        <v>128</v>
      </c>
      <c r="F1442">
        <v>0</v>
      </c>
      <c r="G1442" t="s">
        <v>128</v>
      </c>
      <c r="H1442" t="s">
        <v>128</v>
      </c>
      <c r="I1442" t="s">
        <v>128</v>
      </c>
      <c r="J1442" t="s">
        <v>128</v>
      </c>
      <c r="K1442" t="s">
        <v>128</v>
      </c>
      <c r="L1442" t="s">
        <v>128</v>
      </c>
      <c r="M1442" t="s">
        <v>2105</v>
      </c>
      <c r="N1442" t="b">
        <v>0</v>
      </c>
    </row>
    <row r="1443" spans="1:14">
      <c r="A1443">
        <v>96</v>
      </c>
      <c r="B1443">
        <v>20</v>
      </c>
      <c r="C1443" t="s">
        <v>128</v>
      </c>
      <c r="D1443" t="s">
        <v>743</v>
      </c>
      <c r="E1443" t="s">
        <v>128</v>
      </c>
      <c r="F1443">
        <v>0</v>
      </c>
      <c r="G1443" t="s">
        <v>128</v>
      </c>
      <c r="H1443" t="s">
        <v>128</v>
      </c>
      <c r="I1443" t="s">
        <v>128</v>
      </c>
      <c r="J1443" t="s">
        <v>128</v>
      </c>
      <c r="K1443" t="s">
        <v>128</v>
      </c>
      <c r="L1443" t="s">
        <v>128</v>
      </c>
      <c r="M1443" t="s">
        <v>2106</v>
      </c>
      <c r="N1443" t="b">
        <v>0</v>
      </c>
    </row>
    <row r="1444" spans="1:14">
      <c r="A1444">
        <v>96</v>
      </c>
      <c r="B1444">
        <v>21</v>
      </c>
      <c r="C1444" t="s">
        <v>128</v>
      </c>
      <c r="D1444" t="s">
        <v>743</v>
      </c>
      <c r="E1444" t="s">
        <v>128</v>
      </c>
      <c r="F1444">
        <v>0</v>
      </c>
      <c r="G1444" t="s">
        <v>128</v>
      </c>
      <c r="H1444" t="s">
        <v>128</v>
      </c>
      <c r="I1444" t="s">
        <v>128</v>
      </c>
      <c r="J1444" t="s">
        <v>128</v>
      </c>
      <c r="K1444" t="s">
        <v>128</v>
      </c>
      <c r="L1444" t="s">
        <v>128</v>
      </c>
      <c r="M1444" t="s">
        <v>2107</v>
      </c>
      <c r="N1444" t="b">
        <v>0</v>
      </c>
    </row>
    <row r="1445" spans="1:14">
      <c r="A1445">
        <v>96</v>
      </c>
      <c r="B1445">
        <v>22</v>
      </c>
      <c r="C1445" t="s">
        <v>128</v>
      </c>
      <c r="D1445" t="s">
        <v>743</v>
      </c>
      <c r="E1445" t="s">
        <v>128</v>
      </c>
      <c r="F1445">
        <v>0</v>
      </c>
      <c r="G1445" t="s">
        <v>128</v>
      </c>
      <c r="H1445" t="s">
        <v>128</v>
      </c>
      <c r="I1445" t="s">
        <v>128</v>
      </c>
      <c r="J1445" t="s">
        <v>128</v>
      </c>
      <c r="K1445" t="s">
        <v>128</v>
      </c>
      <c r="L1445" t="s">
        <v>128</v>
      </c>
      <c r="M1445" t="s">
        <v>2108</v>
      </c>
      <c r="N1445" t="b">
        <v>0</v>
      </c>
    </row>
    <row r="1446" spans="1:14">
      <c r="A1446">
        <v>96</v>
      </c>
      <c r="B1446">
        <v>23</v>
      </c>
      <c r="C1446" t="s">
        <v>128</v>
      </c>
      <c r="D1446" t="s">
        <v>743</v>
      </c>
      <c r="E1446" t="s">
        <v>128</v>
      </c>
      <c r="F1446">
        <v>0</v>
      </c>
      <c r="G1446" t="s">
        <v>128</v>
      </c>
      <c r="H1446" t="s">
        <v>128</v>
      </c>
      <c r="I1446" t="s">
        <v>128</v>
      </c>
      <c r="J1446" t="s">
        <v>128</v>
      </c>
      <c r="K1446" t="s">
        <v>128</v>
      </c>
      <c r="L1446" t="s">
        <v>128</v>
      </c>
      <c r="M1446" t="s">
        <v>2109</v>
      </c>
      <c r="N1446" t="b">
        <v>0</v>
      </c>
    </row>
    <row r="1447" spans="1:14">
      <c r="A1447">
        <v>96</v>
      </c>
      <c r="B1447">
        <v>24</v>
      </c>
      <c r="C1447" t="s">
        <v>128</v>
      </c>
      <c r="D1447" t="s">
        <v>743</v>
      </c>
      <c r="E1447" t="s">
        <v>128</v>
      </c>
      <c r="F1447">
        <v>0</v>
      </c>
      <c r="G1447" t="s">
        <v>128</v>
      </c>
      <c r="H1447" t="s">
        <v>128</v>
      </c>
      <c r="I1447" t="s">
        <v>128</v>
      </c>
      <c r="J1447" t="s">
        <v>128</v>
      </c>
      <c r="K1447" t="s">
        <v>128</v>
      </c>
      <c r="L1447" t="s">
        <v>128</v>
      </c>
      <c r="M1447" t="s">
        <v>2110</v>
      </c>
      <c r="N1447" t="b">
        <v>0</v>
      </c>
    </row>
    <row r="1448" spans="1:14">
      <c r="A1448">
        <v>96</v>
      </c>
      <c r="B1448">
        <v>25</v>
      </c>
      <c r="C1448" t="s">
        <v>128</v>
      </c>
      <c r="D1448" t="s">
        <v>743</v>
      </c>
      <c r="E1448" t="s">
        <v>128</v>
      </c>
      <c r="F1448">
        <v>0</v>
      </c>
      <c r="G1448" t="s">
        <v>128</v>
      </c>
      <c r="H1448" t="s">
        <v>128</v>
      </c>
      <c r="I1448" t="s">
        <v>128</v>
      </c>
      <c r="J1448" t="s">
        <v>128</v>
      </c>
      <c r="K1448" t="s">
        <v>128</v>
      </c>
      <c r="L1448" t="s">
        <v>128</v>
      </c>
      <c r="M1448" t="s">
        <v>2111</v>
      </c>
      <c r="N1448" t="b">
        <v>0</v>
      </c>
    </row>
    <row r="1449" spans="1:14">
      <c r="A1449">
        <v>96</v>
      </c>
      <c r="B1449">
        <v>26</v>
      </c>
      <c r="C1449" t="s">
        <v>128</v>
      </c>
      <c r="D1449" t="s">
        <v>743</v>
      </c>
      <c r="E1449" t="s">
        <v>128</v>
      </c>
      <c r="F1449">
        <v>0</v>
      </c>
      <c r="G1449" t="s">
        <v>128</v>
      </c>
      <c r="H1449" t="s">
        <v>128</v>
      </c>
      <c r="I1449" t="s">
        <v>128</v>
      </c>
      <c r="J1449" t="s">
        <v>128</v>
      </c>
      <c r="K1449" t="s">
        <v>128</v>
      </c>
      <c r="L1449" t="s">
        <v>128</v>
      </c>
      <c r="M1449" t="s">
        <v>2112</v>
      </c>
      <c r="N1449" t="b">
        <v>0</v>
      </c>
    </row>
    <row r="1450" spans="1:14">
      <c r="A1450">
        <v>97</v>
      </c>
      <c r="B1450">
        <v>0</v>
      </c>
      <c r="C1450" t="s">
        <v>218</v>
      </c>
      <c r="D1450" t="s">
        <v>726</v>
      </c>
      <c r="E1450" t="s">
        <v>65</v>
      </c>
      <c r="F1450">
        <v>60</v>
      </c>
      <c r="G1450" t="s">
        <v>128</v>
      </c>
      <c r="H1450" t="s">
        <v>128</v>
      </c>
      <c r="I1450" t="s">
        <v>65</v>
      </c>
      <c r="J1450" t="s">
        <v>128</v>
      </c>
      <c r="K1450" t="s">
        <v>128</v>
      </c>
      <c r="L1450" t="s">
        <v>128</v>
      </c>
      <c r="M1450" t="s">
        <v>2113</v>
      </c>
      <c r="N1450" t="b">
        <v>0</v>
      </c>
    </row>
    <row r="1451" spans="1:14">
      <c r="A1451">
        <v>97</v>
      </c>
      <c r="B1451">
        <v>1</v>
      </c>
      <c r="C1451" t="s">
        <v>219</v>
      </c>
      <c r="D1451" t="s">
        <v>726</v>
      </c>
      <c r="E1451" t="s">
        <v>77</v>
      </c>
      <c r="F1451">
        <v>60</v>
      </c>
      <c r="G1451" t="s">
        <v>128</v>
      </c>
      <c r="H1451" t="s">
        <v>128</v>
      </c>
      <c r="I1451" t="s">
        <v>77</v>
      </c>
      <c r="J1451" t="s">
        <v>128</v>
      </c>
      <c r="K1451" t="s">
        <v>128</v>
      </c>
      <c r="L1451" t="s">
        <v>128</v>
      </c>
      <c r="M1451" t="s">
        <v>2114</v>
      </c>
      <c r="N1451" t="b">
        <v>0</v>
      </c>
    </row>
    <row r="1452" spans="1:14">
      <c r="A1452">
        <v>97</v>
      </c>
      <c r="B1452">
        <v>2</v>
      </c>
      <c r="C1452" t="s">
        <v>220</v>
      </c>
      <c r="D1452" t="s">
        <v>726</v>
      </c>
      <c r="E1452" t="s">
        <v>95</v>
      </c>
      <c r="F1452">
        <v>40</v>
      </c>
      <c r="G1452" t="s">
        <v>128</v>
      </c>
      <c r="H1452" t="s">
        <v>128</v>
      </c>
      <c r="I1452" t="s">
        <v>95</v>
      </c>
      <c r="J1452" t="s">
        <v>128</v>
      </c>
      <c r="K1452" t="s">
        <v>128</v>
      </c>
      <c r="L1452" t="s">
        <v>128</v>
      </c>
      <c r="M1452" t="s">
        <v>2115</v>
      </c>
      <c r="N1452" t="b">
        <v>0</v>
      </c>
    </row>
    <row r="1453" spans="1:14">
      <c r="A1453">
        <v>97</v>
      </c>
      <c r="B1453">
        <v>3</v>
      </c>
      <c r="C1453" t="s">
        <v>190</v>
      </c>
      <c r="D1453" t="s">
        <v>726</v>
      </c>
      <c r="E1453" t="s">
        <v>99</v>
      </c>
      <c r="F1453">
        <v>50</v>
      </c>
      <c r="G1453" t="s">
        <v>128</v>
      </c>
      <c r="H1453" t="s">
        <v>128</v>
      </c>
      <c r="I1453" t="s">
        <v>99</v>
      </c>
      <c r="J1453" t="s">
        <v>128</v>
      </c>
      <c r="K1453" t="s">
        <v>128</v>
      </c>
      <c r="L1453" t="s">
        <v>128</v>
      </c>
      <c r="M1453" t="s">
        <v>2116</v>
      </c>
      <c r="N1453" t="b">
        <v>0</v>
      </c>
    </row>
    <row r="1454" spans="1:14">
      <c r="A1454">
        <v>97</v>
      </c>
      <c r="B1454">
        <v>4</v>
      </c>
      <c r="C1454" t="s">
        <v>221</v>
      </c>
      <c r="D1454" t="s">
        <v>726</v>
      </c>
      <c r="E1454" t="s">
        <v>101</v>
      </c>
      <c r="F1454">
        <v>60</v>
      </c>
      <c r="G1454" t="s">
        <v>128</v>
      </c>
      <c r="H1454" t="s">
        <v>128</v>
      </c>
      <c r="I1454" t="s">
        <v>101</v>
      </c>
      <c r="J1454" t="s">
        <v>128</v>
      </c>
      <c r="K1454" t="s">
        <v>128</v>
      </c>
      <c r="L1454" t="s">
        <v>128</v>
      </c>
      <c r="M1454" t="s">
        <v>2117</v>
      </c>
      <c r="N1454" t="b">
        <v>0</v>
      </c>
    </row>
    <row r="1455" spans="1:14">
      <c r="A1455">
        <v>97</v>
      </c>
      <c r="B1455">
        <v>5</v>
      </c>
      <c r="C1455" t="s">
        <v>289</v>
      </c>
      <c r="D1455" t="s">
        <v>726</v>
      </c>
      <c r="E1455" t="s">
        <v>103</v>
      </c>
      <c r="F1455">
        <v>40</v>
      </c>
      <c r="G1455" t="s">
        <v>128</v>
      </c>
      <c r="H1455" t="s">
        <v>128</v>
      </c>
      <c r="I1455" t="s">
        <v>103</v>
      </c>
      <c r="J1455" t="s">
        <v>128</v>
      </c>
      <c r="K1455" t="s">
        <v>128</v>
      </c>
      <c r="L1455" t="s">
        <v>128</v>
      </c>
      <c r="M1455" t="s">
        <v>2118</v>
      </c>
      <c r="N1455" t="b">
        <v>0</v>
      </c>
    </row>
    <row r="1456" spans="1:14">
      <c r="A1456">
        <v>97</v>
      </c>
      <c r="B1456">
        <v>6</v>
      </c>
      <c r="C1456" t="s">
        <v>200</v>
      </c>
      <c r="D1456" t="s">
        <v>726</v>
      </c>
      <c r="E1456" t="s">
        <v>113</v>
      </c>
      <c r="F1456">
        <v>50</v>
      </c>
      <c r="G1456" t="s">
        <v>128</v>
      </c>
      <c r="H1456" t="s">
        <v>128</v>
      </c>
      <c r="I1456" t="s">
        <v>113</v>
      </c>
      <c r="J1456" t="s">
        <v>128</v>
      </c>
      <c r="K1456" t="s">
        <v>128</v>
      </c>
      <c r="L1456" t="s">
        <v>128</v>
      </c>
      <c r="M1456" t="s">
        <v>2119</v>
      </c>
      <c r="N1456" t="b">
        <v>0</v>
      </c>
    </row>
    <row r="1457" spans="1:14">
      <c r="A1457">
        <v>97</v>
      </c>
      <c r="B1457">
        <v>7</v>
      </c>
      <c r="C1457" t="s">
        <v>222</v>
      </c>
      <c r="D1457" t="s">
        <v>726</v>
      </c>
      <c r="E1457" t="s">
        <v>68</v>
      </c>
      <c r="F1457">
        <v>50</v>
      </c>
      <c r="G1457" t="s">
        <v>128</v>
      </c>
      <c r="H1457" t="s">
        <v>128</v>
      </c>
      <c r="I1457" t="s">
        <v>68</v>
      </c>
      <c r="J1457" t="s">
        <v>128</v>
      </c>
      <c r="K1457" t="s">
        <v>128</v>
      </c>
      <c r="L1457" t="s">
        <v>128</v>
      </c>
      <c r="M1457" t="s">
        <v>2120</v>
      </c>
      <c r="N1457" t="b">
        <v>0</v>
      </c>
    </row>
    <row r="1458" spans="1:14">
      <c r="A1458">
        <v>97</v>
      </c>
      <c r="B1458">
        <v>8</v>
      </c>
      <c r="C1458" t="s">
        <v>223</v>
      </c>
      <c r="D1458" t="s">
        <v>726</v>
      </c>
      <c r="E1458" t="s">
        <v>333</v>
      </c>
      <c r="F1458">
        <v>60</v>
      </c>
      <c r="G1458" t="s">
        <v>128</v>
      </c>
      <c r="H1458" t="s">
        <v>550</v>
      </c>
      <c r="I1458" t="s">
        <v>447</v>
      </c>
      <c r="J1458" t="s">
        <v>128</v>
      </c>
      <c r="K1458" t="s">
        <v>923</v>
      </c>
      <c r="L1458" t="s">
        <v>924</v>
      </c>
      <c r="M1458" t="s">
        <v>2121</v>
      </c>
      <c r="N1458" t="b">
        <v>0</v>
      </c>
    </row>
    <row r="1459" spans="1:14">
      <c r="A1459">
        <v>97</v>
      </c>
      <c r="B1459">
        <v>9</v>
      </c>
      <c r="C1459" t="s">
        <v>169</v>
      </c>
      <c r="D1459" t="s">
        <v>726</v>
      </c>
      <c r="E1459" t="s">
        <v>74</v>
      </c>
      <c r="F1459">
        <v>50</v>
      </c>
      <c r="G1459" t="s">
        <v>128</v>
      </c>
      <c r="H1459" t="s">
        <v>128</v>
      </c>
      <c r="I1459" t="s">
        <v>74</v>
      </c>
      <c r="J1459" t="s">
        <v>128</v>
      </c>
      <c r="K1459" t="s">
        <v>128</v>
      </c>
      <c r="L1459" t="s">
        <v>128</v>
      </c>
      <c r="M1459" t="s">
        <v>2122</v>
      </c>
      <c r="N1459" t="b">
        <v>0</v>
      </c>
    </row>
    <row r="1460" spans="1:14">
      <c r="A1460">
        <v>97</v>
      </c>
      <c r="B1460">
        <v>10</v>
      </c>
      <c r="C1460" t="s">
        <v>224</v>
      </c>
      <c r="D1460" t="s">
        <v>726</v>
      </c>
      <c r="E1460" t="s">
        <v>102</v>
      </c>
      <c r="F1460">
        <v>50</v>
      </c>
      <c r="G1460" t="s">
        <v>128</v>
      </c>
      <c r="H1460" t="s">
        <v>128</v>
      </c>
      <c r="I1460" t="s">
        <v>102</v>
      </c>
      <c r="J1460" t="s">
        <v>128</v>
      </c>
      <c r="K1460" t="s">
        <v>128</v>
      </c>
      <c r="L1460" t="s">
        <v>128</v>
      </c>
      <c r="M1460" t="s">
        <v>2123</v>
      </c>
      <c r="N1460" t="b">
        <v>0</v>
      </c>
    </row>
    <row r="1461" spans="1:14">
      <c r="A1461">
        <v>97</v>
      </c>
      <c r="B1461">
        <v>11</v>
      </c>
      <c r="C1461" t="s">
        <v>172</v>
      </c>
      <c r="D1461" t="s">
        <v>726</v>
      </c>
      <c r="E1461" t="s">
        <v>106</v>
      </c>
      <c r="F1461">
        <v>50</v>
      </c>
      <c r="G1461" t="s">
        <v>128</v>
      </c>
      <c r="H1461" t="s">
        <v>128</v>
      </c>
      <c r="I1461" t="s">
        <v>106</v>
      </c>
      <c r="J1461" t="s">
        <v>128</v>
      </c>
      <c r="K1461" t="s">
        <v>128</v>
      </c>
      <c r="L1461" t="s">
        <v>128</v>
      </c>
      <c r="M1461" t="s">
        <v>2124</v>
      </c>
      <c r="N1461" t="b">
        <v>0</v>
      </c>
    </row>
    <row r="1462" spans="1:14">
      <c r="A1462">
        <v>97</v>
      </c>
      <c r="B1462">
        <v>12</v>
      </c>
      <c r="C1462" t="s">
        <v>225</v>
      </c>
      <c r="D1462" t="s">
        <v>726</v>
      </c>
      <c r="E1462" t="s">
        <v>107</v>
      </c>
      <c r="F1462">
        <v>50</v>
      </c>
      <c r="G1462" t="s">
        <v>128</v>
      </c>
      <c r="H1462" t="s">
        <v>128</v>
      </c>
      <c r="I1462" t="s">
        <v>107</v>
      </c>
      <c r="J1462" t="s">
        <v>128</v>
      </c>
      <c r="K1462" t="s">
        <v>128</v>
      </c>
      <c r="L1462" t="s">
        <v>128</v>
      </c>
      <c r="M1462" t="s">
        <v>2125</v>
      </c>
      <c r="N1462" t="b">
        <v>0</v>
      </c>
    </row>
    <row r="1463" spans="1:14">
      <c r="A1463">
        <v>97</v>
      </c>
      <c r="B1463">
        <v>13</v>
      </c>
      <c r="C1463" t="s">
        <v>197</v>
      </c>
      <c r="D1463" t="s">
        <v>726</v>
      </c>
      <c r="E1463" t="s">
        <v>108</v>
      </c>
      <c r="F1463">
        <v>60</v>
      </c>
      <c r="G1463" t="s">
        <v>128</v>
      </c>
      <c r="H1463" t="s">
        <v>128</v>
      </c>
      <c r="I1463" t="s">
        <v>108</v>
      </c>
      <c r="J1463" t="s">
        <v>128</v>
      </c>
      <c r="K1463" t="s">
        <v>128</v>
      </c>
      <c r="L1463" t="s">
        <v>128</v>
      </c>
      <c r="M1463" t="s">
        <v>2126</v>
      </c>
      <c r="N1463" t="b">
        <v>0</v>
      </c>
    </row>
    <row r="1464" spans="1:14">
      <c r="A1464">
        <v>97</v>
      </c>
      <c r="B1464">
        <v>14</v>
      </c>
      <c r="C1464" t="s">
        <v>128</v>
      </c>
      <c r="D1464" t="s">
        <v>726</v>
      </c>
      <c r="E1464" t="s">
        <v>128</v>
      </c>
      <c r="F1464">
        <v>0</v>
      </c>
      <c r="G1464" t="s">
        <v>128</v>
      </c>
      <c r="H1464" t="s">
        <v>128</v>
      </c>
      <c r="I1464" t="s">
        <v>128</v>
      </c>
      <c r="J1464" t="s">
        <v>128</v>
      </c>
      <c r="K1464" t="s">
        <v>128</v>
      </c>
      <c r="L1464" t="s">
        <v>128</v>
      </c>
      <c r="M1464" t="s">
        <v>2127</v>
      </c>
      <c r="N1464" t="b">
        <v>0</v>
      </c>
    </row>
    <row r="1465" spans="1:14">
      <c r="A1465">
        <v>97</v>
      </c>
      <c r="B1465">
        <v>15</v>
      </c>
      <c r="C1465" t="s">
        <v>128</v>
      </c>
      <c r="D1465" t="s">
        <v>726</v>
      </c>
      <c r="E1465" t="s">
        <v>128</v>
      </c>
      <c r="F1465">
        <v>0</v>
      </c>
      <c r="G1465" t="s">
        <v>128</v>
      </c>
      <c r="H1465" t="s">
        <v>128</v>
      </c>
      <c r="I1465" t="s">
        <v>128</v>
      </c>
      <c r="J1465" t="s">
        <v>128</v>
      </c>
      <c r="K1465" t="s">
        <v>128</v>
      </c>
      <c r="L1465" t="s">
        <v>128</v>
      </c>
      <c r="M1465" t="s">
        <v>2128</v>
      </c>
      <c r="N1465" t="b">
        <v>0</v>
      </c>
    </row>
    <row r="1466" spans="1:14">
      <c r="A1466">
        <v>97</v>
      </c>
      <c r="B1466">
        <v>16</v>
      </c>
      <c r="C1466" t="s">
        <v>128</v>
      </c>
      <c r="D1466" t="s">
        <v>743</v>
      </c>
      <c r="E1466" t="s">
        <v>128</v>
      </c>
      <c r="F1466">
        <v>0</v>
      </c>
      <c r="G1466" t="s">
        <v>128</v>
      </c>
      <c r="H1466" t="s">
        <v>128</v>
      </c>
      <c r="I1466" t="s">
        <v>128</v>
      </c>
      <c r="J1466" t="s">
        <v>128</v>
      </c>
      <c r="K1466" t="s">
        <v>128</v>
      </c>
      <c r="L1466" t="s">
        <v>128</v>
      </c>
      <c r="M1466" t="s">
        <v>2129</v>
      </c>
      <c r="N1466" t="b">
        <v>0</v>
      </c>
    </row>
    <row r="1467" spans="1:14">
      <c r="A1467">
        <v>97</v>
      </c>
      <c r="B1467">
        <v>17</v>
      </c>
      <c r="C1467" t="s">
        <v>128</v>
      </c>
      <c r="D1467" t="s">
        <v>743</v>
      </c>
      <c r="E1467" t="s">
        <v>128</v>
      </c>
      <c r="F1467">
        <v>0</v>
      </c>
      <c r="G1467" t="s">
        <v>128</v>
      </c>
      <c r="H1467" t="s">
        <v>128</v>
      </c>
      <c r="I1467" t="s">
        <v>128</v>
      </c>
      <c r="J1467" t="s">
        <v>128</v>
      </c>
      <c r="K1467" t="s">
        <v>128</v>
      </c>
      <c r="L1467" t="s">
        <v>128</v>
      </c>
      <c r="M1467" t="s">
        <v>2130</v>
      </c>
      <c r="N1467" t="b">
        <v>0</v>
      </c>
    </row>
    <row r="1468" spans="1:14">
      <c r="A1468">
        <v>97</v>
      </c>
      <c r="B1468">
        <v>18</v>
      </c>
      <c r="C1468" t="s">
        <v>128</v>
      </c>
      <c r="D1468" t="s">
        <v>743</v>
      </c>
      <c r="E1468" t="s">
        <v>128</v>
      </c>
      <c r="F1468">
        <v>0</v>
      </c>
      <c r="G1468" t="s">
        <v>128</v>
      </c>
      <c r="H1468" t="s">
        <v>128</v>
      </c>
      <c r="I1468" t="s">
        <v>128</v>
      </c>
      <c r="J1468" t="s">
        <v>128</v>
      </c>
      <c r="K1468" t="s">
        <v>128</v>
      </c>
      <c r="L1468" t="s">
        <v>128</v>
      </c>
      <c r="M1468" t="s">
        <v>2131</v>
      </c>
      <c r="N1468" t="b">
        <v>0</v>
      </c>
    </row>
    <row r="1469" spans="1:14">
      <c r="A1469">
        <v>97</v>
      </c>
      <c r="B1469">
        <v>19</v>
      </c>
      <c r="C1469" t="s">
        <v>128</v>
      </c>
      <c r="D1469" t="s">
        <v>743</v>
      </c>
      <c r="E1469" t="s">
        <v>128</v>
      </c>
      <c r="F1469">
        <v>0</v>
      </c>
      <c r="G1469" t="s">
        <v>128</v>
      </c>
      <c r="H1469" t="s">
        <v>128</v>
      </c>
      <c r="I1469" t="s">
        <v>128</v>
      </c>
      <c r="J1469" t="s">
        <v>128</v>
      </c>
      <c r="K1469" t="s">
        <v>128</v>
      </c>
      <c r="L1469" t="s">
        <v>128</v>
      </c>
      <c r="M1469" t="s">
        <v>2132</v>
      </c>
      <c r="N1469" t="b">
        <v>0</v>
      </c>
    </row>
    <row r="1470" spans="1:14">
      <c r="A1470">
        <v>97</v>
      </c>
      <c r="B1470">
        <v>20</v>
      </c>
      <c r="C1470" t="s">
        <v>128</v>
      </c>
      <c r="D1470" t="s">
        <v>743</v>
      </c>
      <c r="E1470" t="s">
        <v>128</v>
      </c>
      <c r="F1470">
        <v>0</v>
      </c>
      <c r="G1470" t="s">
        <v>128</v>
      </c>
      <c r="H1470" t="s">
        <v>128</v>
      </c>
      <c r="I1470" t="s">
        <v>128</v>
      </c>
      <c r="J1470" t="s">
        <v>128</v>
      </c>
      <c r="K1470" t="s">
        <v>128</v>
      </c>
      <c r="L1470" t="s">
        <v>128</v>
      </c>
      <c r="M1470" t="s">
        <v>2133</v>
      </c>
      <c r="N1470" t="b">
        <v>0</v>
      </c>
    </row>
    <row r="1471" spans="1:14">
      <c r="A1471">
        <v>97</v>
      </c>
      <c r="B1471">
        <v>21</v>
      </c>
      <c r="C1471" t="s">
        <v>128</v>
      </c>
      <c r="D1471" t="s">
        <v>743</v>
      </c>
      <c r="E1471" t="s">
        <v>128</v>
      </c>
      <c r="F1471">
        <v>0</v>
      </c>
      <c r="G1471" t="s">
        <v>128</v>
      </c>
      <c r="H1471" t="s">
        <v>128</v>
      </c>
      <c r="I1471" t="s">
        <v>128</v>
      </c>
      <c r="J1471" t="s">
        <v>128</v>
      </c>
      <c r="K1471" t="s">
        <v>128</v>
      </c>
      <c r="L1471" t="s">
        <v>128</v>
      </c>
      <c r="M1471" t="s">
        <v>2134</v>
      </c>
      <c r="N1471" t="b">
        <v>0</v>
      </c>
    </row>
    <row r="1472" spans="1:14">
      <c r="A1472">
        <v>97</v>
      </c>
      <c r="B1472">
        <v>22</v>
      </c>
      <c r="C1472" t="s">
        <v>128</v>
      </c>
      <c r="D1472" t="s">
        <v>743</v>
      </c>
      <c r="E1472" t="s">
        <v>128</v>
      </c>
      <c r="F1472">
        <v>0</v>
      </c>
      <c r="G1472" t="s">
        <v>128</v>
      </c>
      <c r="H1472" t="s">
        <v>128</v>
      </c>
      <c r="I1472" t="s">
        <v>128</v>
      </c>
      <c r="J1472" t="s">
        <v>128</v>
      </c>
      <c r="K1472" t="s">
        <v>128</v>
      </c>
      <c r="L1472" t="s">
        <v>128</v>
      </c>
      <c r="M1472" t="s">
        <v>2135</v>
      </c>
      <c r="N1472" t="b">
        <v>0</v>
      </c>
    </row>
    <row r="1473" spans="1:14">
      <c r="A1473">
        <v>97</v>
      </c>
      <c r="B1473">
        <v>23</v>
      </c>
      <c r="C1473" t="s">
        <v>128</v>
      </c>
      <c r="D1473" t="s">
        <v>743</v>
      </c>
      <c r="E1473" t="s">
        <v>128</v>
      </c>
      <c r="F1473">
        <v>0</v>
      </c>
      <c r="G1473" t="s">
        <v>128</v>
      </c>
      <c r="H1473" t="s">
        <v>128</v>
      </c>
      <c r="I1473" t="s">
        <v>128</v>
      </c>
      <c r="J1473" t="s">
        <v>128</v>
      </c>
      <c r="K1473" t="s">
        <v>128</v>
      </c>
      <c r="L1473" t="s">
        <v>128</v>
      </c>
      <c r="M1473" t="s">
        <v>2136</v>
      </c>
      <c r="N1473" t="b">
        <v>0</v>
      </c>
    </row>
    <row r="1474" spans="1:14">
      <c r="A1474">
        <v>97</v>
      </c>
      <c r="B1474">
        <v>24</v>
      </c>
      <c r="C1474" t="s">
        <v>128</v>
      </c>
      <c r="D1474" t="s">
        <v>743</v>
      </c>
      <c r="E1474" t="s">
        <v>128</v>
      </c>
      <c r="F1474">
        <v>0</v>
      </c>
      <c r="G1474" t="s">
        <v>128</v>
      </c>
      <c r="H1474" t="s">
        <v>128</v>
      </c>
      <c r="I1474" t="s">
        <v>128</v>
      </c>
      <c r="J1474" t="s">
        <v>128</v>
      </c>
      <c r="K1474" t="s">
        <v>128</v>
      </c>
      <c r="L1474" t="s">
        <v>128</v>
      </c>
      <c r="M1474" t="s">
        <v>2137</v>
      </c>
      <c r="N1474" t="b">
        <v>0</v>
      </c>
    </row>
    <row r="1475" spans="1:14">
      <c r="A1475">
        <v>97</v>
      </c>
      <c r="B1475">
        <v>25</v>
      </c>
      <c r="C1475" t="s">
        <v>128</v>
      </c>
      <c r="D1475" t="s">
        <v>743</v>
      </c>
      <c r="E1475" t="s">
        <v>128</v>
      </c>
      <c r="F1475">
        <v>0</v>
      </c>
      <c r="G1475" t="s">
        <v>128</v>
      </c>
      <c r="H1475" t="s">
        <v>128</v>
      </c>
      <c r="I1475" t="s">
        <v>128</v>
      </c>
      <c r="J1475" t="s">
        <v>128</v>
      </c>
      <c r="K1475" t="s">
        <v>128</v>
      </c>
      <c r="L1475" t="s">
        <v>128</v>
      </c>
      <c r="M1475" t="s">
        <v>2138</v>
      </c>
      <c r="N1475" t="b">
        <v>0</v>
      </c>
    </row>
    <row r="1476" spans="1:14">
      <c r="A1476">
        <v>97</v>
      </c>
      <c r="B1476">
        <v>26</v>
      </c>
      <c r="C1476" t="s">
        <v>128</v>
      </c>
      <c r="D1476" t="s">
        <v>743</v>
      </c>
      <c r="E1476" t="s">
        <v>128</v>
      </c>
      <c r="F1476">
        <v>0</v>
      </c>
      <c r="G1476" t="s">
        <v>128</v>
      </c>
      <c r="H1476" t="s">
        <v>128</v>
      </c>
      <c r="I1476" t="s">
        <v>128</v>
      </c>
      <c r="J1476" t="s">
        <v>128</v>
      </c>
      <c r="K1476" t="s">
        <v>128</v>
      </c>
      <c r="L1476" t="s">
        <v>128</v>
      </c>
      <c r="M1476" t="s">
        <v>2139</v>
      </c>
      <c r="N1476" t="b">
        <v>0</v>
      </c>
    </row>
    <row r="1477" spans="1:14">
      <c r="A1477">
        <v>99</v>
      </c>
      <c r="B1477">
        <v>0</v>
      </c>
      <c r="C1477" t="s">
        <v>218</v>
      </c>
      <c r="D1477" t="s">
        <v>726</v>
      </c>
      <c r="E1477" t="s">
        <v>65</v>
      </c>
      <c r="F1477">
        <v>60</v>
      </c>
      <c r="G1477" t="s">
        <v>128</v>
      </c>
      <c r="H1477" t="s">
        <v>128</v>
      </c>
      <c r="I1477" t="s">
        <v>65</v>
      </c>
      <c r="J1477" t="s">
        <v>128</v>
      </c>
      <c r="K1477" t="s">
        <v>128</v>
      </c>
      <c r="L1477" t="s">
        <v>128</v>
      </c>
      <c r="M1477" t="s">
        <v>2140</v>
      </c>
      <c r="N1477" t="b">
        <v>0</v>
      </c>
    </row>
    <row r="1478" spans="1:14">
      <c r="A1478">
        <v>99</v>
      </c>
      <c r="B1478">
        <v>1</v>
      </c>
      <c r="C1478" t="s">
        <v>219</v>
      </c>
      <c r="D1478" t="s">
        <v>726</v>
      </c>
      <c r="E1478" t="s">
        <v>77</v>
      </c>
      <c r="F1478">
        <v>60</v>
      </c>
      <c r="G1478" t="s">
        <v>128</v>
      </c>
      <c r="H1478" t="s">
        <v>128</v>
      </c>
      <c r="I1478" t="s">
        <v>77</v>
      </c>
      <c r="J1478" t="s">
        <v>128</v>
      </c>
      <c r="K1478" t="s">
        <v>128</v>
      </c>
      <c r="L1478" t="s">
        <v>128</v>
      </c>
      <c r="M1478" t="s">
        <v>2141</v>
      </c>
      <c r="N1478" t="b">
        <v>0</v>
      </c>
    </row>
    <row r="1479" spans="1:14">
      <c r="A1479">
        <v>99</v>
      </c>
      <c r="B1479">
        <v>2</v>
      </c>
      <c r="C1479" t="s">
        <v>240</v>
      </c>
      <c r="D1479" t="s">
        <v>726</v>
      </c>
      <c r="E1479" t="s">
        <v>546</v>
      </c>
      <c r="F1479">
        <v>40</v>
      </c>
      <c r="G1479" t="s">
        <v>128</v>
      </c>
      <c r="H1479" t="s">
        <v>549</v>
      </c>
      <c r="I1479" t="s">
        <v>510</v>
      </c>
      <c r="J1479" t="s">
        <v>128</v>
      </c>
      <c r="K1479" t="s">
        <v>794</v>
      </c>
      <c r="L1479" t="s">
        <v>795</v>
      </c>
      <c r="M1479" t="s">
        <v>2142</v>
      </c>
      <c r="N1479" t="b">
        <v>0</v>
      </c>
    </row>
    <row r="1480" spans="1:14">
      <c r="A1480">
        <v>99</v>
      </c>
      <c r="B1480">
        <v>3</v>
      </c>
      <c r="C1480" t="s">
        <v>241</v>
      </c>
      <c r="D1480" t="s">
        <v>726</v>
      </c>
      <c r="E1480" t="s">
        <v>546</v>
      </c>
      <c r="F1480">
        <v>40</v>
      </c>
      <c r="G1480" t="s">
        <v>128</v>
      </c>
      <c r="H1480" t="s">
        <v>559</v>
      </c>
      <c r="I1480" t="s">
        <v>488</v>
      </c>
      <c r="J1480" t="s">
        <v>128</v>
      </c>
      <c r="K1480" t="s">
        <v>797</v>
      </c>
      <c r="L1480" t="s">
        <v>798</v>
      </c>
      <c r="M1480" t="s">
        <v>2143</v>
      </c>
      <c r="N1480" t="b">
        <v>0</v>
      </c>
    </row>
    <row r="1481" spans="1:14">
      <c r="A1481">
        <v>99</v>
      </c>
      <c r="B1481">
        <v>4</v>
      </c>
      <c r="C1481" t="s">
        <v>243</v>
      </c>
      <c r="D1481" t="s">
        <v>726</v>
      </c>
      <c r="E1481" t="s">
        <v>103</v>
      </c>
      <c r="F1481">
        <v>50</v>
      </c>
      <c r="G1481" t="s">
        <v>128</v>
      </c>
      <c r="H1481" t="s">
        <v>128</v>
      </c>
      <c r="I1481" t="s">
        <v>103</v>
      </c>
      <c r="J1481" t="s">
        <v>128</v>
      </c>
      <c r="K1481" t="s">
        <v>128</v>
      </c>
      <c r="L1481" t="s">
        <v>128</v>
      </c>
      <c r="M1481" t="s">
        <v>2144</v>
      </c>
      <c r="N1481" t="b">
        <v>0</v>
      </c>
    </row>
    <row r="1482" spans="1:14">
      <c r="A1482">
        <v>99</v>
      </c>
      <c r="B1482">
        <v>5</v>
      </c>
      <c r="C1482" t="s">
        <v>474</v>
      </c>
      <c r="D1482" t="s">
        <v>726</v>
      </c>
      <c r="E1482" t="s">
        <v>299</v>
      </c>
      <c r="F1482">
        <v>20</v>
      </c>
      <c r="G1482" t="s">
        <v>128</v>
      </c>
      <c r="H1482" t="s">
        <v>1899</v>
      </c>
      <c r="I1482" t="s">
        <v>1900</v>
      </c>
      <c r="J1482" t="s">
        <v>128</v>
      </c>
      <c r="K1482" t="s">
        <v>764</v>
      </c>
      <c r="L1482" t="s">
        <v>765</v>
      </c>
      <c r="M1482" t="s">
        <v>2145</v>
      </c>
      <c r="N1482" t="b">
        <v>0</v>
      </c>
    </row>
    <row r="1483" spans="1:14">
      <c r="A1483">
        <v>99</v>
      </c>
      <c r="B1483">
        <v>6</v>
      </c>
      <c r="C1483" t="s">
        <v>256</v>
      </c>
      <c r="D1483" t="s">
        <v>726</v>
      </c>
      <c r="E1483" t="s">
        <v>115</v>
      </c>
      <c r="F1483">
        <v>40</v>
      </c>
      <c r="G1483" t="s">
        <v>128</v>
      </c>
      <c r="H1483" t="s">
        <v>128</v>
      </c>
      <c r="I1483" t="s">
        <v>115</v>
      </c>
      <c r="J1483" t="s">
        <v>128</v>
      </c>
      <c r="K1483" t="s">
        <v>128</v>
      </c>
      <c r="L1483" t="s">
        <v>128</v>
      </c>
      <c r="M1483" t="s">
        <v>2146</v>
      </c>
      <c r="N1483" t="b">
        <v>0</v>
      </c>
    </row>
    <row r="1484" spans="1:14">
      <c r="A1484">
        <v>99</v>
      </c>
      <c r="B1484">
        <v>7</v>
      </c>
      <c r="C1484" t="s">
        <v>169</v>
      </c>
      <c r="D1484" t="s">
        <v>726</v>
      </c>
      <c r="E1484" t="s">
        <v>74</v>
      </c>
      <c r="F1484">
        <v>50</v>
      </c>
      <c r="G1484" t="s">
        <v>128</v>
      </c>
      <c r="H1484" t="s">
        <v>128</v>
      </c>
      <c r="I1484" t="s">
        <v>74</v>
      </c>
      <c r="J1484" t="s">
        <v>128</v>
      </c>
      <c r="K1484" t="s">
        <v>128</v>
      </c>
      <c r="L1484" t="s">
        <v>128</v>
      </c>
      <c r="M1484" t="s">
        <v>2147</v>
      </c>
      <c r="N1484" t="b">
        <v>0</v>
      </c>
    </row>
    <row r="1485" spans="1:14">
      <c r="A1485">
        <v>99</v>
      </c>
      <c r="B1485">
        <v>8</v>
      </c>
      <c r="C1485" t="s">
        <v>475</v>
      </c>
      <c r="D1485" t="s">
        <v>726</v>
      </c>
      <c r="E1485" t="s">
        <v>360</v>
      </c>
      <c r="F1485">
        <v>50</v>
      </c>
      <c r="G1485" t="s">
        <v>128</v>
      </c>
      <c r="H1485" t="s">
        <v>565</v>
      </c>
      <c r="I1485" t="s">
        <v>1625</v>
      </c>
      <c r="J1485" t="s">
        <v>128</v>
      </c>
      <c r="K1485" t="s">
        <v>1166</v>
      </c>
      <c r="L1485" t="s">
        <v>1167</v>
      </c>
      <c r="M1485" t="s">
        <v>2148</v>
      </c>
      <c r="N1485" t="b">
        <v>0</v>
      </c>
    </row>
    <row r="1486" spans="1:14">
      <c r="A1486">
        <v>99</v>
      </c>
      <c r="B1486">
        <v>9</v>
      </c>
      <c r="C1486" t="s">
        <v>476</v>
      </c>
      <c r="D1486" t="s">
        <v>726</v>
      </c>
      <c r="E1486" t="s">
        <v>360</v>
      </c>
      <c r="F1486">
        <v>30</v>
      </c>
      <c r="G1486" t="s">
        <v>128</v>
      </c>
      <c r="H1486" t="s">
        <v>561</v>
      </c>
      <c r="I1486" t="s">
        <v>365</v>
      </c>
      <c r="J1486" t="s">
        <v>128</v>
      </c>
      <c r="K1486" t="s">
        <v>1180</v>
      </c>
      <c r="L1486" t="s">
        <v>1181</v>
      </c>
      <c r="M1486" t="s">
        <v>2149</v>
      </c>
      <c r="N1486" t="b">
        <v>0</v>
      </c>
    </row>
    <row r="1487" spans="1:14">
      <c r="A1487">
        <v>99</v>
      </c>
      <c r="B1487">
        <v>10</v>
      </c>
      <c r="C1487" t="s">
        <v>359</v>
      </c>
      <c r="D1487" t="s">
        <v>726</v>
      </c>
      <c r="E1487" t="s">
        <v>547</v>
      </c>
      <c r="F1487">
        <v>50</v>
      </c>
      <c r="G1487" t="s">
        <v>128</v>
      </c>
      <c r="H1487" t="s">
        <v>585</v>
      </c>
      <c r="I1487" t="s">
        <v>498</v>
      </c>
      <c r="J1487" t="s">
        <v>128</v>
      </c>
      <c r="K1487" t="s">
        <v>803</v>
      </c>
      <c r="L1487" t="s">
        <v>804</v>
      </c>
      <c r="M1487" t="s">
        <v>2150</v>
      </c>
      <c r="N1487" t="b">
        <v>0</v>
      </c>
    </row>
    <row r="1488" spans="1:14">
      <c r="A1488">
        <v>99</v>
      </c>
      <c r="B1488">
        <v>11</v>
      </c>
      <c r="C1488" t="s">
        <v>294</v>
      </c>
      <c r="D1488" t="s">
        <v>726</v>
      </c>
      <c r="E1488" t="s">
        <v>107</v>
      </c>
      <c r="F1488">
        <v>60</v>
      </c>
      <c r="G1488" t="s">
        <v>128</v>
      </c>
      <c r="H1488" t="s">
        <v>128</v>
      </c>
      <c r="I1488" t="s">
        <v>107</v>
      </c>
      <c r="J1488" t="s">
        <v>128</v>
      </c>
      <c r="K1488" t="s">
        <v>128</v>
      </c>
      <c r="L1488" t="s">
        <v>128</v>
      </c>
      <c r="M1488" t="s">
        <v>2151</v>
      </c>
      <c r="N1488" t="b">
        <v>0</v>
      </c>
    </row>
    <row r="1489" spans="1:14">
      <c r="A1489">
        <v>99</v>
      </c>
      <c r="B1489">
        <v>12</v>
      </c>
      <c r="C1489" t="s">
        <v>128</v>
      </c>
      <c r="D1489" t="s">
        <v>726</v>
      </c>
      <c r="E1489" t="s">
        <v>128</v>
      </c>
      <c r="F1489">
        <v>0</v>
      </c>
      <c r="G1489" t="s">
        <v>128</v>
      </c>
      <c r="H1489" t="s">
        <v>128</v>
      </c>
      <c r="I1489" t="s">
        <v>128</v>
      </c>
      <c r="J1489" t="s">
        <v>128</v>
      </c>
      <c r="K1489" t="s">
        <v>128</v>
      </c>
      <c r="L1489" t="s">
        <v>128</v>
      </c>
      <c r="M1489" t="s">
        <v>2152</v>
      </c>
      <c r="N1489" t="b">
        <v>0</v>
      </c>
    </row>
    <row r="1490" spans="1:14">
      <c r="A1490">
        <v>99</v>
      </c>
      <c r="B1490">
        <v>13</v>
      </c>
      <c r="C1490" t="s">
        <v>128</v>
      </c>
      <c r="D1490" t="s">
        <v>726</v>
      </c>
      <c r="E1490" t="s">
        <v>128</v>
      </c>
      <c r="F1490">
        <v>0</v>
      </c>
      <c r="G1490" t="s">
        <v>128</v>
      </c>
      <c r="H1490" t="s">
        <v>128</v>
      </c>
      <c r="I1490" t="s">
        <v>128</v>
      </c>
      <c r="J1490" t="s">
        <v>128</v>
      </c>
      <c r="K1490" t="s">
        <v>128</v>
      </c>
      <c r="L1490" t="s">
        <v>128</v>
      </c>
      <c r="M1490" t="s">
        <v>2153</v>
      </c>
      <c r="N1490" t="b">
        <v>0</v>
      </c>
    </row>
    <row r="1491" spans="1:14">
      <c r="A1491">
        <v>99</v>
      </c>
      <c r="B1491">
        <v>14</v>
      </c>
      <c r="C1491" t="s">
        <v>128</v>
      </c>
      <c r="D1491" t="s">
        <v>726</v>
      </c>
      <c r="E1491" t="s">
        <v>128</v>
      </c>
      <c r="F1491">
        <v>0</v>
      </c>
      <c r="G1491" t="s">
        <v>128</v>
      </c>
      <c r="H1491" t="s">
        <v>128</v>
      </c>
      <c r="I1491" t="s">
        <v>128</v>
      </c>
      <c r="J1491" t="s">
        <v>128</v>
      </c>
      <c r="K1491" t="s">
        <v>128</v>
      </c>
      <c r="L1491" t="s">
        <v>128</v>
      </c>
      <c r="M1491" t="s">
        <v>2154</v>
      </c>
      <c r="N1491" t="b">
        <v>0</v>
      </c>
    </row>
    <row r="1492" spans="1:14">
      <c r="A1492">
        <v>99</v>
      </c>
      <c r="B1492">
        <v>15</v>
      </c>
      <c r="C1492" t="s">
        <v>128</v>
      </c>
      <c r="D1492" t="s">
        <v>726</v>
      </c>
      <c r="E1492" t="s">
        <v>128</v>
      </c>
      <c r="F1492">
        <v>0</v>
      </c>
      <c r="G1492" t="s">
        <v>128</v>
      </c>
      <c r="H1492" t="s">
        <v>128</v>
      </c>
      <c r="I1492" t="s">
        <v>128</v>
      </c>
      <c r="J1492" t="s">
        <v>128</v>
      </c>
      <c r="K1492" t="s">
        <v>128</v>
      </c>
      <c r="L1492" t="s">
        <v>128</v>
      </c>
      <c r="M1492" t="s">
        <v>2155</v>
      </c>
      <c r="N1492" t="b">
        <v>0</v>
      </c>
    </row>
    <row r="1493" spans="1:14">
      <c r="A1493">
        <v>99</v>
      </c>
      <c r="B1493">
        <v>16</v>
      </c>
      <c r="C1493" t="s">
        <v>128</v>
      </c>
      <c r="D1493" t="s">
        <v>743</v>
      </c>
      <c r="E1493" t="s">
        <v>128</v>
      </c>
      <c r="F1493">
        <v>0</v>
      </c>
      <c r="G1493" t="s">
        <v>128</v>
      </c>
      <c r="H1493" t="s">
        <v>128</v>
      </c>
      <c r="I1493" t="s">
        <v>128</v>
      </c>
      <c r="J1493" t="s">
        <v>128</v>
      </c>
      <c r="K1493" t="s">
        <v>128</v>
      </c>
      <c r="L1493" t="s">
        <v>128</v>
      </c>
      <c r="M1493" t="s">
        <v>2156</v>
      </c>
      <c r="N1493" t="b">
        <v>0</v>
      </c>
    </row>
    <row r="1494" spans="1:14">
      <c r="A1494">
        <v>99</v>
      </c>
      <c r="B1494">
        <v>17</v>
      </c>
      <c r="C1494" t="s">
        <v>128</v>
      </c>
      <c r="D1494" t="s">
        <v>743</v>
      </c>
      <c r="E1494" t="s">
        <v>128</v>
      </c>
      <c r="F1494">
        <v>0</v>
      </c>
      <c r="G1494" t="s">
        <v>128</v>
      </c>
      <c r="H1494" t="s">
        <v>128</v>
      </c>
      <c r="I1494" t="s">
        <v>128</v>
      </c>
      <c r="J1494" t="s">
        <v>128</v>
      </c>
      <c r="K1494" t="s">
        <v>128</v>
      </c>
      <c r="L1494" t="s">
        <v>128</v>
      </c>
      <c r="M1494" t="s">
        <v>2157</v>
      </c>
      <c r="N1494" t="b">
        <v>0</v>
      </c>
    </row>
    <row r="1495" spans="1:14">
      <c r="A1495">
        <v>99</v>
      </c>
      <c r="B1495">
        <v>18</v>
      </c>
      <c r="C1495" t="s">
        <v>128</v>
      </c>
      <c r="D1495" t="s">
        <v>743</v>
      </c>
      <c r="E1495" t="s">
        <v>128</v>
      </c>
      <c r="F1495">
        <v>0</v>
      </c>
      <c r="G1495" t="s">
        <v>128</v>
      </c>
      <c r="H1495" t="s">
        <v>128</v>
      </c>
      <c r="I1495" t="s">
        <v>128</v>
      </c>
      <c r="J1495" t="s">
        <v>128</v>
      </c>
      <c r="K1495" t="s">
        <v>128</v>
      </c>
      <c r="L1495" t="s">
        <v>128</v>
      </c>
      <c r="M1495" t="s">
        <v>2158</v>
      </c>
      <c r="N1495" t="b">
        <v>0</v>
      </c>
    </row>
    <row r="1496" spans="1:14">
      <c r="A1496">
        <v>99</v>
      </c>
      <c r="B1496">
        <v>19</v>
      </c>
      <c r="C1496" t="s">
        <v>128</v>
      </c>
      <c r="D1496" t="s">
        <v>743</v>
      </c>
      <c r="E1496" t="s">
        <v>128</v>
      </c>
      <c r="F1496">
        <v>0</v>
      </c>
      <c r="G1496" t="s">
        <v>128</v>
      </c>
      <c r="H1496" t="s">
        <v>128</v>
      </c>
      <c r="I1496" t="s">
        <v>128</v>
      </c>
      <c r="J1496" t="s">
        <v>128</v>
      </c>
      <c r="K1496" t="s">
        <v>128</v>
      </c>
      <c r="L1496" t="s">
        <v>128</v>
      </c>
      <c r="M1496" t="s">
        <v>2159</v>
      </c>
      <c r="N1496" t="b">
        <v>0</v>
      </c>
    </row>
    <row r="1497" spans="1:14">
      <c r="A1497">
        <v>99</v>
      </c>
      <c r="B1497">
        <v>20</v>
      </c>
      <c r="C1497" t="s">
        <v>128</v>
      </c>
      <c r="D1497" t="s">
        <v>743</v>
      </c>
      <c r="E1497" t="s">
        <v>128</v>
      </c>
      <c r="F1497">
        <v>0</v>
      </c>
      <c r="G1497" t="s">
        <v>128</v>
      </c>
      <c r="H1497" t="s">
        <v>128</v>
      </c>
      <c r="I1497" t="s">
        <v>128</v>
      </c>
      <c r="J1497" t="s">
        <v>128</v>
      </c>
      <c r="K1497" t="s">
        <v>128</v>
      </c>
      <c r="L1497" t="s">
        <v>128</v>
      </c>
      <c r="M1497" t="s">
        <v>2160</v>
      </c>
      <c r="N1497" t="b">
        <v>0</v>
      </c>
    </row>
    <row r="1498" spans="1:14">
      <c r="A1498">
        <v>99</v>
      </c>
      <c r="B1498">
        <v>21</v>
      </c>
      <c r="C1498" t="s">
        <v>128</v>
      </c>
      <c r="D1498" t="s">
        <v>743</v>
      </c>
      <c r="E1498" t="s">
        <v>128</v>
      </c>
      <c r="F1498">
        <v>0</v>
      </c>
      <c r="G1498" t="s">
        <v>128</v>
      </c>
      <c r="H1498" t="s">
        <v>128</v>
      </c>
      <c r="I1498" t="s">
        <v>128</v>
      </c>
      <c r="J1498" t="s">
        <v>128</v>
      </c>
      <c r="K1498" t="s">
        <v>128</v>
      </c>
      <c r="L1498" t="s">
        <v>128</v>
      </c>
      <c r="M1498" t="s">
        <v>2161</v>
      </c>
      <c r="N1498" t="b">
        <v>0</v>
      </c>
    </row>
    <row r="1499" spans="1:14">
      <c r="A1499">
        <v>99</v>
      </c>
      <c r="B1499">
        <v>22</v>
      </c>
      <c r="C1499" t="s">
        <v>128</v>
      </c>
      <c r="D1499" t="s">
        <v>743</v>
      </c>
      <c r="E1499" t="s">
        <v>128</v>
      </c>
      <c r="F1499">
        <v>0</v>
      </c>
      <c r="G1499" t="s">
        <v>128</v>
      </c>
      <c r="H1499" t="s">
        <v>128</v>
      </c>
      <c r="I1499" t="s">
        <v>128</v>
      </c>
      <c r="J1499" t="s">
        <v>128</v>
      </c>
      <c r="K1499" t="s">
        <v>128</v>
      </c>
      <c r="L1499" t="s">
        <v>128</v>
      </c>
      <c r="M1499" t="s">
        <v>2162</v>
      </c>
      <c r="N1499" t="b">
        <v>0</v>
      </c>
    </row>
    <row r="1500" spans="1:14">
      <c r="A1500">
        <v>99</v>
      </c>
      <c r="B1500">
        <v>23</v>
      </c>
      <c r="C1500" t="s">
        <v>128</v>
      </c>
      <c r="D1500" t="s">
        <v>743</v>
      </c>
      <c r="E1500" t="s">
        <v>128</v>
      </c>
      <c r="F1500">
        <v>0</v>
      </c>
      <c r="G1500" t="s">
        <v>128</v>
      </c>
      <c r="H1500" t="s">
        <v>128</v>
      </c>
      <c r="I1500" t="s">
        <v>128</v>
      </c>
      <c r="J1500" t="s">
        <v>128</v>
      </c>
      <c r="K1500" t="s">
        <v>128</v>
      </c>
      <c r="L1500" t="s">
        <v>128</v>
      </c>
      <c r="M1500" t="s">
        <v>2163</v>
      </c>
      <c r="N1500" t="b">
        <v>0</v>
      </c>
    </row>
    <row r="1501" spans="1:14">
      <c r="A1501">
        <v>99</v>
      </c>
      <c r="B1501">
        <v>24</v>
      </c>
      <c r="C1501" t="s">
        <v>128</v>
      </c>
      <c r="D1501" t="s">
        <v>743</v>
      </c>
      <c r="E1501" t="s">
        <v>128</v>
      </c>
      <c r="F1501">
        <v>0</v>
      </c>
      <c r="G1501" t="s">
        <v>128</v>
      </c>
      <c r="H1501" t="s">
        <v>128</v>
      </c>
      <c r="I1501" t="s">
        <v>128</v>
      </c>
      <c r="J1501" t="s">
        <v>128</v>
      </c>
      <c r="K1501" t="s">
        <v>128</v>
      </c>
      <c r="L1501" t="s">
        <v>128</v>
      </c>
      <c r="M1501" t="s">
        <v>2164</v>
      </c>
      <c r="N1501" t="b">
        <v>0</v>
      </c>
    </row>
    <row r="1502" spans="1:14">
      <c r="A1502">
        <v>99</v>
      </c>
      <c r="B1502">
        <v>25</v>
      </c>
      <c r="C1502" t="s">
        <v>128</v>
      </c>
      <c r="D1502" t="s">
        <v>743</v>
      </c>
      <c r="E1502" t="s">
        <v>128</v>
      </c>
      <c r="F1502">
        <v>0</v>
      </c>
      <c r="G1502" t="s">
        <v>128</v>
      </c>
      <c r="H1502" t="s">
        <v>128</v>
      </c>
      <c r="I1502" t="s">
        <v>128</v>
      </c>
      <c r="J1502" t="s">
        <v>128</v>
      </c>
      <c r="K1502" t="s">
        <v>128</v>
      </c>
      <c r="L1502" t="s">
        <v>128</v>
      </c>
      <c r="M1502" t="s">
        <v>2165</v>
      </c>
      <c r="N1502" t="b">
        <v>0</v>
      </c>
    </row>
    <row r="1503" spans="1:14">
      <c r="A1503">
        <v>99</v>
      </c>
      <c r="B1503">
        <v>26</v>
      </c>
      <c r="C1503" t="s">
        <v>128</v>
      </c>
      <c r="D1503" t="s">
        <v>743</v>
      </c>
      <c r="E1503" t="s">
        <v>128</v>
      </c>
      <c r="F1503">
        <v>0</v>
      </c>
      <c r="G1503" t="s">
        <v>128</v>
      </c>
      <c r="H1503" t="s">
        <v>128</v>
      </c>
      <c r="I1503" t="s">
        <v>128</v>
      </c>
      <c r="J1503" t="s">
        <v>128</v>
      </c>
      <c r="K1503" t="s">
        <v>128</v>
      </c>
      <c r="L1503" t="s">
        <v>128</v>
      </c>
      <c r="M1503" t="s">
        <v>2166</v>
      </c>
      <c r="N1503" t="b">
        <v>0</v>
      </c>
    </row>
    <row r="1504" spans="1:14">
      <c r="A1504">
        <v>102</v>
      </c>
      <c r="B1504">
        <v>0</v>
      </c>
      <c r="C1504" t="s">
        <v>218</v>
      </c>
      <c r="D1504" t="s">
        <v>726</v>
      </c>
      <c r="E1504" t="s">
        <v>65</v>
      </c>
      <c r="F1504">
        <v>60</v>
      </c>
      <c r="G1504" t="s">
        <v>128</v>
      </c>
      <c r="H1504" t="s">
        <v>128</v>
      </c>
      <c r="I1504" t="s">
        <v>65</v>
      </c>
      <c r="J1504" t="s">
        <v>128</v>
      </c>
      <c r="K1504" t="s">
        <v>128</v>
      </c>
      <c r="L1504" t="s">
        <v>128</v>
      </c>
      <c r="M1504" t="s">
        <v>2167</v>
      </c>
      <c r="N1504" t="b">
        <v>0</v>
      </c>
    </row>
    <row r="1505" spans="1:14">
      <c r="A1505">
        <v>102</v>
      </c>
      <c r="B1505">
        <v>1</v>
      </c>
      <c r="C1505" t="s">
        <v>331</v>
      </c>
      <c r="D1505" t="s">
        <v>726</v>
      </c>
      <c r="E1505" t="s">
        <v>77</v>
      </c>
      <c r="F1505">
        <v>40</v>
      </c>
      <c r="G1505" t="s">
        <v>128</v>
      </c>
      <c r="H1505" t="s">
        <v>128</v>
      </c>
      <c r="I1505" t="s">
        <v>77</v>
      </c>
      <c r="J1505" t="s">
        <v>128</v>
      </c>
      <c r="K1505" t="s">
        <v>128</v>
      </c>
      <c r="L1505" t="s">
        <v>128</v>
      </c>
      <c r="M1505" t="s">
        <v>2168</v>
      </c>
      <c r="N1505" t="b">
        <v>0</v>
      </c>
    </row>
    <row r="1506" spans="1:14">
      <c r="A1506">
        <v>102</v>
      </c>
      <c r="B1506">
        <v>2</v>
      </c>
      <c r="C1506" t="s">
        <v>270</v>
      </c>
      <c r="D1506" t="s">
        <v>726</v>
      </c>
      <c r="E1506" t="s">
        <v>83</v>
      </c>
      <c r="F1506">
        <v>30</v>
      </c>
      <c r="G1506" t="s">
        <v>128</v>
      </c>
      <c r="H1506" t="s">
        <v>128</v>
      </c>
      <c r="I1506" t="s">
        <v>83</v>
      </c>
      <c r="J1506" t="s">
        <v>128</v>
      </c>
      <c r="K1506" t="s">
        <v>128</v>
      </c>
      <c r="L1506" t="s">
        <v>128</v>
      </c>
      <c r="M1506" t="s">
        <v>2169</v>
      </c>
      <c r="N1506" t="b">
        <v>0</v>
      </c>
    </row>
    <row r="1507" spans="1:14">
      <c r="A1507">
        <v>102</v>
      </c>
      <c r="B1507">
        <v>3</v>
      </c>
      <c r="C1507" t="s">
        <v>485</v>
      </c>
      <c r="D1507" t="s">
        <v>726</v>
      </c>
      <c r="E1507" t="s">
        <v>546</v>
      </c>
      <c r="F1507">
        <v>50</v>
      </c>
      <c r="G1507" t="s">
        <v>128</v>
      </c>
      <c r="H1507" t="s">
        <v>549</v>
      </c>
      <c r="I1507" t="s">
        <v>510</v>
      </c>
      <c r="J1507" t="s">
        <v>128</v>
      </c>
      <c r="K1507" t="s">
        <v>794</v>
      </c>
      <c r="L1507" t="s">
        <v>795</v>
      </c>
      <c r="M1507" t="s">
        <v>2170</v>
      </c>
      <c r="N1507" t="b">
        <v>0</v>
      </c>
    </row>
    <row r="1508" spans="1:14">
      <c r="A1508">
        <v>102</v>
      </c>
      <c r="B1508">
        <v>4</v>
      </c>
      <c r="C1508" t="s">
        <v>486</v>
      </c>
      <c r="D1508" t="s">
        <v>726</v>
      </c>
      <c r="E1508" t="s">
        <v>546</v>
      </c>
      <c r="F1508">
        <v>50</v>
      </c>
      <c r="G1508" t="s">
        <v>128</v>
      </c>
      <c r="H1508" t="s">
        <v>559</v>
      </c>
      <c r="I1508" t="s">
        <v>488</v>
      </c>
      <c r="J1508" t="s">
        <v>128</v>
      </c>
      <c r="K1508" t="s">
        <v>797</v>
      </c>
      <c r="L1508" t="s">
        <v>798</v>
      </c>
      <c r="M1508" t="s">
        <v>2171</v>
      </c>
      <c r="N1508" t="b">
        <v>0</v>
      </c>
    </row>
    <row r="1509" spans="1:14">
      <c r="A1509">
        <v>102</v>
      </c>
      <c r="B1509">
        <v>5</v>
      </c>
      <c r="C1509" t="s">
        <v>221</v>
      </c>
      <c r="D1509" t="s">
        <v>726</v>
      </c>
      <c r="E1509" t="s">
        <v>101</v>
      </c>
      <c r="F1509">
        <v>60</v>
      </c>
      <c r="G1509" t="s">
        <v>128</v>
      </c>
      <c r="H1509" t="s">
        <v>128</v>
      </c>
      <c r="I1509" t="s">
        <v>101</v>
      </c>
      <c r="J1509" t="s">
        <v>128</v>
      </c>
      <c r="K1509" t="s">
        <v>128</v>
      </c>
      <c r="L1509" t="s">
        <v>128</v>
      </c>
      <c r="M1509" t="s">
        <v>2172</v>
      </c>
      <c r="N1509" t="b">
        <v>0</v>
      </c>
    </row>
    <row r="1510" spans="1:14">
      <c r="A1510">
        <v>102</v>
      </c>
      <c r="B1510">
        <v>6</v>
      </c>
      <c r="C1510" t="s">
        <v>341</v>
      </c>
      <c r="D1510" t="s">
        <v>726</v>
      </c>
      <c r="E1510" t="s">
        <v>112</v>
      </c>
      <c r="F1510">
        <v>40</v>
      </c>
      <c r="G1510" t="s">
        <v>128</v>
      </c>
      <c r="H1510" t="s">
        <v>128</v>
      </c>
      <c r="I1510" t="s">
        <v>112</v>
      </c>
      <c r="J1510" t="s">
        <v>128</v>
      </c>
      <c r="K1510" t="s">
        <v>128</v>
      </c>
      <c r="L1510" t="s">
        <v>128</v>
      </c>
      <c r="M1510" t="s">
        <v>2173</v>
      </c>
      <c r="N1510" t="b">
        <v>0</v>
      </c>
    </row>
    <row r="1511" spans="1:14">
      <c r="A1511">
        <v>102</v>
      </c>
      <c r="B1511">
        <v>7</v>
      </c>
      <c r="C1511" t="s">
        <v>384</v>
      </c>
      <c r="D1511" t="s">
        <v>726</v>
      </c>
      <c r="E1511" t="s">
        <v>333</v>
      </c>
      <c r="F1511">
        <v>50</v>
      </c>
      <c r="G1511" t="s">
        <v>128</v>
      </c>
      <c r="H1511" t="s">
        <v>560</v>
      </c>
      <c r="I1511" t="s">
        <v>479</v>
      </c>
      <c r="J1511" t="s">
        <v>128</v>
      </c>
      <c r="K1511" t="s">
        <v>923</v>
      </c>
      <c r="L1511" t="s">
        <v>924</v>
      </c>
      <c r="M1511" t="s">
        <v>2174</v>
      </c>
      <c r="N1511" t="b">
        <v>0</v>
      </c>
    </row>
    <row r="1512" spans="1:14">
      <c r="A1512">
        <v>102</v>
      </c>
      <c r="B1512">
        <v>8</v>
      </c>
      <c r="C1512" t="s">
        <v>169</v>
      </c>
      <c r="D1512" t="s">
        <v>726</v>
      </c>
      <c r="E1512" t="s">
        <v>74</v>
      </c>
      <c r="F1512">
        <v>50</v>
      </c>
      <c r="G1512" t="s">
        <v>128</v>
      </c>
      <c r="H1512" t="s">
        <v>128</v>
      </c>
      <c r="I1512" t="s">
        <v>74</v>
      </c>
      <c r="J1512" t="s">
        <v>128</v>
      </c>
      <c r="K1512" t="s">
        <v>128</v>
      </c>
      <c r="L1512" t="s">
        <v>128</v>
      </c>
      <c r="M1512" t="s">
        <v>2175</v>
      </c>
      <c r="N1512" t="b">
        <v>0</v>
      </c>
    </row>
    <row r="1513" spans="1:14">
      <c r="A1513">
        <v>102</v>
      </c>
      <c r="B1513">
        <v>9</v>
      </c>
      <c r="C1513" t="s">
        <v>487</v>
      </c>
      <c r="D1513" t="s">
        <v>726</v>
      </c>
      <c r="E1513" t="s">
        <v>360</v>
      </c>
      <c r="F1513">
        <v>50</v>
      </c>
      <c r="G1513" t="s">
        <v>128</v>
      </c>
      <c r="H1513" t="s">
        <v>561</v>
      </c>
      <c r="I1513" t="s">
        <v>365</v>
      </c>
      <c r="J1513" t="s">
        <v>128</v>
      </c>
      <c r="K1513" t="s">
        <v>1166</v>
      </c>
      <c r="L1513" t="s">
        <v>1167</v>
      </c>
      <c r="M1513" t="s">
        <v>2176</v>
      </c>
      <c r="N1513" t="b">
        <v>0</v>
      </c>
    </row>
    <row r="1514" spans="1:14">
      <c r="A1514">
        <v>102</v>
      </c>
      <c r="B1514">
        <v>10</v>
      </c>
      <c r="C1514" t="s">
        <v>272</v>
      </c>
      <c r="D1514" t="s">
        <v>726</v>
      </c>
      <c r="E1514" t="s">
        <v>547</v>
      </c>
      <c r="F1514">
        <v>40</v>
      </c>
      <c r="G1514" t="s">
        <v>128</v>
      </c>
      <c r="H1514" t="s">
        <v>585</v>
      </c>
      <c r="I1514" t="s">
        <v>498</v>
      </c>
      <c r="J1514" t="s">
        <v>128</v>
      </c>
      <c r="K1514" t="s">
        <v>803</v>
      </c>
      <c r="L1514" t="s">
        <v>804</v>
      </c>
      <c r="M1514" t="s">
        <v>2177</v>
      </c>
      <c r="N1514" t="b">
        <v>0</v>
      </c>
    </row>
    <row r="1515" spans="1:14">
      <c r="A1515">
        <v>102</v>
      </c>
      <c r="B1515">
        <v>11</v>
      </c>
      <c r="C1515" t="s">
        <v>225</v>
      </c>
      <c r="D1515" t="s">
        <v>726</v>
      </c>
      <c r="E1515" t="s">
        <v>107</v>
      </c>
      <c r="F1515">
        <v>50</v>
      </c>
      <c r="G1515" t="s">
        <v>128</v>
      </c>
      <c r="H1515" t="s">
        <v>128</v>
      </c>
      <c r="I1515" t="s">
        <v>107</v>
      </c>
      <c r="J1515" t="s">
        <v>128</v>
      </c>
      <c r="K1515" t="s">
        <v>128</v>
      </c>
      <c r="L1515" t="s">
        <v>128</v>
      </c>
      <c r="M1515" t="s">
        <v>2178</v>
      </c>
      <c r="N1515" t="b">
        <v>0</v>
      </c>
    </row>
    <row r="1516" spans="1:14">
      <c r="A1516">
        <v>102</v>
      </c>
      <c r="B1516">
        <v>12</v>
      </c>
      <c r="C1516" t="s">
        <v>128</v>
      </c>
      <c r="D1516" t="s">
        <v>726</v>
      </c>
      <c r="E1516" t="s">
        <v>128</v>
      </c>
      <c r="F1516">
        <v>0</v>
      </c>
      <c r="G1516" t="s">
        <v>128</v>
      </c>
      <c r="H1516" t="s">
        <v>128</v>
      </c>
      <c r="I1516" t="s">
        <v>128</v>
      </c>
      <c r="J1516" t="s">
        <v>128</v>
      </c>
      <c r="K1516" t="s">
        <v>128</v>
      </c>
      <c r="L1516" t="s">
        <v>128</v>
      </c>
      <c r="M1516" t="s">
        <v>2179</v>
      </c>
      <c r="N1516" t="b">
        <v>0</v>
      </c>
    </row>
    <row r="1517" spans="1:14">
      <c r="A1517">
        <v>102</v>
      </c>
      <c r="B1517">
        <v>13</v>
      </c>
      <c r="C1517" t="s">
        <v>128</v>
      </c>
      <c r="D1517" t="s">
        <v>726</v>
      </c>
      <c r="E1517" t="s">
        <v>128</v>
      </c>
      <c r="F1517">
        <v>0</v>
      </c>
      <c r="G1517" t="s">
        <v>128</v>
      </c>
      <c r="H1517" t="s">
        <v>128</v>
      </c>
      <c r="I1517" t="s">
        <v>128</v>
      </c>
      <c r="J1517" t="s">
        <v>128</v>
      </c>
      <c r="K1517" t="s">
        <v>128</v>
      </c>
      <c r="L1517" t="s">
        <v>128</v>
      </c>
      <c r="M1517" t="s">
        <v>2180</v>
      </c>
      <c r="N1517" t="b">
        <v>0</v>
      </c>
    </row>
    <row r="1518" spans="1:14">
      <c r="A1518">
        <v>102</v>
      </c>
      <c r="B1518">
        <v>14</v>
      </c>
      <c r="C1518" t="s">
        <v>128</v>
      </c>
      <c r="D1518" t="s">
        <v>726</v>
      </c>
      <c r="E1518" t="s">
        <v>128</v>
      </c>
      <c r="F1518">
        <v>0</v>
      </c>
      <c r="G1518" t="s">
        <v>128</v>
      </c>
      <c r="H1518" t="s">
        <v>128</v>
      </c>
      <c r="I1518" t="s">
        <v>128</v>
      </c>
      <c r="J1518" t="s">
        <v>128</v>
      </c>
      <c r="K1518" t="s">
        <v>128</v>
      </c>
      <c r="L1518" t="s">
        <v>128</v>
      </c>
      <c r="M1518" t="s">
        <v>2181</v>
      </c>
      <c r="N1518" t="b">
        <v>0</v>
      </c>
    </row>
    <row r="1519" spans="1:14">
      <c r="A1519">
        <v>102</v>
      </c>
      <c r="B1519">
        <v>15</v>
      </c>
      <c r="C1519" t="s">
        <v>128</v>
      </c>
      <c r="D1519" t="s">
        <v>726</v>
      </c>
      <c r="E1519" t="s">
        <v>128</v>
      </c>
      <c r="F1519">
        <v>0</v>
      </c>
      <c r="G1519" t="s">
        <v>128</v>
      </c>
      <c r="H1519" t="s">
        <v>128</v>
      </c>
      <c r="I1519" t="s">
        <v>128</v>
      </c>
      <c r="J1519" t="s">
        <v>128</v>
      </c>
      <c r="K1519" t="s">
        <v>128</v>
      </c>
      <c r="L1519" t="s">
        <v>128</v>
      </c>
      <c r="M1519" t="s">
        <v>2182</v>
      </c>
      <c r="N1519" t="b">
        <v>0</v>
      </c>
    </row>
    <row r="1520" spans="1:14">
      <c r="A1520">
        <v>102</v>
      </c>
      <c r="B1520">
        <v>16</v>
      </c>
      <c r="C1520" t="s">
        <v>128</v>
      </c>
      <c r="D1520" t="s">
        <v>743</v>
      </c>
      <c r="E1520" t="s">
        <v>128</v>
      </c>
      <c r="F1520">
        <v>0</v>
      </c>
      <c r="G1520" t="s">
        <v>128</v>
      </c>
      <c r="H1520" t="s">
        <v>128</v>
      </c>
      <c r="I1520" t="s">
        <v>128</v>
      </c>
      <c r="J1520" t="s">
        <v>128</v>
      </c>
      <c r="K1520" t="s">
        <v>128</v>
      </c>
      <c r="L1520" t="s">
        <v>128</v>
      </c>
      <c r="M1520" t="s">
        <v>2183</v>
      </c>
      <c r="N1520" t="b">
        <v>0</v>
      </c>
    </row>
    <row r="1521" spans="1:14">
      <c r="A1521">
        <v>102</v>
      </c>
      <c r="B1521">
        <v>17</v>
      </c>
      <c r="C1521" t="s">
        <v>128</v>
      </c>
      <c r="D1521" t="s">
        <v>743</v>
      </c>
      <c r="E1521" t="s">
        <v>128</v>
      </c>
      <c r="F1521">
        <v>0</v>
      </c>
      <c r="G1521" t="s">
        <v>128</v>
      </c>
      <c r="H1521" t="s">
        <v>128</v>
      </c>
      <c r="I1521" t="s">
        <v>128</v>
      </c>
      <c r="J1521" t="s">
        <v>128</v>
      </c>
      <c r="K1521" t="s">
        <v>128</v>
      </c>
      <c r="L1521" t="s">
        <v>128</v>
      </c>
      <c r="M1521" t="s">
        <v>2184</v>
      </c>
      <c r="N1521" t="b">
        <v>0</v>
      </c>
    </row>
    <row r="1522" spans="1:14">
      <c r="A1522">
        <v>102</v>
      </c>
      <c r="B1522">
        <v>18</v>
      </c>
      <c r="C1522" t="s">
        <v>128</v>
      </c>
      <c r="D1522" t="s">
        <v>743</v>
      </c>
      <c r="E1522" t="s">
        <v>128</v>
      </c>
      <c r="F1522">
        <v>0</v>
      </c>
      <c r="G1522" t="s">
        <v>128</v>
      </c>
      <c r="H1522" t="s">
        <v>128</v>
      </c>
      <c r="I1522" t="s">
        <v>128</v>
      </c>
      <c r="J1522" t="s">
        <v>128</v>
      </c>
      <c r="K1522" t="s">
        <v>128</v>
      </c>
      <c r="L1522" t="s">
        <v>128</v>
      </c>
      <c r="M1522" t="s">
        <v>2185</v>
      </c>
      <c r="N1522" t="b">
        <v>0</v>
      </c>
    </row>
    <row r="1523" spans="1:14">
      <c r="A1523">
        <v>102</v>
      </c>
      <c r="B1523">
        <v>19</v>
      </c>
      <c r="C1523" t="s">
        <v>128</v>
      </c>
      <c r="D1523" t="s">
        <v>743</v>
      </c>
      <c r="E1523" t="s">
        <v>128</v>
      </c>
      <c r="F1523">
        <v>0</v>
      </c>
      <c r="G1523" t="s">
        <v>128</v>
      </c>
      <c r="H1523" t="s">
        <v>128</v>
      </c>
      <c r="I1523" t="s">
        <v>128</v>
      </c>
      <c r="J1523" t="s">
        <v>128</v>
      </c>
      <c r="K1523" t="s">
        <v>128</v>
      </c>
      <c r="L1523" t="s">
        <v>128</v>
      </c>
      <c r="M1523" t="s">
        <v>2186</v>
      </c>
      <c r="N1523" t="b">
        <v>0</v>
      </c>
    </row>
    <row r="1524" spans="1:14">
      <c r="A1524">
        <v>102</v>
      </c>
      <c r="B1524">
        <v>20</v>
      </c>
      <c r="C1524" t="s">
        <v>128</v>
      </c>
      <c r="D1524" t="s">
        <v>743</v>
      </c>
      <c r="E1524" t="s">
        <v>128</v>
      </c>
      <c r="F1524">
        <v>0</v>
      </c>
      <c r="G1524" t="s">
        <v>128</v>
      </c>
      <c r="H1524" t="s">
        <v>128</v>
      </c>
      <c r="I1524" t="s">
        <v>128</v>
      </c>
      <c r="J1524" t="s">
        <v>128</v>
      </c>
      <c r="K1524" t="s">
        <v>128</v>
      </c>
      <c r="L1524" t="s">
        <v>128</v>
      </c>
      <c r="M1524" t="s">
        <v>2187</v>
      </c>
      <c r="N1524" t="b">
        <v>0</v>
      </c>
    </row>
    <row r="1525" spans="1:14">
      <c r="A1525">
        <v>102</v>
      </c>
      <c r="B1525">
        <v>21</v>
      </c>
      <c r="C1525" t="s">
        <v>128</v>
      </c>
      <c r="D1525" t="s">
        <v>743</v>
      </c>
      <c r="E1525" t="s">
        <v>128</v>
      </c>
      <c r="F1525">
        <v>0</v>
      </c>
      <c r="G1525" t="s">
        <v>128</v>
      </c>
      <c r="H1525" t="s">
        <v>128</v>
      </c>
      <c r="I1525" t="s">
        <v>128</v>
      </c>
      <c r="J1525" t="s">
        <v>128</v>
      </c>
      <c r="K1525" t="s">
        <v>128</v>
      </c>
      <c r="L1525" t="s">
        <v>128</v>
      </c>
      <c r="M1525" t="s">
        <v>2188</v>
      </c>
      <c r="N1525" t="b">
        <v>0</v>
      </c>
    </row>
    <row r="1526" spans="1:14">
      <c r="A1526">
        <v>102</v>
      </c>
      <c r="B1526">
        <v>22</v>
      </c>
      <c r="C1526" t="s">
        <v>128</v>
      </c>
      <c r="D1526" t="s">
        <v>743</v>
      </c>
      <c r="E1526" t="s">
        <v>128</v>
      </c>
      <c r="F1526">
        <v>0</v>
      </c>
      <c r="G1526" t="s">
        <v>128</v>
      </c>
      <c r="H1526" t="s">
        <v>128</v>
      </c>
      <c r="I1526" t="s">
        <v>128</v>
      </c>
      <c r="J1526" t="s">
        <v>128</v>
      </c>
      <c r="K1526" t="s">
        <v>128</v>
      </c>
      <c r="L1526" t="s">
        <v>128</v>
      </c>
      <c r="M1526" t="s">
        <v>2189</v>
      </c>
      <c r="N1526" t="b">
        <v>0</v>
      </c>
    </row>
    <row r="1527" spans="1:14">
      <c r="A1527">
        <v>102</v>
      </c>
      <c r="B1527">
        <v>23</v>
      </c>
      <c r="C1527" t="s">
        <v>128</v>
      </c>
      <c r="D1527" t="s">
        <v>743</v>
      </c>
      <c r="E1527" t="s">
        <v>128</v>
      </c>
      <c r="F1527">
        <v>0</v>
      </c>
      <c r="G1527" t="s">
        <v>128</v>
      </c>
      <c r="H1527" t="s">
        <v>128</v>
      </c>
      <c r="I1527" t="s">
        <v>128</v>
      </c>
      <c r="J1527" t="s">
        <v>128</v>
      </c>
      <c r="K1527" t="s">
        <v>128</v>
      </c>
      <c r="L1527" t="s">
        <v>128</v>
      </c>
      <c r="M1527" t="s">
        <v>2190</v>
      </c>
      <c r="N1527" t="b">
        <v>0</v>
      </c>
    </row>
    <row r="1528" spans="1:14">
      <c r="A1528">
        <v>102</v>
      </c>
      <c r="B1528">
        <v>24</v>
      </c>
      <c r="C1528" t="s">
        <v>128</v>
      </c>
      <c r="D1528" t="s">
        <v>743</v>
      </c>
      <c r="E1528" t="s">
        <v>128</v>
      </c>
      <c r="F1528">
        <v>0</v>
      </c>
      <c r="G1528" t="s">
        <v>128</v>
      </c>
      <c r="H1528" t="s">
        <v>128</v>
      </c>
      <c r="I1528" t="s">
        <v>128</v>
      </c>
      <c r="J1528" t="s">
        <v>128</v>
      </c>
      <c r="K1528" t="s">
        <v>128</v>
      </c>
      <c r="L1528" t="s">
        <v>128</v>
      </c>
      <c r="M1528" t="s">
        <v>2191</v>
      </c>
      <c r="N1528" t="b">
        <v>0</v>
      </c>
    </row>
    <row r="1529" spans="1:14">
      <c r="A1529">
        <v>102</v>
      </c>
      <c r="B1529">
        <v>25</v>
      </c>
      <c r="C1529" t="s">
        <v>128</v>
      </c>
      <c r="D1529" t="s">
        <v>743</v>
      </c>
      <c r="E1529" t="s">
        <v>128</v>
      </c>
      <c r="F1529">
        <v>0</v>
      </c>
      <c r="G1529" t="s">
        <v>128</v>
      </c>
      <c r="H1529" t="s">
        <v>128</v>
      </c>
      <c r="I1529" t="s">
        <v>128</v>
      </c>
      <c r="J1529" t="s">
        <v>128</v>
      </c>
      <c r="K1529" t="s">
        <v>128</v>
      </c>
      <c r="L1529" t="s">
        <v>128</v>
      </c>
      <c r="M1529" t="s">
        <v>2192</v>
      </c>
      <c r="N1529" t="b">
        <v>0</v>
      </c>
    </row>
    <row r="1530" spans="1:14">
      <c r="A1530">
        <v>102</v>
      </c>
      <c r="B1530">
        <v>26</v>
      </c>
      <c r="C1530" t="s">
        <v>128</v>
      </c>
      <c r="D1530" t="s">
        <v>743</v>
      </c>
      <c r="E1530" t="s">
        <v>128</v>
      </c>
      <c r="F1530">
        <v>0</v>
      </c>
      <c r="G1530" t="s">
        <v>128</v>
      </c>
      <c r="H1530" t="s">
        <v>128</v>
      </c>
      <c r="I1530" t="s">
        <v>128</v>
      </c>
      <c r="J1530" t="s">
        <v>128</v>
      </c>
      <c r="K1530" t="s">
        <v>128</v>
      </c>
      <c r="L1530" t="s">
        <v>128</v>
      </c>
      <c r="M1530" t="s">
        <v>2193</v>
      </c>
      <c r="N1530" t="b">
        <v>0</v>
      </c>
    </row>
    <row r="1531" spans="1:14">
      <c r="A1531">
        <v>103</v>
      </c>
      <c r="B1531">
        <v>0</v>
      </c>
      <c r="C1531" t="s">
        <v>188</v>
      </c>
      <c r="D1531" t="s">
        <v>726</v>
      </c>
      <c r="E1531" t="s">
        <v>65</v>
      </c>
      <c r="F1531">
        <v>50</v>
      </c>
      <c r="G1531" t="s">
        <v>128</v>
      </c>
      <c r="H1531" t="s">
        <v>128</v>
      </c>
      <c r="I1531" t="s">
        <v>65</v>
      </c>
      <c r="J1531" t="s">
        <v>128</v>
      </c>
      <c r="K1531" t="s">
        <v>128</v>
      </c>
      <c r="L1531" t="s">
        <v>128</v>
      </c>
      <c r="M1531" t="s">
        <v>2194</v>
      </c>
      <c r="N1531" t="b">
        <v>0</v>
      </c>
    </row>
    <row r="1532" spans="1:14">
      <c r="A1532">
        <v>103</v>
      </c>
      <c r="B1532">
        <v>1</v>
      </c>
      <c r="C1532" t="s">
        <v>331</v>
      </c>
      <c r="D1532" t="s">
        <v>726</v>
      </c>
      <c r="E1532" t="s">
        <v>77</v>
      </c>
      <c r="F1532">
        <v>40</v>
      </c>
      <c r="G1532" t="s">
        <v>128</v>
      </c>
      <c r="H1532" t="s">
        <v>128</v>
      </c>
      <c r="I1532" t="s">
        <v>77</v>
      </c>
      <c r="J1532" t="s">
        <v>128</v>
      </c>
      <c r="K1532" t="s">
        <v>128</v>
      </c>
      <c r="L1532" t="s">
        <v>128</v>
      </c>
      <c r="M1532" t="s">
        <v>2195</v>
      </c>
      <c r="N1532" t="b">
        <v>0</v>
      </c>
    </row>
    <row r="1533" spans="1:14">
      <c r="A1533">
        <v>103</v>
      </c>
      <c r="B1533">
        <v>2</v>
      </c>
      <c r="C1533" t="s">
        <v>160</v>
      </c>
      <c r="D1533" t="s">
        <v>726</v>
      </c>
      <c r="E1533" t="s">
        <v>83</v>
      </c>
      <c r="F1533">
        <v>40</v>
      </c>
      <c r="G1533" t="s">
        <v>128</v>
      </c>
      <c r="H1533" t="s">
        <v>128</v>
      </c>
      <c r="I1533" t="s">
        <v>83</v>
      </c>
      <c r="J1533" t="s">
        <v>128</v>
      </c>
      <c r="K1533" t="s">
        <v>128</v>
      </c>
      <c r="L1533" t="s">
        <v>128</v>
      </c>
      <c r="M1533" t="s">
        <v>2196</v>
      </c>
      <c r="N1533" t="b">
        <v>0</v>
      </c>
    </row>
    <row r="1534" spans="1:14">
      <c r="A1534">
        <v>103</v>
      </c>
      <c r="B1534">
        <v>3</v>
      </c>
      <c r="C1534" t="s">
        <v>189</v>
      </c>
      <c r="D1534" t="s">
        <v>726</v>
      </c>
      <c r="E1534" t="s">
        <v>93</v>
      </c>
      <c r="F1534">
        <v>50</v>
      </c>
      <c r="G1534" t="s">
        <v>128</v>
      </c>
      <c r="H1534" t="s">
        <v>128</v>
      </c>
      <c r="I1534" t="s">
        <v>93</v>
      </c>
      <c r="J1534" t="s">
        <v>128</v>
      </c>
      <c r="K1534" t="s">
        <v>128</v>
      </c>
      <c r="L1534" t="s">
        <v>128</v>
      </c>
      <c r="M1534" t="s">
        <v>2197</v>
      </c>
      <c r="N1534" t="b">
        <v>0</v>
      </c>
    </row>
    <row r="1535" spans="1:14">
      <c r="A1535">
        <v>103</v>
      </c>
      <c r="B1535">
        <v>4</v>
      </c>
      <c r="C1535" t="s">
        <v>190</v>
      </c>
      <c r="D1535" t="s">
        <v>726</v>
      </c>
      <c r="E1535" t="s">
        <v>99</v>
      </c>
      <c r="F1535">
        <v>50</v>
      </c>
      <c r="G1535" t="s">
        <v>128</v>
      </c>
      <c r="H1535" t="s">
        <v>128</v>
      </c>
      <c r="I1535" t="s">
        <v>99</v>
      </c>
      <c r="J1535" t="s">
        <v>128</v>
      </c>
      <c r="K1535" t="s">
        <v>128</v>
      </c>
      <c r="L1535" t="s">
        <v>128</v>
      </c>
      <c r="M1535" t="s">
        <v>2198</v>
      </c>
      <c r="N1535" t="b">
        <v>0</v>
      </c>
    </row>
    <row r="1536" spans="1:14">
      <c r="A1536">
        <v>103</v>
      </c>
      <c r="B1536">
        <v>5</v>
      </c>
      <c r="C1536" t="s">
        <v>191</v>
      </c>
      <c r="D1536" t="s">
        <v>726</v>
      </c>
      <c r="E1536" t="s">
        <v>101</v>
      </c>
      <c r="F1536">
        <v>50</v>
      </c>
      <c r="G1536" t="s">
        <v>128</v>
      </c>
      <c r="H1536" t="s">
        <v>128</v>
      </c>
      <c r="I1536" t="s">
        <v>101</v>
      </c>
      <c r="J1536" t="s">
        <v>128</v>
      </c>
      <c r="K1536" t="s">
        <v>128</v>
      </c>
      <c r="L1536" t="s">
        <v>128</v>
      </c>
      <c r="M1536" t="s">
        <v>2199</v>
      </c>
      <c r="N1536" t="b">
        <v>0</v>
      </c>
    </row>
    <row r="1537" spans="1:14">
      <c r="A1537">
        <v>103</v>
      </c>
      <c r="B1537">
        <v>6</v>
      </c>
      <c r="C1537" t="s">
        <v>438</v>
      </c>
      <c r="D1537" t="s">
        <v>726</v>
      </c>
      <c r="E1537" t="s">
        <v>299</v>
      </c>
      <c r="F1537">
        <v>50</v>
      </c>
      <c r="G1537" t="s">
        <v>128</v>
      </c>
      <c r="H1537" t="s">
        <v>1899</v>
      </c>
      <c r="I1537" t="s">
        <v>1900</v>
      </c>
      <c r="J1537" t="s">
        <v>128</v>
      </c>
      <c r="K1537" t="s">
        <v>764</v>
      </c>
      <c r="L1537" t="s">
        <v>765</v>
      </c>
      <c r="M1537" t="s">
        <v>2200</v>
      </c>
      <c r="N1537" t="b">
        <v>0</v>
      </c>
    </row>
    <row r="1538" spans="1:14">
      <c r="A1538">
        <v>103</v>
      </c>
      <c r="B1538">
        <v>7</v>
      </c>
      <c r="C1538" t="s">
        <v>192</v>
      </c>
      <c r="D1538" t="s">
        <v>726</v>
      </c>
      <c r="E1538" t="s">
        <v>109</v>
      </c>
      <c r="F1538">
        <v>30</v>
      </c>
      <c r="G1538" t="s">
        <v>128</v>
      </c>
      <c r="H1538" t="s">
        <v>128</v>
      </c>
      <c r="I1538" t="s">
        <v>109</v>
      </c>
      <c r="J1538" t="s">
        <v>128</v>
      </c>
      <c r="K1538" t="s">
        <v>128</v>
      </c>
      <c r="L1538" t="s">
        <v>128</v>
      </c>
      <c r="M1538" t="s">
        <v>2201</v>
      </c>
      <c r="N1538" t="b">
        <v>0</v>
      </c>
    </row>
    <row r="1539" spans="1:14">
      <c r="A1539">
        <v>103</v>
      </c>
      <c r="B1539">
        <v>8</v>
      </c>
      <c r="C1539" t="s">
        <v>200</v>
      </c>
      <c r="D1539" t="s">
        <v>726</v>
      </c>
      <c r="E1539" t="s">
        <v>113</v>
      </c>
      <c r="F1539">
        <v>50</v>
      </c>
      <c r="G1539" t="s">
        <v>128</v>
      </c>
      <c r="H1539" t="s">
        <v>128</v>
      </c>
      <c r="I1539" t="s">
        <v>113</v>
      </c>
      <c r="J1539" t="s">
        <v>128</v>
      </c>
      <c r="K1539" t="s">
        <v>128</v>
      </c>
      <c r="L1539" t="s">
        <v>128</v>
      </c>
      <c r="M1539" t="s">
        <v>2202</v>
      </c>
      <c r="N1539" t="b">
        <v>0</v>
      </c>
    </row>
    <row r="1540" spans="1:14">
      <c r="A1540">
        <v>103</v>
      </c>
      <c r="B1540">
        <v>9</v>
      </c>
      <c r="C1540" t="s">
        <v>193</v>
      </c>
      <c r="D1540" t="s">
        <v>726</v>
      </c>
      <c r="E1540" t="s">
        <v>115</v>
      </c>
      <c r="F1540">
        <v>60</v>
      </c>
      <c r="G1540" t="s">
        <v>128</v>
      </c>
      <c r="H1540" t="s">
        <v>128</v>
      </c>
      <c r="I1540" t="s">
        <v>115</v>
      </c>
      <c r="J1540" t="s">
        <v>128</v>
      </c>
      <c r="K1540" t="s">
        <v>128</v>
      </c>
      <c r="L1540" t="s">
        <v>128</v>
      </c>
      <c r="M1540" t="s">
        <v>2203</v>
      </c>
      <c r="N1540" t="b">
        <v>0</v>
      </c>
    </row>
    <row r="1541" spans="1:14">
      <c r="A1541">
        <v>103</v>
      </c>
      <c r="B1541">
        <v>10</v>
      </c>
      <c r="C1541" t="s">
        <v>194</v>
      </c>
      <c r="D1541" t="s">
        <v>726</v>
      </c>
      <c r="E1541" t="s">
        <v>61</v>
      </c>
      <c r="F1541">
        <v>30</v>
      </c>
      <c r="G1541" t="s">
        <v>128</v>
      </c>
      <c r="H1541" t="s">
        <v>128</v>
      </c>
      <c r="I1541" t="s">
        <v>61</v>
      </c>
      <c r="J1541" t="s">
        <v>128</v>
      </c>
      <c r="K1541" t="s">
        <v>128</v>
      </c>
      <c r="L1541" t="s">
        <v>128</v>
      </c>
      <c r="M1541" t="s">
        <v>2204</v>
      </c>
      <c r="N1541" t="b">
        <v>0</v>
      </c>
    </row>
    <row r="1542" spans="1:14">
      <c r="A1542">
        <v>103</v>
      </c>
      <c r="B1542">
        <v>11</v>
      </c>
      <c r="C1542" t="s">
        <v>195</v>
      </c>
      <c r="D1542" t="s">
        <v>726</v>
      </c>
      <c r="E1542" t="s">
        <v>78</v>
      </c>
      <c r="F1542">
        <v>50</v>
      </c>
      <c r="G1542" t="s">
        <v>128</v>
      </c>
      <c r="H1542" t="s">
        <v>128</v>
      </c>
      <c r="I1542" t="s">
        <v>78</v>
      </c>
      <c r="J1542" t="s">
        <v>128</v>
      </c>
      <c r="K1542" t="s">
        <v>128</v>
      </c>
      <c r="L1542" t="s">
        <v>128</v>
      </c>
      <c r="M1542" t="s">
        <v>2205</v>
      </c>
      <c r="N1542" t="b">
        <v>0</v>
      </c>
    </row>
    <row r="1543" spans="1:14">
      <c r="A1543">
        <v>103</v>
      </c>
      <c r="B1543">
        <v>12</v>
      </c>
      <c r="C1543" t="s">
        <v>196</v>
      </c>
      <c r="D1543" t="s">
        <v>726</v>
      </c>
      <c r="E1543" t="s">
        <v>98</v>
      </c>
      <c r="F1543">
        <v>50</v>
      </c>
      <c r="G1543" t="s">
        <v>128</v>
      </c>
      <c r="H1543" t="s">
        <v>128</v>
      </c>
      <c r="I1543" t="s">
        <v>98</v>
      </c>
      <c r="J1543" t="s">
        <v>128</v>
      </c>
      <c r="K1543" t="s">
        <v>128</v>
      </c>
      <c r="L1543" t="s">
        <v>128</v>
      </c>
      <c r="M1543" t="s">
        <v>2206</v>
      </c>
      <c r="N1543" t="b">
        <v>0</v>
      </c>
    </row>
    <row r="1544" spans="1:14">
      <c r="A1544">
        <v>103</v>
      </c>
      <c r="B1544">
        <v>13</v>
      </c>
      <c r="C1544" t="s">
        <v>294</v>
      </c>
      <c r="D1544" t="s">
        <v>726</v>
      </c>
      <c r="E1544" t="s">
        <v>107</v>
      </c>
      <c r="F1544">
        <v>60</v>
      </c>
      <c r="G1544" t="s">
        <v>128</v>
      </c>
      <c r="H1544" t="s">
        <v>128</v>
      </c>
      <c r="I1544" t="s">
        <v>107</v>
      </c>
      <c r="J1544" t="s">
        <v>128</v>
      </c>
      <c r="K1544" t="s">
        <v>128</v>
      </c>
      <c r="L1544" t="s">
        <v>128</v>
      </c>
      <c r="M1544" t="s">
        <v>2207</v>
      </c>
      <c r="N1544" t="b">
        <v>0</v>
      </c>
    </row>
    <row r="1545" spans="1:14">
      <c r="A1545">
        <v>103</v>
      </c>
      <c r="B1545">
        <v>14</v>
      </c>
      <c r="C1545" t="s">
        <v>197</v>
      </c>
      <c r="D1545" t="s">
        <v>726</v>
      </c>
      <c r="E1545" t="s">
        <v>108</v>
      </c>
      <c r="F1545">
        <v>60</v>
      </c>
      <c r="G1545" t="s">
        <v>128</v>
      </c>
      <c r="H1545" t="s">
        <v>128</v>
      </c>
      <c r="I1545" t="s">
        <v>108</v>
      </c>
      <c r="J1545" t="s">
        <v>128</v>
      </c>
      <c r="K1545" t="s">
        <v>128</v>
      </c>
      <c r="L1545" t="s">
        <v>128</v>
      </c>
      <c r="M1545" t="s">
        <v>2208</v>
      </c>
      <c r="N1545" t="b">
        <v>0</v>
      </c>
    </row>
    <row r="1546" spans="1:14">
      <c r="A1546">
        <v>103</v>
      </c>
      <c r="B1546">
        <v>15</v>
      </c>
      <c r="C1546" t="s">
        <v>128</v>
      </c>
      <c r="D1546" t="s">
        <v>726</v>
      </c>
      <c r="E1546" t="s">
        <v>128</v>
      </c>
      <c r="F1546">
        <v>0</v>
      </c>
      <c r="G1546" t="s">
        <v>128</v>
      </c>
      <c r="H1546" t="s">
        <v>128</v>
      </c>
      <c r="I1546" t="s">
        <v>128</v>
      </c>
      <c r="J1546" t="s">
        <v>128</v>
      </c>
      <c r="K1546" t="s">
        <v>128</v>
      </c>
      <c r="L1546" t="s">
        <v>128</v>
      </c>
      <c r="M1546" t="s">
        <v>2209</v>
      </c>
      <c r="N1546" t="b">
        <v>0</v>
      </c>
    </row>
    <row r="1547" spans="1:14">
      <c r="A1547">
        <v>103</v>
      </c>
      <c r="B1547">
        <v>16</v>
      </c>
      <c r="C1547" t="s">
        <v>128</v>
      </c>
      <c r="D1547" t="s">
        <v>743</v>
      </c>
      <c r="E1547" t="s">
        <v>128</v>
      </c>
      <c r="F1547">
        <v>0</v>
      </c>
      <c r="G1547" t="s">
        <v>128</v>
      </c>
      <c r="H1547" t="s">
        <v>128</v>
      </c>
      <c r="I1547" t="s">
        <v>128</v>
      </c>
      <c r="J1547" t="s">
        <v>128</v>
      </c>
      <c r="K1547" t="s">
        <v>128</v>
      </c>
      <c r="L1547" t="s">
        <v>128</v>
      </c>
      <c r="M1547" t="s">
        <v>2210</v>
      </c>
      <c r="N1547" t="b">
        <v>0</v>
      </c>
    </row>
    <row r="1548" spans="1:14">
      <c r="A1548">
        <v>103</v>
      </c>
      <c r="B1548">
        <v>17</v>
      </c>
      <c r="C1548" t="s">
        <v>128</v>
      </c>
      <c r="D1548" t="s">
        <v>743</v>
      </c>
      <c r="E1548" t="s">
        <v>128</v>
      </c>
      <c r="F1548">
        <v>0</v>
      </c>
      <c r="G1548" t="s">
        <v>128</v>
      </c>
      <c r="H1548" t="s">
        <v>128</v>
      </c>
      <c r="I1548" t="s">
        <v>128</v>
      </c>
      <c r="J1548" t="s">
        <v>128</v>
      </c>
      <c r="K1548" t="s">
        <v>128</v>
      </c>
      <c r="L1548" t="s">
        <v>128</v>
      </c>
      <c r="M1548" t="s">
        <v>2211</v>
      </c>
      <c r="N1548" t="b">
        <v>0</v>
      </c>
    </row>
    <row r="1549" spans="1:14">
      <c r="A1549">
        <v>103</v>
      </c>
      <c r="B1549">
        <v>18</v>
      </c>
      <c r="C1549" t="s">
        <v>128</v>
      </c>
      <c r="D1549" t="s">
        <v>743</v>
      </c>
      <c r="E1549" t="s">
        <v>128</v>
      </c>
      <c r="F1549">
        <v>0</v>
      </c>
      <c r="G1549" t="s">
        <v>128</v>
      </c>
      <c r="H1549" t="s">
        <v>128</v>
      </c>
      <c r="I1549" t="s">
        <v>128</v>
      </c>
      <c r="J1549" t="s">
        <v>128</v>
      </c>
      <c r="K1549" t="s">
        <v>128</v>
      </c>
      <c r="L1549" t="s">
        <v>128</v>
      </c>
      <c r="M1549" t="s">
        <v>2212</v>
      </c>
      <c r="N1549" t="b">
        <v>0</v>
      </c>
    </row>
    <row r="1550" spans="1:14">
      <c r="A1550">
        <v>103</v>
      </c>
      <c r="B1550">
        <v>19</v>
      </c>
      <c r="C1550" t="s">
        <v>128</v>
      </c>
      <c r="D1550" t="s">
        <v>743</v>
      </c>
      <c r="E1550" t="s">
        <v>128</v>
      </c>
      <c r="F1550">
        <v>0</v>
      </c>
      <c r="G1550" t="s">
        <v>128</v>
      </c>
      <c r="H1550" t="s">
        <v>128</v>
      </c>
      <c r="I1550" t="s">
        <v>128</v>
      </c>
      <c r="J1550" t="s">
        <v>128</v>
      </c>
      <c r="K1550" t="s">
        <v>128</v>
      </c>
      <c r="L1550" t="s">
        <v>128</v>
      </c>
      <c r="M1550" t="s">
        <v>2213</v>
      </c>
      <c r="N1550" t="b">
        <v>0</v>
      </c>
    </row>
    <row r="1551" spans="1:14">
      <c r="A1551">
        <v>103</v>
      </c>
      <c r="B1551">
        <v>20</v>
      </c>
      <c r="C1551" t="s">
        <v>128</v>
      </c>
      <c r="D1551" t="s">
        <v>743</v>
      </c>
      <c r="E1551" t="s">
        <v>128</v>
      </c>
      <c r="F1551">
        <v>0</v>
      </c>
      <c r="G1551" t="s">
        <v>128</v>
      </c>
      <c r="H1551" t="s">
        <v>128</v>
      </c>
      <c r="I1551" t="s">
        <v>128</v>
      </c>
      <c r="J1551" t="s">
        <v>128</v>
      </c>
      <c r="K1551" t="s">
        <v>128</v>
      </c>
      <c r="L1551" t="s">
        <v>128</v>
      </c>
      <c r="M1551" t="s">
        <v>2214</v>
      </c>
      <c r="N1551" t="b">
        <v>0</v>
      </c>
    </row>
    <row r="1552" spans="1:14">
      <c r="A1552">
        <v>103</v>
      </c>
      <c r="B1552">
        <v>21</v>
      </c>
      <c r="C1552" t="s">
        <v>128</v>
      </c>
      <c r="D1552" t="s">
        <v>743</v>
      </c>
      <c r="E1552" t="s">
        <v>128</v>
      </c>
      <c r="F1552">
        <v>0</v>
      </c>
      <c r="G1552" t="s">
        <v>128</v>
      </c>
      <c r="H1552" t="s">
        <v>128</v>
      </c>
      <c r="I1552" t="s">
        <v>128</v>
      </c>
      <c r="J1552" t="s">
        <v>128</v>
      </c>
      <c r="K1552" t="s">
        <v>128</v>
      </c>
      <c r="L1552" t="s">
        <v>128</v>
      </c>
      <c r="M1552" t="s">
        <v>2215</v>
      </c>
      <c r="N1552" t="b">
        <v>0</v>
      </c>
    </row>
    <row r="1553" spans="1:14">
      <c r="A1553">
        <v>103</v>
      </c>
      <c r="B1553">
        <v>22</v>
      </c>
      <c r="C1553" t="s">
        <v>128</v>
      </c>
      <c r="D1553" t="s">
        <v>743</v>
      </c>
      <c r="E1553" t="s">
        <v>128</v>
      </c>
      <c r="F1553">
        <v>0</v>
      </c>
      <c r="G1553" t="s">
        <v>128</v>
      </c>
      <c r="H1553" t="s">
        <v>128</v>
      </c>
      <c r="I1553" t="s">
        <v>128</v>
      </c>
      <c r="J1553" t="s">
        <v>128</v>
      </c>
      <c r="K1553" t="s">
        <v>128</v>
      </c>
      <c r="L1553" t="s">
        <v>128</v>
      </c>
      <c r="M1553" t="s">
        <v>2216</v>
      </c>
      <c r="N1553" t="b">
        <v>0</v>
      </c>
    </row>
    <row r="1554" spans="1:14">
      <c r="A1554">
        <v>103</v>
      </c>
      <c r="B1554">
        <v>23</v>
      </c>
      <c r="C1554" t="s">
        <v>128</v>
      </c>
      <c r="D1554" t="s">
        <v>743</v>
      </c>
      <c r="E1554" t="s">
        <v>128</v>
      </c>
      <c r="F1554">
        <v>0</v>
      </c>
      <c r="G1554" t="s">
        <v>128</v>
      </c>
      <c r="H1554" t="s">
        <v>128</v>
      </c>
      <c r="I1554" t="s">
        <v>128</v>
      </c>
      <c r="J1554" t="s">
        <v>128</v>
      </c>
      <c r="K1554" t="s">
        <v>128</v>
      </c>
      <c r="L1554" t="s">
        <v>128</v>
      </c>
      <c r="M1554" t="s">
        <v>2217</v>
      </c>
      <c r="N1554" t="b">
        <v>0</v>
      </c>
    </row>
    <row r="1555" spans="1:14">
      <c r="A1555">
        <v>103</v>
      </c>
      <c r="B1555">
        <v>24</v>
      </c>
      <c r="C1555" t="s">
        <v>128</v>
      </c>
      <c r="D1555" t="s">
        <v>743</v>
      </c>
      <c r="E1555" t="s">
        <v>128</v>
      </c>
      <c r="F1555">
        <v>0</v>
      </c>
      <c r="G1555" t="s">
        <v>128</v>
      </c>
      <c r="H1555" t="s">
        <v>128</v>
      </c>
      <c r="I1555" t="s">
        <v>128</v>
      </c>
      <c r="J1555" t="s">
        <v>128</v>
      </c>
      <c r="K1555" t="s">
        <v>128</v>
      </c>
      <c r="L1555" t="s">
        <v>128</v>
      </c>
      <c r="M1555" t="s">
        <v>2218</v>
      </c>
      <c r="N1555" t="b">
        <v>0</v>
      </c>
    </row>
    <row r="1556" spans="1:14">
      <c r="A1556">
        <v>103</v>
      </c>
      <c r="B1556">
        <v>25</v>
      </c>
      <c r="C1556" t="s">
        <v>128</v>
      </c>
      <c r="D1556" t="s">
        <v>743</v>
      </c>
      <c r="E1556" t="s">
        <v>128</v>
      </c>
      <c r="F1556">
        <v>0</v>
      </c>
      <c r="G1556" t="s">
        <v>128</v>
      </c>
      <c r="H1556" t="s">
        <v>128</v>
      </c>
      <c r="I1556" t="s">
        <v>128</v>
      </c>
      <c r="J1556" t="s">
        <v>128</v>
      </c>
      <c r="K1556" t="s">
        <v>128</v>
      </c>
      <c r="L1556" t="s">
        <v>128</v>
      </c>
      <c r="M1556" t="s">
        <v>2219</v>
      </c>
      <c r="N1556" t="b">
        <v>0</v>
      </c>
    </row>
    <row r="1557" spans="1:14">
      <c r="A1557">
        <v>103</v>
      </c>
      <c r="B1557">
        <v>26</v>
      </c>
      <c r="C1557" t="s">
        <v>128</v>
      </c>
      <c r="D1557" t="s">
        <v>743</v>
      </c>
      <c r="E1557" t="s">
        <v>128</v>
      </c>
      <c r="F1557">
        <v>0</v>
      </c>
      <c r="G1557" t="s">
        <v>128</v>
      </c>
      <c r="H1557" t="s">
        <v>128</v>
      </c>
      <c r="I1557" t="s">
        <v>128</v>
      </c>
      <c r="J1557" t="s">
        <v>128</v>
      </c>
      <c r="K1557" t="s">
        <v>128</v>
      </c>
      <c r="L1557" t="s">
        <v>128</v>
      </c>
      <c r="M1557" t="s">
        <v>2220</v>
      </c>
      <c r="N1557" t="b">
        <v>0</v>
      </c>
    </row>
    <row r="1558" spans="1:14">
      <c r="A1558">
        <v>104</v>
      </c>
      <c r="B1558">
        <v>0</v>
      </c>
      <c r="C1558" t="s">
        <v>218</v>
      </c>
      <c r="D1558" t="s">
        <v>726</v>
      </c>
      <c r="E1558" t="s">
        <v>65</v>
      </c>
      <c r="F1558">
        <v>60</v>
      </c>
      <c r="G1558" t="s">
        <v>128</v>
      </c>
      <c r="H1558" t="s">
        <v>128</v>
      </c>
      <c r="I1558" t="s">
        <v>65</v>
      </c>
      <c r="J1558" t="s">
        <v>128</v>
      </c>
      <c r="K1558" t="s">
        <v>128</v>
      </c>
      <c r="L1558" t="s">
        <v>128</v>
      </c>
      <c r="M1558" t="s">
        <v>2221</v>
      </c>
      <c r="N1558" t="b">
        <v>0</v>
      </c>
    </row>
    <row r="1559" spans="1:14">
      <c r="A1559">
        <v>104</v>
      </c>
      <c r="B1559">
        <v>1</v>
      </c>
      <c r="C1559" t="s">
        <v>228</v>
      </c>
      <c r="D1559" t="s">
        <v>726</v>
      </c>
      <c r="E1559" t="s">
        <v>77</v>
      </c>
      <c r="F1559">
        <v>50</v>
      </c>
      <c r="G1559" t="s">
        <v>128</v>
      </c>
      <c r="H1559" t="s">
        <v>128</v>
      </c>
      <c r="I1559" t="s">
        <v>77</v>
      </c>
      <c r="J1559" t="s">
        <v>128</v>
      </c>
      <c r="K1559" t="s">
        <v>128</v>
      </c>
      <c r="L1559" t="s">
        <v>128</v>
      </c>
      <c r="M1559" t="s">
        <v>2222</v>
      </c>
      <c r="N1559" t="b">
        <v>0</v>
      </c>
    </row>
    <row r="1560" spans="1:14">
      <c r="A1560">
        <v>104</v>
      </c>
      <c r="B1560">
        <v>2</v>
      </c>
      <c r="C1560" t="s">
        <v>270</v>
      </c>
      <c r="D1560" t="s">
        <v>726</v>
      </c>
      <c r="E1560" t="s">
        <v>83</v>
      </c>
      <c r="F1560">
        <v>30</v>
      </c>
      <c r="G1560" t="s">
        <v>128</v>
      </c>
      <c r="H1560" t="s">
        <v>128</v>
      </c>
      <c r="I1560" t="s">
        <v>83</v>
      </c>
      <c r="J1560" t="s">
        <v>128</v>
      </c>
      <c r="K1560" t="s">
        <v>128</v>
      </c>
      <c r="L1560" t="s">
        <v>128</v>
      </c>
      <c r="M1560" t="s">
        <v>2223</v>
      </c>
      <c r="N1560" t="b">
        <v>0</v>
      </c>
    </row>
    <row r="1561" spans="1:14">
      <c r="A1561">
        <v>104</v>
      </c>
      <c r="B1561">
        <v>3</v>
      </c>
      <c r="C1561" t="s">
        <v>241</v>
      </c>
      <c r="D1561" t="s">
        <v>726</v>
      </c>
      <c r="E1561" t="s">
        <v>546</v>
      </c>
      <c r="F1561">
        <v>40</v>
      </c>
      <c r="G1561" t="s">
        <v>128</v>
      </c>
      <c r="H1561" t="s">
        <v>559</v>
      </c>
      <c r="I1561" t="s">
        <v>488</v>
      </c>
      <c r="J1561" t="s">
        <v>128</v>
      </c>
      <c r="K1561" t="s">
        <v>794</v>
      </c>
      <c r="L1561" t="s">
        <v>795</v>
      </c>
      <c r="M1561" t="s">
        <v>2224</v>
      </c>
      <c r="N1561" t="b">
        <v>0</v>
      </c>
    </row>
    <row r="1562" spans="1:14">
      <c r="A1562">
        <v>104</v>
      </c>
      <c r="B1562">
        <v>4</v>
      </c>
      <c r="C1562" t="s">
        <v>250</v>
      </c>
      <c r="D1562" t="s">
        <v>726</v>
      </c>
      <c r="E1562" t="s">
        <v>93</v>
      </c>
      <c r="F1562">
        <v>40</v>
      </c>
      <c r="G1562" t="s">
        <v>128</v>
      </c>
      <c r="H1562" t="s">
        <v>128</v>
      </c>
      <c r="I1562" t="s">
        <v>93</v>
      </c>
      <c r="J1562" t="s">
        <v>128</v>
      </c>
      <c r="K1562" t="s">
        <v>128</v>
      </c>
      <c r="L1562" t="s">
        <v>128</v>
      </c>
      <c r="M1562" t="s">
        <v>2225</v>
      </c>
      <c r="N1562" t="b">
        <v>0</v>
      </c>
    </row>
    <row r="1563" spans="1:14">
      <c r="A1563">
        <v>104</v>
      </c>
      <c r="B1563">
        <v>5</v>
      </c>
      <c r="C1563" t="s">
        <v>231</v>
      </c>
      <c r="D1563" t="s">
        <v>726</v>
      </c>
      <c r="E1563" t="s">
        <v>101</v>
      </c>
      <c r="F1563">
        <v>40</v>
      </c>
      <c r="G1563" t="s">
        <v>128</v>
      </c>
      <c r="H1563" t="s">
        <v>128</v>
      </c>
      <c r="I1563" t="s">
        <v>101</v>
      </c>
      <c r="J1563" t="s">
        <v>128</v>
      </c>
      <c r="K1563" t="s">
        <v>128</v>
      </c>
      <c r="L1563" t="s">
        <v>128</v>
      </c>
      <c r="M1563" t="s">
        <v>2226</v>
      </c>
      <c r="N1563" t="b">
        <v>0</v>
      </c>
    </row>
    <row r="1564" spans="1:14">
      <c r="A1564">
        <v>104</v>
      </c>
      <c r="B1564">
        <v>6</v>
      </c>
      <c r="C1564" t="s">
        <v>200</v>
      </c>
      <c r="D1564" t="s">
        <v>726</v>
      </c>
      <c r="E1564" t="s">
        <v>113</v>
      </c>
      <c r="F1564">
        <v>50</v>
      </c>
      <c r="G1564" t="s">
        <v>128</v>
      </c>
      <c r="H1564" t="s">
        <v>128</v>
      </c>
      <c r="I1564" t="s">
        <v>113</v>
      </c>
      <c r="J1564" t="s">
        <v>128</v>
      </c>
      <c r="K1564" t="s">
        <v>128</v>
      </c>
      <c r="L1564" t="s">
        <v>128</v>
      </c>
      <c r="M1564" t="s">
        <v>2227</v>
      </c>
      <c r="N1564" t="b">
        <v>0</v>
      </c>
    </row>
    <row r="1565" spans="1:14">
      <c r="A1565">
        <v>104</v>
      </c>
      <c r="B1565">
        <v>7</v>
      </c>
      <c r="C1565" t="s">
        <v>184</v>
      </c>
      <c r="D1565" t="s">
        <v>726</v>
      </c>
      <c r="E1565" t="s">
        <v>61</v>
      </c>
      <c r="F1565">
        <v>40</v>
      </c>
      <c r="G1565" t="s">
        <v>128</v>
      </c>
      <c r="H1565" t="s">
        <v>128</v>
      </c>
      <c r="I1565" t="s">
        <v>61</v>
      </c>
      <c r="J1565" t="s">
        <v>128</v>
      </c>
      <c r="K1565" t="s">
        <v>128</v>
      </c>
      <c r="L1565" t="s">
        <v>128</v>
      </c>
      <c r="M1565" t="s">
        <v>2228</v>
      </c>
      <c r="N1565" t="b">
        <v>0</v>
      </c>
    </row>
    <row r="1566" spans="1:14">
      <c r="A1566">
        <v>104</v>
      </c>
      <c r="B1566">
        <v>8</v>
      </c>
      <c r="C1566" t="s">
        <v>384</v>
      </c>
      <c r="D1566" t="s">
        <v>726</v>
      </c>
      <c r="E1566" t="s">
        <v>333</v>
      </c>
      <c r="F1566">
        <v>50</v>
      </c>
      <c r="G1566" t="s">
        <v>128</v>
      </c>
      <c r="H1566" t="s">
        <v>560</v>
      </c>
      <c r="I1566" t="s">
        <v>479</v>
      </c>
      <c r="J1566" t="s">
        <v>128</v>
      </c>
      <c r="K1566" t="s">
        <v>923</v>
      </c>
      <c r="L1566" t="s">
        <v>924</v>
      </c>
      <c r="M1566" t="s">
        <v>2229</v>
      </c>
      <c r="N1566" t="b">
        <v>0</v>
      </c>
    </row>
    <row r="1567" spans="1:14">
      <c r="A1567">
        <v>104</v>
      </c>
      <c r="B1567">
        <v>9</v>
      </c>
      <c r="C1567" t="s">
        <v>169</v>
      </c>
      <c r="D1567" t="s">
        <v>726</v>
      </c>
      <c r="E1567" t="s">
        <v>74</v>
      </c>
      <c r="F1567">
        <v>50</v>
      </c>
      <c r="G1567" t="s">
        <v>128</v>
      </c>
      <c r="H1567" t="s">
        <v>128</v>
      </c>
      <c r="I1567" t="s">
        <v>74</v>
      </c>
      <c r="J1567" t="s">
        <v>128</v>
      </c>
      <c r="K1567" t="s">
        <v>128</v>
      </c>
      <c r="L1567" t="s">
        <v>128</v>
      </c>
      <c r="M1567" t="s">
        <v>2230</v>
      </c>
      <c r="N1567" t="b">
        <v>0</v>
      </c>
    </row>
    <row r="1568" spans="1:14">
      <c r="A1568">
        <v>104</v>
      </c>
      <c r="B1568">
        <v>10</v>
      </c>
      <c r="C1568" t="s">
        <v>492</v>
      </c>
      <c r="D1568" t="s">
        <v>726</v>
      </c>
      <c r="E1568" t="s">
        <v>360</v>
      </c>
      <c r="F1568">
        <v>60</v>
      </c>
      <c r="G1568" t="s">
        <v>128</v>
      </c>
      <c r="H1568" t="s">
        <v>565</v>
      </c>
      <c r="I1568" t="s">
        <v>1625</v>
      </c>
      <c r="J1568" t="s">
        <v>128</v>
      </c>
      <c r="K1568" t="s">
        <v>1166</v>
      </c>
      <c r="L1568" t="s">
        <v>1167</v>
      </c>
      <c r="M1568" t="s">
        <v>2231</v>
      </c>
      <c r="N1568" t="b">
        <v>0</v>
      </c>
    </row>
    <row r="1569" spans="1:14">
      <c r="A1569">
        <v>104</v>
      </c>
      <c r="B1569">
        <v>11</v>
      </c>
      <c r="C1569" t="s">
        <v>272</v>
      </c>
      <c r="D1569" t="s">
        <v>726</v>
      </c>
      <c r="E1569" t="s">
        <v>547</v>
      </c>
      <c r="F1569">
        <v>40</v>
      </c>
      <c r="G1569" t="s">
        <v>128</v>
      </c>
      <c r="H1569" t="s">
        <v>585</v>
      </c>
      <c r="I1569" t="s">
        <v>498</v>
      </c>
      <c r="J1569" t="s">
        <v>128</v>
      </c>
      <c r="K1569" t="s">
        <v>803</v>
      </c>
      <c r="L1569" t="s">
        <v>804</v>
      </c>
      <c r="M1569" t="s">
        <v>2232</v>
      </c>
      <c r="N1569" t="b">
        <v>0</v>
      </c>
    </row>
    <row r="1570" spans="1:14">
      <c r="A1570">
        <v>104</v>
      </c>
      <c r="B1570">
        <v>12</v>
      </c>
      <c r="C1570" t="s">
        <v>493</v>
      </c>
      <c r="D1570" t="s">
        <v>726</v>
      </c>
      <c r="E1570" t="s">
        <v>98</v>
      </c>
      <c r="F1570">
        <v>30</v>
      </c>
      <c r="G1570" t="s">
        <v>128</v>
      </c>
      <c r="H1570" t="s">
        <v>128</v>
      </c>
      <c r="I1570" t="s">
        <v>98</v>
      </c>
      <c r="J1570" t="s">
        <v>128</v>
      </c>
      <c r="K1570" t="s">
        <v>128</v>
      </c>
      <c r="L1570" t="s">
        <v>128</v>
      </c>
      <c r="M1570" t="s">
        <v>2233</v>
      </c>
      <c r="N1570" t="b">
        <v>0</v>
      </c>
    </row>
    <row r="1571" spans="1:14">
      <c r="A1571">
        <v>104</v>
      </c>
      <c r="B1571">
        <v>13</v>
      </c>
      <c r="C1571" t="s">
        <v>294</v>
      </c>
      <c r="D1571" t="s">
        <v>726</v>
      </c>
      <c r="E1571" t="s">
        <v>107</v>
      </c>
      <c r="F1571">
        <v>60</v>
      </c>
      <c r="G1571" t="s">
        <v>128</v>
      </c>
      <c r="H1571" t="s">
        <v>128</v>
      </c>
      <c r="I1571" t="s">
        <v>107</v>
      </c>
      <c r="J1571" t="s">
        <v>128</v>
      </c>
      <c r="K1571" t="s">
        <v>128</v>
      </c>
      <c r="L1571" t="s">
        <v>128</v>
      </c>
      <c r="M1571" t="s">
        <v>2234</v>
      </c>
      <c r="N1571" t="b">
        <v>0</v>
      </c>
    </row>
    <row r="1572" spans="1:14">
      <c r="A1572">
        <v>104</v>
      </c>
      <c r="B1572">
        <v>14</v>
      </c>
      <c r="C1572" t="s">
        <v>128</v>
      </c>
      <c r="D1572" t="s">
        <v>726</v>
      </c>
      <c r="E1572" t="s">
        <v>128</v>
      </c>
      <c r="F1572">
        <v>0</v>
      </c>
      <c r="G1572" t="s">
        <v>128</v>
      </c>
      <c r="H1572" t="s">
        <v>128</v>
      </c>
      <c r="I1572" t="s">
        <v>128</v>
      </c>
      <c r="J1572" t="s">
        <v>128</v>
      </c>
      <c r="K1572" t="s">
        <v>128</v>
      </c>
      <c r="L1572" t="s">
        <v>128</v>
      </c>
      <c r="M1572" t="s">
        <v>2235</v>
      </c>
      <c r="N1572" t="b">
        <v>0</v>
      </c>
    </row>
    <row r="1573" spans="1:14">
      <c r="A1573">
        <v>104</v>
      </c>
      <c r="B1573">
        <v>15</v>
      </c>
      <c r="C1573" t="s">
        <v>128</v>
      </c>
      <c r="D1573" t="s">
        <v>726</v>
      </c>
      <c r="E1573" t="s">
        <v>128</v>
      </c>
      <c r="F1573">
        <v>0</v>
      </c>
      <c r="G1573" t="s">
        <v>128</v>
      </c>
      <c r="H1573" t="s">
        <v>128</v>
      </c>
      <c r="I1573" t="s">
        <v>128</v>
      </c>
      <c r="J1573" t="s">
        <v>128</v>
      </c>
      <c r="K1573" t="s">
        <v>128</v>
      </c>
      <c r="L1573" t="s">
        <v>128</v>
      </c>
      <c r="M1573" t="s">
        <v>2236</v>
      </c>
      <c r="N1573" t="b">
        <v>0</v>
      </c>
    </row>
    <row r="1574" spans="1:14">
      <c r="A1574">
        <v>104</v>
      </c>
      <c r="B1574">
        <v>16</v>
      </c>
      <c r="C1574" t="s">
        <v>128</v>
      </c>
      <c r="D1574" t="s">
        <v>743</v>
      </c>
      <c r="E1574" t="s">
        <v>128</v>
      </c>
      <c r="F1574">
        <v>0</v>
      </c>
      <c r="G1574" t="s">
        <v>128</v>
      </c>
      <c r="H1574" t="s">
        <v>128</v>
      </c>
      <c r="I1574" t="s">
        <v>128</v>
      </c>
      <c r="J1574" t="s">
        <v>128</v>
      </c>
      <c r="K1574" t="s">
        <v>128</v>
      </c>
      <c r="L1574" t="s">
        <v>128</v>
      </c>
      <c r="M1574" t="s">
        <v>2237</v>
      </c>
      <c r="N1574" t="b">
        <v>0</v>
      </c>
    </row>
    <row r="1575" spans="1:14">
      <c r="A1575">
        <v>104</v>
      </c>
      <c r="B1575">
        <v>17</v>
      </c>
      <c r="C1575" t="s">
        <v>128</v>
      </c>
      <c r="D1575" t="s">
        <v>743</v>
      </c>
      <c r="E1575" t="s">
        <v>128</v>
      </c>
      <c r="F1575">
        <v>0</v>
      </c>
      <c r="G1575" t="s">
        <v>128</v>
      </c>
      <c r="H1575" t="s">
        <v>128</v>
      </c>
      <c r="I1575" t="s">
        <v>128</v>
      </c>
      <c r="J1575" t="s">
        <v>128</v>
      </c>
      <c r="K1575" t="s">
        <v>128</v>
      </c>
      <c r="L1575" t="s">
        <v>128</v>
      </c>
      <c r="M1575" t="s">
        <v>2238</v>
      </c>
      <c r="N1575" t="b">
        <v>0</v>
      </c>
    </row>
    <row r="1576" spans="1:14">
      <c r="A1576">
        <v>104</v>
      </c>
      <c r="B1576">
        <v>18</v>
      </c>
      <c r="C1576" t="s">
        <v>128</v>
      </c>
      <c r="D1576" t="s">
        <v>743</v>
      </c>
      <c r="E1576" t="s">
        <v>128</v>
      </c>
      <c r="F1576">
        <v>0</v>
      </c>
      <c r="G1576" t="s">
        <v>128</v>
      </c>
      <c r="H1576" t="s">
        <v>128</v>
      </c>
      <c r="I1576" t="s">
        <v>128</v>
      </c>
      <c r="J1576" t="s">
        <v>128</v>
      </c>
      <c r="K1576" t="s">
        <v>128</v>
      </c>
      <c r="L1576" t="s">
        <v>128</v>
      </c>
      <c r="M1576" t="s">
        <v>2239</v>
      </c>
      <c r="N1576" t="b">
        <v>0</v>
      </c>
    </row>
    <row r="1577" spans="1:14">
      <c r="A1577">
        <v>104</v>
      </c>
      <c r="B1577">
        <v>19</v>
      </c>
      <c r="C1577" t="s">
        <v>128</v>
      </c>
      <c r="D1577" t="s">
        <v>743</v>
      </c>
      <c r="E1577" t="s">
        <v>128</v>
      </c>
      <c r="F1577">
        <v>0</v>
      </c>
      <c r="G1577" t="s">
        <v>128</v>
      </c>
      <c r="H1577" t="s">
        <v>128</v>
      </c>
      <c r="I1577" t="s">
        <v>128</v>
      </c>
      <c r="J1577" t="s">
        <v>128</v>
      </c>
      <c r="K1577" t="s">
        <v>128</v>
      </c>
      <c r="L1577" t="s">
        <v>128</v>
      </c>
      <c r="M1577" t="s">
        <v>2240</v>
      </c>
      <c r="N1577" t="b">
        <v>0</v>
      </c>
    </row>
    <row r="1578" spans="1:14">
      <c r="A1578">
        <v>104</v>
      </c>
      <c r="B1578">
        <v>20</v>
      </c>
      <c r="C1578" t="s">
        <v>128</v>
      </c>
      <c r="D1578" t="s">
        <v>743</v>
      </c>
      <c r="E1578" t="s">
        <v>128</v>
      </c>
      <c r="F1578">
        <v>0</v>
      </c>
      <c r="G1578" t="s">
        <v>128</v>
      </c>
      <c r="H1578" t="s">
        <v>128</v>
      </c>
      <c r="I1578" t="s">
        <v>128</v>
      </c>
      <c r="J1578" t="s">
        <v>128</v>
      </c>
      <c r="K1578" t="s">
        <v>128</v>
      </c>
      <c r="L1578" t="s">
        <v>128</v>
      </c>
      <c r="M1578" t="s">
        <v>2241</v>
      </c>
      <c r="N1578" t="b">
        <v>0</v>
      </c>
    </row>
    <row r="1579" spans="1:14">
      <c r="A1579">
        <v>104</v>
      </c>
      <c r="B1579">
        <v>21</v>
      </c>
      <c r="C1579" t="s">
        <v>128</v>
      </c>
      <c r="D1579" t="s">
        <v>743</v>
      </c>
      <c r="E1579" t="s">
        <v>128</v>
      </c>
      <c r="F1579">
        <v>0</v>
      </c>
      <c r="G1579" t="s">
        <v>128</v>
      </c>
      <c r="H1579" t="s">
        <v>128</v>
      </c>
      <c r="I1579" t="s">
        <v>128</v>
      </c>
      <c r="J1579" t="s">
        <v>128</v>
      </c>
      <c r="K1579" t="s">
        <v>128</v>
      </c>
      <c r="L1579" t="s">
        <v>128</v>
      </c>
      <c r="M1579" t="s">
        <v>2242</v>
      </c>
      <c r="N1579" t="b">
        <v>0</v>
      </c>
    </row>
    <row r="1580" spans="1:14">
      <c r="A1580">
        <v>104</v>
      </c>
      <c r="B1580">
        <v>22</v>
      </c>
      <c r="C1580" t="s">
        <v>128</v>
      </c>
      <c r="D1580" t="s">
        <v>743</v>
      </c>
      <c r="E1580" t="s">
        <v>128</v>
      </c>
      <c r="F1580">
        <v>0</v>
      </c>
      <c r="G1580" t="s">
        <v>128</v>
      </c>
      <c r="H1580" t="s">
        <v>128</v>
      </c>
      <c r="I1580" t="s">
        <v>128</v>
      </c>
      <c r="J1580" t="s">
        <v>128</v>
      </c>
      <c r="K1580" t="s">
        <v>128</v>
      </c>
      <c r="L1580" t="s">
        <v>128</v>
      </c>
      <c r="M1580" t="s">
        <v>2243</v>
      </c>
      <c r="N1580" t="b">
        <v>0</v>
      </c>
    </row>
    <row r="1581" spans="1:14">
      <c r="A1581">
        <v>104</v>
      </c>
      <c r="B1581">
        <v>23</v>
      </c>
      <c r="C1581" t="s">
        <v>128</v>
      </c>
      <c r="D1581" t="s">
        <v>743</v>
      </c>
      <c r="E1581" t="s">
        <v>128</v>
      </c>
      <c r="F1581">
        <v>0</v>
      </c>
      <c r="G1581" t="s">
        <v>128</v>
      </c>
      <c r="H1581" t="s">
        <v>128</v>
      </c>
      <c r="I1581" t="s">
        <v>128</v>
      </c>
      <c r="J1581" t="s">
        <v>128</v>
      </c>
      <c r="K1581" t="s">
        <v>128</v>
      </c>
      <c r="L1581" t="s">
        <v>128</v>
      </c>
      <c r="M1581" t="s">
        <v>2244</v>
      </c>
      <c r="N1581" t="b">
        <v>0</v>
      </c>
    </row>
    <row r="1582" spans="1:14">
      <c r="A1582">
        <v>104</v>
      </c>
      <c r="B1582">
        <v>24</v>
      </c>
      <c r="C1582" t="s">
        <v>128</v>
      </c>
      <c r="D1582" t="s">
        <v>743</v>
      </c>
      <c r="E1582" t="s">
        <v>128</v>
      </c>
      <c r="F1582">
        <v>0</v>
      </c>
      <c r="G1582" t="s">
        <v>128</v>
      </c>
      <c r="H1582" t="s">
        <v>128</v>
      </c>
      <c r="I1582" t="s">
        <v>128</v>
      </c>
      <c r="J1582" t="s">
        <v>128</v>
      </c>
      <c r="K1582" t="s">
        <v>128</v>
      </c>
      <c r="L1582" t="s">
        <v>128</v>
      </c>
      <c r="M1582" t="s">
        <v>2245</v>
      </c>
      <c r="N1582" t="b">
        <v>0</v>
      </c>
    </row>
    <row r="1583" spans="1:14">
      <c r="A1583">
        <v>104</v>
      </c>
      <c r="B1583">
        <v>25</v>
      </c>
      <c r="C1583" t="s">
        <v>128</v>
      </c>
      <c r="D1583" t="s">
        <v>743</v>
      </c>
      <c r="E1583" t="s">
        <v>128</v>
      </c>
      <c r="F1583">
        <v>0</v>
      </c>
      <c r="G1583" t="s">
        <v>128</v>
      </c>
      <c r="H1583" t="s">
        <v>128</v>
      </c>
      <c r="I1583" t="s">
        <v>128</v>
      </c>
      <c r="J1583" t="s">
        <v>128</v>
      </c>
      <c r="K1583" t="s">
        <v>128</v>
      </c>
      <c r="L1583" t="s">
        <v>128</v>
      </c>
      <c r="M1583" t="s">
        <v>2246</v>
      </c>
      <c r="N1583" t="b">
        <v>0</v>
      </c>
    </row>
    <row r="1584" spans="1:14">
      <c r="A1584">
        <v>104</v>
      </c>
      <c r="B1584">
        <v>26</v>
      </c>
      <c r="C1584" t="s">
        <v>128</v>
      </c>
      <c r="D1584" t="s">
        <v>743</v>
      </c>
      <c r="E1584" t="s">
        <v>128</v>
      </c>
      <c r="F1584">
        <v>0</v>
      </c>
      <c r="G1584" t="s">
        <v>128</v>
      </c>
      <c r="H1584" t="s">
        <v>128</v>
      </c>
      <c r="I1584" t="s">
        <v>128</v>
      </c>
      <c r="J1584" t="s">
        <v>128</v>
      </c>
      <c r="K1584" t="s">
        <v>128</v>
      </c>
      <c r="L1584" t="s">
        <v>128</v>
      </c>
      <c r="M1584" t="s">
        <v>2247</v>
      </c>
      <c r="N1584" t="b">
        <v>0</v>
      </c>
    </row>
    <row r="1585" spans="1:14">
      <c r="A1585">
        <v>105</v>
      </c>
      <c r="B1585">
        <v>0</v>
      </c>
      <c r="C1585" t="s">
        <v>218</v>
      </c>
      <c r="D1585" t="s">
        <v>726</v>
      </c>
      <c r="E1585" t="s">
        <v>65</v>
      </c>
      <c r="F1585">
        <v>60</v>
      </c>
      <c r="G1585" t="s">
        <v>128</v>
      </c>
      <c r="H1585" t="s">
        <v>128</v>
      </c>
      <c r="I1585" t="s">
        <v>65</v>
      </c>
      <c r="J1585" t="s">
        <v>128</v>
      </c>
      <c r="K1585" t="s">
        <v>128</v>
      </c>
      <c r="L1585" t="s">
        <v>128</v>
      </c>
      <c r="M1585" t="s">
        <v>2248</v>
      </c>
      <c r="N1585" t="b">
        <v>0</v>
      </c>
    </row>
    <row r="1586" spans="1:14">
      <c r="A1586">
        <v>105</v>
      </c>
      <c r="B1586">
        <v>1</v>
      </c>
      <c r="C1586" t="s">
        <v>219</v>
      </c>
      <c r="D1586" t="s">
        <v>726</v>
      </c>
      <c r="E1586" t="s">
        <v>77</v>
      </c>
      <c r="F1586">
        <v>60</v>
      </c>
      <c r="G1586" t="s">
        <v>128</v>
      </c>
      <c r="H1586" t="s">
        <v>128</v>
      </c>
      <c r="I1586" t="s">
        <v>77</v>
      </c>
      <c r="J1586" t="s">
        <v>128</v>
      </c>
      <c r="K1586" t="s">
        <v>128</v>
      </c>
      <c r="L1586" t="s">
        <v>128</v>
      </c>
      <c r="M1586" t="s">
        <v>2249</v>
      </c>
      <c r="N1586" t="b">
        <v>0</v>
      </c>
    </row>
    <row r="1587" spans="1:14">
      <c r="A1587">
        <v>105</v>
      </c>
      <c r="B1587">
        <v>2</v>
      </c>
      <c r="C1587" t="s">
        <v>220</v>
      </c>
      <c r="D1587" t="s">
        <v>726</v>
      </c>
      <c r="E1587" t="s">
        <v>95</v>
      </c>
      <c r="F1587">
        <v>40</v>
      </c>
      <c r="G1587" t="s">
        <v>128</v>
      </c>
      <c r="H1587" t="s">
        <v>128</v>
      </c>
      <c r="I1587" t="s">
        <v>95</v>
      </c>
      <c r="J1587" t="s">
        <v>128</v>
      </c>
      <c r="K1587" t="s">
        <v>128</v>
      </c>
      <c r="L1587" t="s">
        <v>128</v>
      </c>
      <c r="M1587" t="s">
        <v>2250</v>
      </c>
      <c r="N1587" t="b">
        <v>0</v>
      </c>
    </row>
    <row r="1588" spans="1:14">
      <c r="A1588">
        <v>105</v>
      </c>
      <c r="B1588">
        <v>3</v>
      </c>
      <c r="C1588" t="s">
        <v>458</v>
      </c>
      <c r="D1588" t="s">
        <v>726</v>
      </c>
      <c r="E1588" t="s">
        <v>97</v>
      </c>
      <c r="F1588">
        <v>60</v>
      </c>
      <c r="G1588" t="s">
        <v>128</v>
      </c>
      <c r="H1588" t="s">
        <v>128</v>
      </c>
      <c r="I1588" t="s">
        <v>97</v>
      </c>
      <c r="J1588" t="s">
        <v>128</v>
      </c>
      <c r="K1588" t="s">
        <v>128</v>
      </c>
      <c r="L1588" t="s">
        <v>128</v>
      </c>
      <c r="M1588" t="s">
        <v>2251</v>
      </c>
      <c r="N1588" t="b">
        <v>0</v>
      </c>
    </row>
    <row r="1589" spans="1:14">
      <c r="A1589">
        <v>105</v>
      </c>
      <c r="B1589">
        <v>4</v>
      </c>
      <c r="C1589" t="s">
        <v>221</v>
      </c>
      <c r="D1589" t="s">
        <v>726</v>
      </c>
      <c r="E1589" t="s">
        <v>101</v>
      </c>
      <c r="F1589">
        <v>60</v>
      </c>
      <c r="G1589" t="s">
        <v>128</v>
      </c>
      <c r="H1589" t="s">
        <v>128</v>
      </c>
      <c r="I1589" t="s">
        <v>101</v>
      </c>
      <c r="J1589" t="s">
        <v>128</v>
      </c>
      <c r="K1589" t="s">
        <v>128</v>
      </c>
      <c r="L1589" t="s">
        <v>128</v>
      </c>
      <c r="M1589" t="s">
        <v>2252</v>
      </c>
      <c r="N1589" t="b">
        <v>0</v>
      </c>
    </row>
    <row r="1590" spans="1:14">
      <c r="A1590">
        <v>105</v>
      </c>
      <c r="B1590">
        <v>5</v>
      </c>
      <c r="C1590" t="s">
        <v>200</v>
      </c>
      <c r="D1590" t="s">
        <v>726</v>
      </c>
      <c r="E1590" t="s">
        <v>113</v>
      </c>
      <c r="F1590">
        <v>50</v>
      </c>
      <c r="G1590" t="s">
        <v>128</v>
      </c>
      <c r="H1590" t="s">
        <v>128</v>
      </c>
      <c r="I1590" t="s">
        <v>113</v>
      </c>
      <c r="J1590" t="s">
        <v>128</v>
      </c>
      <c r="K1590" t="s">
        <v>128</v>
      </c>
      <c r="L1590" t="s">
        <v>128</v>
      </c>
      <c r="M1590" t="s">
        <v>2253</v>
      </c>
      <c r="N1590" t="b">
        <v>0</v>
      </c>
    </row>
    <row r="1591" spans="1:14">
      <c r="A1591">
        <v>105</v>
      </c>
      <c r="B1591">
        <v>6</v>
      </c>
      <c r="C1591" t="s">
        <v>222</v>
      </c>
      <c r="D1591" t="s">
        <v>726</v>
      </c>
      <c r="E1591" t="s">
        <v>68</v>
      </c>
      <c r="F1591">
        <v>50</v>
      </c>
      <c r="G1591" t="s">
        <v>128</v>
      </c>
      <c r="H1591" t="s">
        <v>128</v>
      </c>
      <c r="I1591" t="s">
        <v>68</v>
      </c>
      <c r="J1591" t="s">
        <v>128</v>
      </c>
      <c r="K1591" t="s">
        <v>128</v>
      </c>
      <c r="L1591" t="s">
        <v>128</v>
      </c>
      <c r="M1591" t="s">
        <v>2254</v>
      </c>
      <c r="N1591" t="b">
        <v>0</v>
      </c>
    </row>
    <row r="1592" spans="1:14">
      <c r="A1592">
        <v>105</v>
      </c>
      <c r="B1592">
        <v>7</v>
      </c>
      <c r="C1592" t="s">
        <v>495</v>
      </c>
      <c r="D1592" t="s">
        <v>726</v>
      </c>
      <c r="E1592" t="s">
        <v>333</v>
      </c>
      <c r="F1592">
        <v>60</v>
      </c>
      <c r="G1592" t="s">
        <v>128</v>
      </c>
      <c r="H1592" t="s">
        <v>560</v>
      </c>
      <c r="I1592" t="s">
        <v>479</v>
      </c>
      <c r="J1592" t="s">
        <v>128</v>
      </c>
      <c r="K1592" t="s">
        <v>923</v>
      </c>
      <c r="L1592" t="s">
        <v>924</v>
      </c>
      <c r="M1592" t="s">
        <v>2255</v>
      </c>
      <c r="N1592" t="b">
        <v>0</v>
      </c>
    </row>
    <row r="1593" spans="1:14">
      <c r="A1593">
        <v>105</v>
      </c>
      <c r="B1593">
        <v>8</v>
      </c>
      <c r="C1593" t="s">
        <v>169</v>
      </c>
      <c r="D1593" t="s">
        <v>726</v>
      </c>
      <c r="E1593" t="s">
        <v>74</v>
      </c>
      <c r="F1593">
        <v>50</v>
      </c>
      <c r="G1593" t="s">
        <v>128</v>
      </c>
      <c r="H1593" t="s">
        <v>128</v>
      </c>
      <c r="I1593" t="s">
        <v>74</v>
      </c>
      <c r="J1593" t="s">
        <v>128</v>
      </c>
      <c r="K1593" t="s">
        <v>128</v>
      </c>
      <c r="L1593" t="s">
        <v>128</v>
      </c>
      <c r="M1593" t="s">
        <v>2256</v>
      </c>
      <c r="N1593" t="b">
        <v>0</v>
      </c>
    </row>
    <row r="1594" spans="1:14">
      <c r="A1594">
        <v>105</v>
      </c>
      <c r="B1594">
        <v>9</v>
      </c>
      <c r="C1594" t="s">
        <v>207</v>
      </c>
      <c r="D1594" t="s">
        <v>726</v>
      </c>
      <c r="E1594" t="s">
        <v>98</v>
      </c>
      <c r="F1594">
        <v>40</v>
      </c>
      <c r="G1594" t="s">
        <v>128</v>
      </c>
      <c r="H1594" t="s">
        <v>128</v>
      </c>
      <c r="I1594" t="s">
        <v>98</v>
      </c>
      <c r="J1594" t="s">
        <v>128</v>
      </c>
      <c r="K1594" t="s">
        <v>128</v>
      </c>
      <c r="L1594" t="s">
        <v>128</v>
      </c>
      <c r="M1594" t="s">
        <v>2257</v>
      </c>
      <c r="N1594" t="b">
        <v>0</v>
      </c>
    </row>
    <row r="1595" spans="1:14">
      <c r="A1595">
        <v>105</v>
      </c>
      <c r="B1595">
        <v>10</v>
      </c>
      <c r="C1595" t="s">
        <v>224</v>
      </c>
      <c r="D1595" t="s">
        <v>726</v>
      </c>
      <c r="E1595" t="s">
        <v>102</v>
      </c>
      <c r="F1595">
        <v>50</v>
      </c>
      <c r="G1595" t="s">
        <v>128</v>
      </c>
      <c r="H1595" t="s">
        <v>128</v>
      </c>
      <c r="I1595" t="s">
        <v>102</v>
      </c>
      <c r="J1595" t="s">
        <v>128</v>
      </c>
      <c r="K1595" t="s">
        <v>128</v>
      </c>
      <c r="L1595" t="s">
        <v>128</v>
      </c>
      <c r="M1595" t="s">
        <v>2258</v>
      </c>
      <c r="N1595" t="b">
        <v>0</v>
      </c>
    </row>
    <row r="1596" spans="1:14">
      <c r="A1596">
        <v>105</v>
      </c>
      <c r="B1596">
        <v>11</v>
      </c>
      <c r="C1596" t="s">
        <v>172</v>
      </c>
      <c r="D1596" t="s">
        <v>726</v>
      </c>
      <c r="E1596" t="s">
        <v>106</v>
      </c>
      <c r="F1596">
        <v>50</v>
      </c>
      <c r="G1596" t="s">
        <v>128</v>
      </c>
      <c r="H1596" t="s">
        <v>128</v>
      </c>
      <c r="I1596" t="s">
        <v>106</v>
      </c>
      <c r="J1596" t="s">
        <v>128</v>
      </c>
      <c r="K1596" t="s">
        <v>128</v>
      </c>
      <c r="L1596" t="s">
        <v>128</v>
      </c>
      <c r="M1596" t="s">
        <v>2259</v>
      </c>
      <c r="N1596" t="b">
        <v>0</v>
      </c>
    </row>
    <row r="1597" spans="1:14">
      <c r="A1597">
        <v>105</v>
      </c>
      <c r="B1597">
        <v>12</v>
      </c>
      <c r="C1597" t="s">
        <v>225</v>
      </c>
      <c r="D1597" t="s">
        <v>726</v>
      </c>
      <c r="E1597" t="s">
        <v>107</v>
      </c>
      <c r="F1597">
        <v>50</v>
      </c>
      <c r="G1597" t="s">
        <v>128</v>
      </c>
      <c r="H1597" t="s">
        <v>128</v>
      </c>
      <c r="I1597" t="s">
        <v>107</v>
      </c>
      <c r="J1597" t="s">
        <v>128</v>
      </c>
      <c r="K1597" t="s">
        <v>128</v>
      </c>
      <c r="L1597" t="s">
        <v>128</v>
      </c>
      <c r="M1597" t="s">
        <v>2260</v>
      </c>
      <c r="N1597" t="b">
        <v>0</v>
      </c>
    </row>
    <row r="1598" spans="1:14">
      <c r="A1598">
        <v>105</v>
      </c>
      <c r="B1598">
        <v>13</v>
      </c>
      <c r="C1598" t="s">
        <v>197</v>
      </c>
      <c r="D1598" t="s">
        <v>726</v>
      </c>
      <c r="E1598" t="s">
        <v>108</v>
      </c>
      <c r="F1598">
        <v>60</v>
      </c>
      <c r="G1598" t="s">
        <v>128</v>
      </c>
      <c r="H1598" t="s">
        <v>128</v>
      </c>
      <c r="I1598" t="s">
        <v>108</v>
      </c>
      <c r="J1598" t="s">
        <v>128</v>
      </c>
      <c r="K1598" t="s">
        <v>128</v>
      </c>
      <c r="L1598" t="s">
        <v>128</v>
      </c>
      <c r="M1598" t="s">
        <v>2261</v>
      </c>
      <c r="N1598" t="b">
        <v>0</v>
      </c>
    </row>
    <row r="1599" spans="1:14">
      <c r="A1599">
        <v>105</v>
      </c>
      <c r="B1599">
        <v>14</v>
      </c>
      <c r="C1599" t="s">
        <v>128</v>
      </c>
      <c r="D1599" t="s">
        <v>726</v>
      </c>
      <c r="E1599" t="s">
        <v>128</v>
      </c>
      <c r="F1599">
        <v>0</v>
      </c>
      <c r="G1599" t="s">
        <v>128</v>
      </c>
      <c r="H1599" t="s">
        <v>128</v>
      </c>
      <c r="I1599" t="s">
        <v>128</v>
      </c>
      <c r="J1599" t="s">
        <v>128</v>
      </c>
      <c r="K1599" t="s">
        <v>128</v>
      </c>
      <c r="L1599" t="s">
        <v>128</v>
      </c>
      <c r="M1599" t="s">
        <v>2262</v>
      </c>
      <c r="N1599" t="b">
        <v>0</v>
      </c>
    </row>
    <row r="1600" spans="1:14">
      <c r="A1600">
        <v>105</v>
      </c>
      <c r="B1600">
        <v>15</v>
      </c>
      <c r="C1600" t="s">
        <v>128</v>
      </c>
      <c r="D1600" t="s">
        <v>726</v>
      </c>
      <c r="E1600" t="s">
        <v>128</v>
      </c>
      <c r="F1600">
        <v>0</v>
      </c>
      <c r="G1600" t="s">
        <v>128</v>
      </c>
      <c r="H1600" t="s">
        <v>128</v>
      </c>
      <c r="I1600" t="s">
        <v>128</v>
      </c>
      <c r="J1600" t="s">
        <v>128</v>
      </c>
      <c r="K1600" t="s">
        <v>128</v>
      </c>
      <c r="L1600" t="s">
        <v>128</v>
      </c>
      <c r="M1600" t="s">
        <v>2263</v>
      </c>
      <c r="N1600" t="b">
        <v>0</v>
      </c>
    </row>
    <row r="1601" spans="1:14">
      <c r="A1601">
        <v>105</v>
      </c>
      <c r="B1601">
        <v>16</v>
      </c>
      <c r="C1601" t="s">
        <v>128</v>
      </c>
      <c r="D1601" t="s">
        <v>743</v>
      </c>
      <c r="E1601" t="s">
        <v>128</v>
      </c>
      <c r="F1601">
        <v>0</v>
      </c>
      <c r="G1601" t="s">
        <v>128</v>
      </c>
      <c r="H1601" t="s">
        <v>128</v>
      </c>
      <c r="I1601" t="s">
        <v>128</v>
      </c>
      <c r="J1601" t="s">
        <v>128</v>
      </c>
      <c r="K1601" t="s">
        <v>128</v>
      </c>
      <c r="L1601" t="s">
        <v>128</v>
      </c>
      <c r="M1601" t="s">
        <v>2264</v>
      </c>
      <c r="N1601" t="b">
        <v>0</v>
      </c>
    </row>
    <row r="1602" spans="1:14">
      <c r="A1602">
        <v>105</v>
      </c>
      <c r="B1602">
        <v>17</v>
      </c>
      <c r="C1602" t="s">
        <v>128</v>
      </c>
      <c r="D1602" t="s">
        <v>743</v>
      </c>
      <c r="E1602" t="s">
        <v>128</v>
      </c>
      <c r="F1602">
        <v>0</v>
      </c>
      <c r="G1602" t="s">
        <v>128</v>
      </c>
      <c r="H1602" t="s">
        <v>128</v>
      </c>
      <c r="I1602" t="s">
        <v>128</v>
      </c>
      <c r="J1602" t="s">
        <v>128</v>
      </c>
      <c r="K1602" t="s">
        <v>128</v>
      </c>
      <c r="L1602" t="s">
        <v>128</v>
      </c>
      <c r="M1602" t="s">
        <v>2265</v>
      </c>
      <c r="N1602" t="b">
        <v>0</v>
      </c>
    </row>
    <row r="1603" spans="1:14">
      <c r="A1603">
        <v>105</v>
      </c>
      <c r="B1603">
        <v>18</v>
      </c>
      <c r="C1603" t="s">
        <v>128</v>
      </c>
      <c r="D1603" t="s">
        <v>743</v>
      </c>
      <c r="E1603" t="s">
        <v>128</v>
      </c>
      <c r="F1603">
        <v>0</v>
      </c>
      <c r="G1603" t="s">
        <v>128</v>
      </c>
      <c r="H1603" t="s">
        <v>128</v>
      </c>
      <c r="I1603" t="s">
        <v>128</v>
      </c>
      <c r="J1603" t="s">
        <v>128</v>
      </c>
      <c r="K1603" t="s">
        <v>128</v>
      </c>
      <c r="L1603" t="s">
        <v>128</v>
      </c>
      <c r="M1603" t="s">
        <v>2266</v>
      </c>
      <c r="N1603" t="b">
        <v>0</v>
      </c>
    </row>
    <row r="1604" spans="1:14">
      <c r="A1604">
        <v>105</v>
      </c>
      <c r="B1604">
        <v>19</v>
      </c>
      <c r="C1604" t="s">
        <v>128</v>
      </c>
      <c r="D1604" t="s">
        <v>743</v>
      </c>
      <c r="E1604" t="s">
        <v>128</v>
      </c>
      <c r="F1604">
        <v>0</v>
      </c>
      <c r="G1604" t="s">
        <v>128</v>
      </c>
      <c r="H1604" t="s">
        <v>128</v>
      </c>
      <c r="I1604" t="s">
        <v>128</v>
      </c>
      <c r="J1604" t="s">
        <v>128</v>
      </c>
      <c r="K1604" t="s">
        <v>128</v>
      </c>
      <c r="L1604" t="s">
        <v>128</v>
      </c>
      <c r="M1604" t="s">
        <v>2267</v>
      </c>
      <c r="N1604" t="b">
        <v>0</v>
      </c>
    </row>
    <row r="1605" spans="1:14">
      <c r="A1605">
        <v>105</v>
      </c>
      <c r="B1605">
        <v>20</v>
      </c>
      <c r="C1605" t="s">
        <v>128</v>
      </c>
      <c r="D1605" t="s">
        <v>743</v>
      </c>
      <c r="E1605" t="s">
        <v>128</v>
      </c>
      <c r="F1605">
        <v>0</v>
      </c>
      <c r="G1605" t="s">
        <v>128</v>
      </c>
      <c r="H1605" t="s">
        <v>128</v>
      </c>
      <c r="I1605" t="s">
        <v>128</v>
      </c>
      <c r="J1605" t="s">
        <v>128</v>
      </c>
      <c r="K1605" t="s">
        <v>128</v>
      </c>
      <c r="L1605" t="s">
        <v>128</v>
      </c>
      <c r="M1605" t="s">
        <v>2268</v>
      </c>
      <c r="N1605" t="b">
        <v>0</v>
      </c>
    </row>
    <row r="1606" spans="1:14">
      <c r="A1606">
        <v>105</v>
      </c>
      <c r="B1606">
        <v>21</v>
      </c>
      <c r="C1606" t="s">
        <v>128</v>
      </c>
      <c r="D1606" t="s">
        <v>743</v>
      </c>
      <c r="E1606" t="s">
        <v>128</v>
      </c>
      <c r="F1606">
        <v>0</v>
      </c>
      <c r="G1606" t="s">
        <v>128</v>
      </c>
      <c r="H1606" t="s">
        <v>128</v>
      </c>
      <c r="I1606" t="s">
        <v>128</v>
      </c>
      <c r="J1606" t="s">
        <v>128</v>
      </c>
      <c r="K1606" t="s">
        <v>128</v>
      </c>
      <c r="L1606" t="s">
        <v>128</v>
      </c>
      <c r="M1606" t="s">
        <v>2269</v>
      </c>
      <c r="N1606" t="b">
        <v>0</v>
      </c>
    </row>
    <row r="1607" spans="1:14">
      <c r="A1607">
        <v>105</v>
      </c>
      <c r="B1607">
        <v>22</v>
      </c>
      <c r="C1607" t="s">
        <v>128</v>
      </c>
      <c r="D1607" t="s">
        <v>743</v>
      </c>
      <c r="E1607" t="s">
        <v>128</v>
      </c>
      <c r="F1607">
        <v>0</v>
      </c>
      <c r="G1607" t="s">
        <v>128</v>
      </c>
      <c r="H1607" t="s">
        <v>128</v>
      </c>
      <c r="I1607" t="s">
        <v>128</v>
      </c>
      <c r="J1607" t="s">
        <v>128</v>
      </c>
      <c r="K1607" t="s">
        <v>128</v>
      </c>
      <c r="L1607" t="s">
        <v>128</v>
      </c>
      <c r="M1607" t="s">
        <v>2270</v>
      </c>
      <c r="N1607" t="b">
        <v>0</v>
      </c>
    </row>
    <row r="1608" spans="1:14">
      <c r="A1608">
        <v>105</v>
      </c>
      <c r="B1608">
        <v>23</v>
      </c>
      <c r="C1608" t="s">
        <v>128</v>
      </c>
      <c r="D1608" t="s">
        <v>743</v>
      </c>
      <c r="E1608" t="s">
        <v>128</v>
      </c>
      <c r="F1608">
        <v>0</v>
      </c>
      <c r="G1608" t="s">
        <v>128</v>
      </c>
      <c r="H1608" t="s">
        <v>128</v>
      </c>
      <c r="I1608" t="s">
        <v>128</v>
      </c>
      <c r="J1608" t="s">
        <v>128</v>
      </c>
      <c r="K1608" t="s">
        <v>128</v>
      </c>
      <c r="L1608" t="s">
        <v>128</v>
      </c>
      <c r="M1608" t="s">
        <v>2271</v>
      </c>
      <c r="N1608" t="b">
        <v>0</v>
      </c>
    </row>
    <row r="1609" spans="1:14">
      <c r="A1609">
        <v>105</v>
      </c>
      <c r="B1609">
        <v>24</v>
      </c>
      <c r="C1609" t="s">
        <v>128</v>
      </c>
      <c r="D1609" t="s">
        <v>743</v>
      </c>
      <c r="E1609" t="s">
        <v>128</v>
      </c>
      <c r="F1609">
        <v>0</v>
      </c>
      <c r="G1609" t="s">
        <v>128</v>
      </c>
      <c r="H1609" t="s">
        <v>128</v>
      </c>
      <c r="I1609" t="s">
        <v>128</v>
      </c>
      <c r="J1609" t="s">
        <v>128</v>
      </c>
      <c r="K1609" t="s">
        <v>128</v>
      </c>
      <c r="L1609" t="s">
        <v>128</v>
      </c>
      <c r="M1609" t="s">
        <v>2272</v>
      </c>
      <c r="N1609" t="b">
        <v>0</v>
      </c>
    </row>
    <row r="1610" spans="1:14">
      <c r="A1610">
        <v>105</v>
      </c>
      <c r="B1610">
        <v>25</v>
      </c>
      <c r="C1610" t="s">
        <v>128</v>
      </c>
      <c r="D1610" t="s">
        <v>743</v>
      </c>
      <c r="E1610" t="s">
        <v>128</v>
      </c>
      <c r="F1610">
        <v>0</v>
      </c>
      <c r="G1610" t="s">
        <v>128</v>
      </c>
      <c r="H1610" t="s">
        <v>128</v>
      </c>
      <c r="I1610" t="s">
        <v>128</v>
      </c>
      <c r="J1610" t="s">
        <v>128</v>
      </c>
      <c r="K1610" t="s">
        <v>128</v>
      </c>
      <c r="L1610" t="s">
        <v>128</v>
      </c>
      <c r="M1610" t="s">
        <v>2273</v>
      </c>
      <c r="N1610" t="b">
        <v>0</v>
      </c>
    </row>
    <row r="1611" spans="1:14">
      <c r="A1611">
        <v>105</v>
      </c>
      <c r="B1611">
        <v>26</v>
      </c>
      <c r="C1611" t="s">
        <v>128</v>
      </c>
      <c r="D1611" t="s">
        <v>743</v>
      </c>
      <c r="E1611" t="s">
        <v>128</v>
      </c>
      <c r="F1611">
        <v>0</v>
      </c>
      <c r="G1611" t="s">
        <v>128</v>
      </c>
      <c r="H1611" t="s">
        <v>128</v>
      </c>
      <c r="I1611" t="s">
        <v>128</v>
      </c>
      <c r="J1611" t="s">
        <v>128</v>
      </c>
      <c r="K1611" t="s">
        <v>128</v>
      </c>
      <c r="L1611" t="s">
        <v>128</v>
      </c>
      <c r="M1611" t="s">
        <v>2274</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B2="fixed",C2,IF(F2&lt;&gt;"",F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B3="fixed",C3,IF(F3&lt;&gt;"",F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B4="fixed",C4,IF(F4&lt;&gt;"",F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B5="fixed",C5,IF(F5&lt;&gt;"",F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B6="fixed",C6,IF(F6&lt;&gt;"",F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B7="fixed",C7,IF(F7&lt;&gt;"",F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B8="fixed",C8,IF(F8&lt;&gt;"",F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TRIM(人物卡!BZ57)</f>
        <v/>
      </c>
      <c r="G9" t="str">
        <f ca="1">IF(B9="fixed",C9,IF(F9&lt;&gt;"",F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958</v>
      </c>
      <c r="K20" t="s">
        <v>965</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984</v>
      </c>
      <c r="K21" t="s">
        <v>991</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1012</v>
      </c>
      <c r="K22" t="s">
        <v>1019</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1038</v>
      </c>
      <c r="K23" t="s">
        <v>1045</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1064</v>
      </c>
      <c r="K24" t="s">
        <v>1071</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1090</v>
      </c>
      <c r="K25" t="s">
        <v>1097</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1118</v>
      </c>
      <c r="K26" t="s">
        <v>1126</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1146</v>
      </c>
      <c r="K27" t="s">
        <v>1153</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1175</v>
      </c>
      <c r="K28" t="s">
        <v>1184</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1203</v>
      </c>
      <c r="K29" t="s">
        <v>1210</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1229</v>
      </c>
      <c r="K30" t="s">
        <v>1236</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1254</v>
      </c>
      <c r="K31" t="s">
        <v>1261</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2275</v>
      </c>
      <c r="K32" t="s">
        <v>2276</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2277</v>
      </c>
      <c r="K33" t="s">
        <v>2278</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2279</v>
      </c>
      <c r="K34" t="s">
        <v>2280</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2281</v>
      </c>
      <c r="K35" t="s">
        <v>2282</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1280</v>
      </c>
      <c r="K36" t="s">
        <v>1287</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2283</v>
      </c>
      <c r="K37" t="s">
        <v>2284</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2285</v>
      </c>
      <c r="K38" t="s">
        <v>2286</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2287</v>
      </c>
      <c r="K39" t="s">
        <v>2288</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1306</v>
      </c>
      <c r="K40" t="s">
        <v>1313</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2289</v>
      </c>
      <c r="K41" t="s">
        <v>2290</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2291</v>
      </c>
      <c r="K42" t="s">
        <v>2292</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1331</v>
      </c>
      <c r="K43" t="s">
        <v>1338</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2293</v>
      </c>
      <c r="K44" t="s">
        <v>2294</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2295</v>
      </c>
      <c r="K45" t="s">
        <v>2296</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1357</v>
      </c>
      <c r="K46" t="s">
        <v>1364</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2297</v>
      </c>
      <c r="K47" t="s">
        <v>2298</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2299</v>
      </c>
      <c r="K48" t="s">
        <v>2300</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1383</v>
      </c>
      <c r="K49" t="s">
        <v>1390</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2301</v>
      </c>
      <c r="K50" t="s">
        <v>2302</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2303</v>
      </c>
      <c r="K51" t="s">
        <v>2304</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2305</v>
      </c>
      <c r="K52" t="s">
        <v>2306</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2307</v>
      </c>
      <c r="K53" t="s">
        <v>2308</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2309</v>
      </c>
      <c r="K54" t="s">
        <v>2310</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2311</v>
      </c>
      <c r="K55" t="s">
        <v>2312</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2313</v>
      </c>
      <c r="K56" t="s">
        <v>2314</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2315</v>
      </c>
      <c r="K57" t="s">
        <v>2316</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2317</v>
      </c>
      <c r="K58" t="s">
        <v>2318</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2319</v>
      </c>
      <c r="K59" t="s">
        <v>2320</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2321</v>
      </c>
      <c r="K60" t="s">
        <v>2322</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2323</v>
      </c>
      <c r="K61" t="s">
        <v>2324</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2325</v>
      </c>
      <c r="K62" t="s">
        <v>2326</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2327</v>
      </c>
      <c r="K63" t="s">
        <v>2328</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2329</v>
      </c>
      <c r="K64" t="s">
        <v>2330</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2331</v>
      </c>
      <c r="K65" t="s">
        <v>2332</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2333</v>
      </c>
      <c r="K66" t="s">
        <v>2334</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2335</v>
      </c>
      <c r="K67" t="s">
        <v>2336</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2337</v>
      </c>
      <c r="K68" t="s">
        <v>2338</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2339</v>
      </c>
      <c r="K69" t="s">
        <v>2340</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2341</v>
      </c>
      <c r="K70" t="s">
        <v>2342</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2343</v>
      </c>
      <c r="K71" t="s">
        <v>2344</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2345</v>
      </c>
      <c r="K72" t="s">
        <v>2346</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2347</v>
      </c>
      <c r="K73" t="s">
        <v>2348</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2349</v>
      </c>
      <c r="K74" t="s">
        <v>2350</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2351</v>
      </c>
      <c r="K75" t="s">
        <v>2352</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2353</v>
      </c>
      <c r="K76" t="s">
        <v>2354</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2355</v>
      </c>
      <c r="K77" t="s">
        <v>2356</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2357</v>
      </c>
      <c r="K78" t="s">
        <v>2358</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504</v>
      </c>
      <c r="B100">
        <v>1</v>
      </c>
      <c r="C100" t="s">
        <v>2359</v>
      </c>
      <c r="D100" t="s">
        <v>762</v>
      </c>
      <c r="E100" t="s">
        <v>128</v>
      </c>
      <c r="F100" t="s">
        <v>128</v>
      </c>
      <c r="G100" t="s">
        <v>128</v>
      </c>
    </row>
    <row r="101" spans="1:7">
      <c r="A101" t="s">
        <v>504</v>
      </c>
      <c r="B101">
        <v>2</v>
      </c>
      <c r="C101" t="s">
        <v>2360</v>
      </c>
      <c r="D101" t="s">
        <v>762</v>
      </c>
      <c r="E101" t="s">
        <v>128</v>
      </c>
      <c r="F101" t="s">
        <v>128</v>
      </c>
      <c r="G101" t="s">
        <v>128</v>
      </c>
    </row>
    <row r="102" spans="1:7">
      <c r="A102" t="s">
        <v>504</v>
      </c>
      <c r="B102">
        <v>3</v>
      </c>
      <c r="C102" t="s">
        <v>2361</v>
      </c>
      <c r="D102" t="s">
        <v>762</v>
      </c>
      <c r="E102" t="s">
        <v>128</v>
      </c>
      <c r="F102" t="s">
        <v>128</v>
      </c>
      <c r="G102" t="s">
        <v>128</v>
      </c>
    </row>
    <row r="103" spans="1:7">
      <c r="A103" t="s">
        <v>504</v>
      </c>
      <c r="B103">
        <v>4</v>
      </c>
      <c r="C103" t="s">
        <v>2362</v>
      </c>
      <c r="D103" t="s">
        <v>762</v>
      </c>
      <c r="E103" t="s">
        <v>128</v>
      </c>
      <c r="F103" t="s">
        <v>128</v>
      </c>
      <c r="G103" t="s">
        <v>128</v>
      </c>
    </row>
    <row r="104" spans="1:7">
      <c r="A104" t="s">
        <v>504</v>
      </c>
      <c r="B104">
        <v>5</v>
      </c>
      <c r="C104" t="s">
        <v>2363</v>
      </c>
      <c r="D104" t="s">
        <v>762</v>
      </c>
      <c r="E104" t="s">
        <v>128</v>
      </c>
      <c r="F104" t="s">
        <v>128</v>
      </c>
      <c r="G104" t="s">
        <v>128</v>
      </c>
    </row>
    <row r="105" spans="1:7">
      <c r="A105" t="s">
        <v>504</v>
      </c>
      <c r="B105">
        <v>6</v>
      </c>
      <c r="C105" t="s">
        <v>2364</v>
      </c>
      <c r="D105" t="s">
        <v>762</v>
      </c>
      <c r="E105" t="s">
        <v>128</v>
      </c>
      <c r="F105" t="s">
        <v>128</v>
      </c>
      <c r="G105" t="s">
        <v>128</v>
      </c>
    </row>
    <row r="106" spans="1:7">
      <c r="A106" t="s">
        <v>504</v>
      </c>
      <c r="B106">
        <v>7</v>
      </c>
      <c r="C106" t="s">
        <v>2365</v>
      </c>
      <c r="D106" t="s">
        <v>762</v>
      </c>
      <c r="E106" t="s">
        <v>128</v>
      </c>
      <c r="F106" t="s">
        <v>128</v>
      </c>
      <c r="G106" t="s">
        <v>128</v>
      </c>
    </row>
    <row r="107" spans="1:7">
      <c r="A107" t="s">
        <v>504</v>
      </c>
      <c r="B107">
        <v>8</v>
      </c>
      <c r="C107" t="s">
        <v>2366</v>
      </c>
      <c r="D107" t="s">
        <v>762</v>
      </c>
      <c r="E107" t="s">
        <v>128</v>
      </c>
      <c r="F107" t="s">
        <v>128</v>
      </c>
      <c r="G107" t="s">
        <v>128</v>
      </c>
    </row>
    <row r="108" spans="1:7">
      <c r="A108" t="s">
        <v>505</v>
      </c>
      <c r="B108">
        <v>1</v>
      </c>
      <c r="C108" t="s">
        <v>65</v>
      </c>
      <c r="D108" t="s">
        <v>726</v>
      </c>
      <c r="E108" t="s">
        <v>65</v>
      </c>
      <c r="F108" t="s">
        <v>128</v>
      </c>
      <c r="G108" t="s">
        <v>128</v>
      </c>
    </row>
    <row r="109" spans="1:7">
      <c r="A109" t="s">
        <v>505</v>
      </c>
      <c r="B109">
        <v>2</v>
      </c>
      <c r="C109" t="s">
        <v>506</v>
      </c>
      <c r="D109" t="s">
        <v>2367</v>
      </c>
      <c r="E109" t="s">
        <v>128</v>
      </c>
      <c r="F109" t="s">
        <v>2368</v>
      </c>
      <c r="G109" t="s">
        <v>546</v>
      </c>
    </row>
    <row r="110" spans="1:7">
      <c r="A110" t="s">
        <v>505</v>
      </c>
      <c r="B110">
        <v>3</v>
      </c>
      <c r="C110" t="s">
        <v>96</v>
      </c>
      <c r="D110" t="s">
        <v>726</v>
      </c>
      <c r="E110" t="s">
        <v>96</v>
      </c>
      <c r="F110" t="s">
        <v>128</v>
      </c>
      <c r="G110" t="s">
        <v>128</v>
      </c>
    </row>
    <row r="111" spans="1:7">
      <c r="A111" t="s">
        <v>505</v>
      </c>
      <c r="B111">
        <v>4</v>
      </c>
      <c r="C111" t="s">
        <v>78</v>
      </c>
      <c r="D111" t="s">
        <v>726</v>
      </c>
      <c r="E111" t="s">
        <v>78</v>
      </c>
      <c r="F111" t="s">
        <v>128</v>
      </c>
      <c r="G111" t="s">
        <v>128</v>
      </c>
    </row>
    <row r="112" spans="1:7">
      <c r="A112" t="s">
        <v>505</v>
      </c>
      <c r="B112">
        <v>5</v>
      </c>
      <c r="C112" t="s">
        <v>507</v>
      </c>
      <c r="D112" t="s">
        <v>2367</v>
      </c>
      <c r="E112" t="s">
        <v>128</v>
      </c>
      <c r="F112" t="s">
        <v>2369</v>
      </c>
      <c r="G112" t="s">
        <v>545</v>
      </c>
    </row>
    <row r="113" spans="1:7">
      <c r="A113" t="s">
        <v>505</v>
      </c>
      <c r="B113">
        <v>6</v>
      </c>
      <c r="C113" t="s">
        <v>507</v>
      </c>
      <c r="D113" t="s">
        <v>2367</v>
      </c>
      <c r="E113" t="s">
        <v>128</v>
      </c>
      <c r="F113" t="s">
        <v>2369</v>
      </c>
      <c r="G113" t="s">
        <v>545</v>
      </c>
    </row>
    <row r="114" spans="1:7">
      <c r="A114" t="s">
        <v>505</v>
      </c>
      <c r="B114">
        <v>7</v>
      </c>
      <c r="C114" t="s">
        <v>507</v>
      </c>
      <c r="D114" t="s">
        <v>2367</v>
      </c>
      <c r="E114" t="s">
        <v>128</v>
      </c>
      <c r="F114" t="s">
        <v>2369</v>
      </c>
      <c r="G114" t="s">
        <v>545</v>
      </c>
    </row>
    <row r="115" spans="1:7">
      <c r="A115" t="s">
        <v>505</v>
      </c>
      <c r="B115">
        <v>8</v>
      </c>
      <c r="C115" t="s">
        <v>115</v>
      </c>
      <c r="D115" t="s">
        <v>726</v>
      </c>
      <c r="E115" t="s">
        <v>115</v>
      </c>
      <c r="F115" t="s">
        <v>128</v>
      </c>
      <c r="G115" t="s">
        <v>128</v>
      </c>
    </row>
    <row r="116" spans="1:7">
      <c r="A116" t="s">
        <v>119</v>
      </c>
      <c r="B116">
        <v>1</v>
      </c>
      <c r="C116" t="s">
        <v>65</v>
      </c>
      <c r="D116" t="s">
        <v>726</v>
      </c>
      <c r="E116" t="s">
        <v>65</v>
      </c>
      <c r="F116" t="s">
        <v>128</v>
      </c>
      <c r="G116" t="s">
        <v>128</v>
      </c>
    </row>
    <row r="117" spans="1:7">
      <c r="A117" t="s">
        <v>119</v>
      </c>
      <c r="B117">
        <v>2</v>
      </c>
      <c r="C117" t="s">
        <v>77</v>
      </c>
      <c r="D117" t="s">
        <v>726</v>
      </c>
      <c r="E117" t="s">
        <v>77</v>
      </c>
      <c r="F117" t="s">
        <v>128</v>
      </c>
      <c r="G117" t="s">
        <v>128</v>
      </c>
    </row>
    <row r="118" spans="1:7">
      <c r="A118" t="s">
        <v>119</v>
      </c>
      <c r="B118">
        <v>3</v>
      </c>
      <c r="C118" t="s">
        <v>97</v>
      </c>
      <c r="D118" t="s">
        <v>726</v>
      </c>
      <c r="E118" t="s">
        <v>97</v>
      </c>
      <c r="F118" t="s">
        <v>128</v>
      </c>
      <c r="G118" t="s">
        <v>128</v>
      </c>
    </row>
    <row r="119" spans="1:7">
      <c r="A119" t="s">
        <v>119</v>
      </c>
      <c r="B119">
        <v>4</v>
      </c>
      <c r="C119" t="s">
        <v>103</v>
      </c>
      <c r="D119" t="s">
        <v>726</v>
      </c>
      <c r="E119" t="s">
        <v>103</v>
      </c>
      <c r="F119" t="s">
        <v>128</v>
      </c>
      <c r="G119" t="s">
        <v>128</v>
      </c>
    </row>
    <row r="120" spans="1:7">
      <c r="A120" t="s">
        <v>119</v>
      </c>
      <c r="B120">
        <v>5</v>
      </c>
      <c r="C120" t="s">
        <v>115</v>
      </c>
      <c r="D120" t="s">
        <v>726</v>
      </c>
      <c r="E120" t="s">
        <v>115</v>
      </c>
      <c r="F120" t="s">
        <v>128</v>
      </c>
      <c r="G120" t="s">
        <v>128</v>
      </c>
    </row>
    <row r="121" spans="1:7">
      <c r="A121" t="s">
        <v>119</v>
      </c>
      <c r="B121">
        <v>6</v>
      </c>
      <c r="C121" t="s">
        <v>78</v>
      </c>
      <c r="D121" t="s">
        <v>726</v>
      </c>
      <c r="E121" t="s">
        <v>78</v>
      </c>
      <c r="F121" t="s">
        <v>128</v>
      </c>
      <c r="G121" t="s">
        <v>128</v>
      </c>
    </row>
    <row r="122" spans="1:7">
      <c r="A122" t="s">
        <v>119</v>
      </c>
      <c r="B122">
        <v>7</v>
      </c>
      <c r="C122" t="s">
        <v>107</v>
      </c>
      <c r="D122" t="s">
        <v>726</v>
      </c>
      <c r="E122" t="s">
        <v>107</v>
      </c>
      <c r="F122" t="s">
        <v>128</v>
      </c>
      <c r="G122" t="s">
        <v>128</v>
      </c>
    </row>
    <row r="123" spans="1:7">
      <c r="A123" t="s">
        <v>119</v>
      </c>
      <c r="B123">
        <v>8</v>
      </c>
      <c r="C123" t="s">
        <v>108</v>
      </c>
      <c r="D123" t="s">
        <v>726</v>
      </c>
      <c r="E123" t="s">
        <v>108</v>
      </c>
      <c r="F123" t="s">
        <v>128</v>
      </c>
      <c r="G123" t="s">
        <v>128</v>
      </c>
    </row>
    <row r="124" spans="1:7">
      <c r="A124" t="s">
        <v>508</v>
      </c>
      <c r="B124">
        <v>1</v>
      </c>
      <c r="C124" t="s">
        <v>507</v>
      </c>
      <c r="D124" t="s">
        <v>2367</v>
      </c>
      <c r="E124" t="s">
        <v>128</v>
      </c>
      <c r="F124" t="s">
        <v>2369</v>
      </c>
      <c r="G124" t="s">
        <v>545</v>
      </c>
    </row>
    <row r="125" spans="1:7">
      <c r="A125" t="s">
        <v>508</v>
      </c>
      <c r="B125">
        <v>2</v>
      </c>
      <c r="C125" t="s">
        <v>67</v>
      </c>
      <c r="D125" t="s">
        <v>726</v>
      </c>
      <c r="E125" t="s">
        <v>67</v>
      </c>
      <c r="F125" t="s">
        <v>128</v>
      </c>
      <c r="G125" t="s">
        <v>128</v>
      </c>
    </row>
    <row r="126" spans="1:7">
      <c r="A126" t="s">
        <v>508</v>
      </c>
      <c r="B126">
        <v>3</v>
      </c>
      <c r="C126" t="s">
        <v>83</v>
      </c>
      <c r="D126" t="s">
        <v>726</v>
      </c>
      <c r="E126" t="s">
        <v>83</v>
      </c>
      <c r="F126" t="s">
        <v>128</v>
      </c>
      <c r="G126" t="s">
        <v>128</v>
      </c>
    </row>
    <row r="127" spans="1:7">
      <c r="A127" t="s">
        <v>508</v>
      </c>
      <c r="B127">
        <v>4</v>
      </c>
      <c r="C127" t="s">
        <v>114</v>
      </c>
      <c r="D127" t="s">
        <v>726</v>
      </c>
      <c r="E127" t="s">
        <v>114</v>
      </c>
      <c r="F127" t="s">
        <v>128</v>
      </c>
      <c r="G127" t="s">
        <v>128</v>
      </c>
    </row>
    <row r="128" spans="1:7">
      <c r="A128" t="s">
        <v>508</v>
      </c>
      <c r="B128">
        <v>5</v>
      </c>
      <c r="C128" t="s">
        <v>61</v>
      </c>
      <c r="D128" t="s">
        <v>726</v>
      </c>
      <c r="E128" t="s">
        <v>61</v>
      </c>
      <c r="F128" t="s">
        <v>128</v>
      </c>
      <c r="G128" t="s">
        <v>128</v>
      </c>
    </row>
    <row r="129" spans="1:7">
      <c r="A129" t="s">
        <v>508</v>
      </c>
      <c r="B129">
        <v>6</v>
      </c>
      <c r="C129" t="s">
        <v>76</v>
      </c>
      <c r="D129" t="s">
        <v>726</v>
      </c>
      <c r="E129" t="s">
        <v>76</v>
      </c>
      <c r="F129" t="s">
        <v>128</v>
      </c>
      <c r="G129" t="s">
        <v>128</v>
      </c>
    </row>
    <row r="130" spans="1:7">
      <c r="A130" t="s">
        <v>508</v>
      </c>
      <c r="B130">
        <v>7</v>
      </c>
      <c r="C130" t="s">
        <v>78</v>
      </c>
      <c r="D130" t="s">
        <v>726</v>
      </c>
      <c r="E130" t="s">
        <v>78</v>
      </c>
      <c r="F130" t="s">
        <v>128</v>
      </c>
      <c r="G130" t="s">
        <v>128</v>
      </c>
    </row>
    <row r="131" spans="1:7">
      <c r="A131" t="s">
        <v>508</v>
      </c>
      <c r="B131">
        <v>8</v>
      </c>
      <c r="C131" t="s">
        <v>115</v>
      </c>
      <c r="D131" t="s">
        <v>726</v>
      </c>
      <c r="E131" t="s">
        <v>115</v>
      </c>
      <c r="F131" t="s">
        <v>128</v>
      </c>
      <c r="G131" t="s">
        <v>128</v>
      </c>
    </row>
    <row r="132" spans="1:7">
      <c r="A132" t="s">
        <v>509</v>
      </c>
      <c r="B132">
        <v>1</v>
      </c>
      <c r="C132" t="s">
        <v>65</v>
      </c>
      <c r="D132" t="s">
        <v>726</v>
      </c>
      <c r="E132" t="s">
        <v>65</v>
      </c>
      <c r="F132" t="s">
        <v>128</v>
      </c>
      <c r="G132" t="s">
        <v>128</v>
      </c>
    </row>
    <row r="133" spans="1:7">
      <c r="A133" t="s">
        <v>509</v>
      </c>
      <c r="B133">
        <v>2</v>
      </c>
      <c r="C133" t="s">
        <v>77</v>
      </c>
      <c r="D133" t="s">
        <v>726</v>
      </c>
      <c r="E133" t="s">
        <v>77</v>
      </c>
      <c r="F133" t="s">
        <v>128</v>
      </c>
      <c r="G133" t="s">
        <v>128</v>
      </c>
    </row>
    <row r="134" spans="1:7">
      <c r="A134" t="s">
        <v>509</v>
      </c>
      <c r="B134">
        <v>3</v>
      </c>
      <c r="C134" t="s">
        <v>510</v>
      </c>
      <c r="D134" t="s">
        <v>726</v>
      </c>
      <c r="E134" t="s">
        <v>510</v>
      </c>
      <c r="F134" t="s">
        <v>128</v>
      </c>
      <c r="G134" t="s">
        <v>546</v>
      </c>
    </row>
    <row r="135" spans="1:7">
      <c r="A135" t="s">
        <v>509</v>
      </c>
      <c r="B135">
        <v>4</v>
      </c>
      <c r="C135" t="s">
        <v>511</v>
      </c>
      <c r="D135" t="s">
        <v>726</v>
      </c>
      <c r="E135" t="s">
        <v>511</v>
      </c>
      <c r="F135" t="s">
        <v>128</v>
      </c>
      <c r="G135" t="s">
        <v>546</v>
      </c>
    </row>
    <row r="136" spans="1:7">
      <c r="A136" t="s">
        <v>509</v>
      </c>
      <c r="B136">
        <v>5</v>
      </c>
      <c r="C136" t="s">
        <v>93</v>
      </c>
      <c r="D136" t="s">
        <v>726</v>
      </c>
      <c r="E136" t="s">
        <v>93</v>
      </c>
      <c r="F136" t="s">
        <v>128</v>
      </c>
      <c r="G136" t="s">
        <v>128</v>
      </c>
    </row>
    <row r="137" spans="1:7">
      <c r="A137" t="s">
        <v>509</v>
      </c>
      <c r="B137">
        <v>6</v>
      </c>
      <c r="C137" t="s">
        <v>96</v>
      </c>
      <c r="D137" t="s">
        <v>726</v>
      </c>
      <c r="E137" t="s">
        <v>96</v>
      </c>
      <c r="F137" t="s">
        <v>128</v>
      </c>
      <c r="G137" t="s">
        <v>128</v>
      </c>
    </row>
    <row r="138" spans="1:7">
      <c r="A138" t="s">
        <v>509</v>
      </c>
      <c r="B138">
        <v>7</v>
      </c>
      <c r="C138" t="s">
        <v>98</v>
      </c>
      <c r="D138" t="s">
        <v>726</v>
      </c>
      <c r="E138" t="s">
        <v>98</v>
      </c>
      <c r="F138" t="s">
        <v>128</v>
      </c>
      <c r="G138" t="s">
        <v>128</v>
      </c>
    </row>
    <row r="139" spans="1:7">
      <c r="A139" t="s">
        <v>509</v>
      </c>
      <c r="B139">
        <v>8</v>
      </c>
      <c r="C139" t="s">
        <v>102</v>
      </c>
      <c r="D139" t="s">
        <v>726</v>
      </c>
      <c r="E139" t="s">
        <v>102</v>
      </c>
      <c r="F139" t="s">
        <v>128</v>
      </c>
      <c r="G139" t="s">
        <v>128</v>
      </c>
    </row>
    <row r="140" spans="1:7">
      <c r="A140" t="s">
        <v>512</v>
      </c>
      <c r="B140">
        <v>1</v>
      </c>
      <c r="C140" t="s">
        <v>65</v>
      </c>
      <c r="D140" t="s">
        <v>726</v>
      </c>
      <c r="E140" t="s">
        <v>65</v>
      </c>
      <c r="F140" t="s">
        <v>128</v>
      </c>
      <c r="G140" t="s">
        <v>128</v>
      </c>
    </row>
    <row r="141" spans="1:7">
      <c r="A141" t="s">
        <v>512</v>
      </c>
      <c r="B141">
        <v>2</v>
      </c>
      <c r="C141" t="s">
        <v>506</v>
      </c>
      <c r="D141" t="s">
        <v>2367</v>
      </c>
      <c r="E141" t="s">
        <v>128</v>
      </c>
      <c r="F141" t="s">
        <v>2368</v>
      </c>
      <c r="G141" t="s">
        <v>546</v>
      </c>
    </row>
    <row r="142" spans="1:7">
      <c r="A142" t="s">
        <v>512</v>
      </c>
      <c r="B142">
        <v>3</v>
      </c>
      <c r="C142" t="s">
        <v>506</v>
      </c>
      <c r="D142" t="s">
        <v>2367</v>
      </c>
      <c r="E142" t="s">
        <v>128</v>
      </c>
      <c r="F142" t="s">
        <v>2368</v>
      </c>
      <c r="G142" t="s">
        <v>546</v>
      </c>
    </row>
    <row r="143" spans="1:7">
      <c r="A143" t="s">
        <v>512</v>
      </c>
      <c r="B143">
        <v>4</v>
      </c>
      <c r="C143" t="s">
        <v>99</v>
      </c>
      <c r="D143" t="s">
        <v>726</v>
      </c>
      <c r="E143" t="s">
        <v>99</v>
      </c>
      <c r="F143" t="s">
        <v>128</v>
      </c>
      <c r="G143" t="s">
        <v>128</v>
      </c>
    </row>
    <row r="144" spans="1:7">
      <c r="A144" t="s">
        <v>512</v>
      </c>
      <c r="B144">
        <v>5</v>
      </c>
      <c r="C144" t="s">
        <v>103</v>
      </c>
      <c r="D144" t="s">
        <v>726</v>
      </c>
      <c r="E144" t="s">
        <v>103</v>
      </c>
      <c r="F144" t="s">
        <v>128</v>
      </c>
      <c r="G144" t="s">
        <v>128</v>
      </c>
    </row>
    <row r="145" spans="1:7">
      <c r="A145" t="s">
        <v>512</v>
      </c>
      <c r="B145">
        <v>6</v>
      </c>
      <c r="C145" t="s">
        <v>112</v>
      </c>
      <c r="D145" t="s">
        <v>726</v>
      </c>
      <c r="E145" t="s">
        <v>112</v>
      </c>
      <c r="F145" t="s">
        <v>128</v>
      </c>
      <c r="G145" t="s">
        <v>128</v>
      </c>
    </row>
    <row r="146" spans="1:7">
      <c r="A146" t="s">
        <v>512</v>
      </c>
      <c r="B146">
        <v>7</v>
      </c>
      <c r="C146" t="s">
        <v>74</v>
      </c>
      <c r="D146" t="s">
        <v>726</v>
      </c>
      <c r="E146" t="s">
        <v>74</v>
      </c>
      <c r="F146" t="s">
        <v>128</v>
      </c>
      <c r="G146" t="s">
        <v>128</v>
      </c>
    </row>
    <row r="147" spans="1:7">
      <c r="A147" t="s">
        <v>512</v>
      </c>
      <c r="B147">
        <v>8</v>
      </c>
      <c r="C147" t="s">
        <v>98</v>
      </c>
      <c r="D147" t="s">
        <v>726</v>
      </c>
      <c r="E147" t="s">
        <v>98</v>
      </c>
      <c r="F147" t="s">
        <v>128</v>
      </c>
      <c r="G147" t="s">
        <v>128</v>
      </c>
    </row>
    <row r="148" spans="1:7">
      <c r="A148" t="s">
        <v>513</v>
      </c>
      <c r="B148">
        <v>1</v>
      </c>
      <c r="C148" t="s">
        <v>60</v>
      </c>
      <c r="D148" t="s">
        <v>726</v>
      </c>
      <c r="E148" t="s">
        <v>60</v>
      </c>
      <c r="F148" t="s">
        <v>128</v>
      </c>
      <c r="G148" t="s">
        <v>128</v>
      </c>
    </row>
    <row r="149" spans="1:7">
      <c r="A149" t="s">
        <v>513</v>
      </c>
      <c r="B149">
        <v>2</v>
      </c>
      <c r="C149" t="s">
        <v>83</v>
      </c>
      <c r="D149" t="s">
        <v>726</v>
      </c>
      <c r="E149" t="s">
        <v>83</v>
      </c>
      <c r="F149" t="s">
        <v>128</v>
      </c>
      <c r="G149" t="s">
        <v>128</v>
      </c>
    </row>
    <row r="150" spans="1:7">
      <c r="A150" t="s">
        <v>513</v>
      </c>
      <c r="B150">
        <v>3</v>
      </c>
      <c r="C150" t="s">
        <v>87</v>
      </c>
      <c r="D150" t="s">
        <v>726</v>
      </c>
      <c r="E150" t="s">
        <v>87</v>
      </c>
      <c r="F150" t="s">
        <v>128</v>
      </c>
      <c r="G150" t="s">
        <v>128</v>
      </c>
    </row>
    <row r="151" spans="1:7">
      <c r="A151" t="s">
        <v>513</v>
      </c>
      <c r="B151">
        <v>4</v>
      </c>
      <c r="C151" t="s">
        <v>93</v>
      </c>
      <c r="D151" t="s">
        <v>726</v>
      </c>
      <c r="E151" t="s">
        <v>93</v>
      </c>
      <c r="F151" t="s">
        <v>128</v>
      </c>
      <c r="G151" t="s">
        <v>128</v>
      </c>
    </row>
    <row r="152" spans="1:7">
      <c r="A152" t="s">
        <v>513</v>
      </c>
      <c r="B152">
        <v>5</v>
      </c>
      <c r="C152" t="s">
        <v>115</v>
      </c>
      <c r="D152" t="s">
        <v>726</v>
      </c>
      <c r="E152" t="s">
        <v>115</v>
      </c>
      <c r="F152" t="s">
        <v>128</v>
      </c>
      <c r="G152" t="s">
        <v>128</v>
      </c>
    </row>
    <row r="153" spans="1:7">
      <c r="A153" t="s">
        <v>513</v>
      </c>
      <c r="B153">
        <v>6</v>
      </c>
      <c r="C153" t="s">
        <v>61</v>
      </c>
      <c r="D153" t="s">
        <v>726</v>
      </c>
      <c r="E153" t="s">
        <v>61</v>
      </c>
      <c r="F153" t="s">
        <v>128</v>
      </c>
      <c r="G153" t="s">
        <v>128</v>
      </c>
    </row>
    <row r="154" spans="1:7">
      <c r="A154" t="s">
        <v>513</v>
      </c>
      <c r="B154">
        <v>7</v>
      </c>
      <c r="C154" t="s">
        <v>78</v>
      </c>
      <c r="D154" t="s">
        <v>726</v>
      </c>
      <c r="E154" t="s">
        <v>78</v>
      </c>
      <c r="F154" t="s">
        <v>128</v>
      </c>
      <c r="G154" t="s">
        <v>128</v>
      </c>
    </row>
    <row r="155" spans="1:7">
      <c r="A155" t="s">
        <v>513</v>
      </c>
      <c r="B155">
        <v>8</v>
      </c>
      <c r="C155" t="s">
        <v>2370</v>
      </c>
      <c r="D155" t="s">
        <v>762</v>
      </c>
      <c r="E155" t="s">
        <v>128</v>
      </c>
      <c r="F155" t="s">
        <v>128</v>
      </c>
      <c r="G155" t="s">
        <v>128</v>
      </c>
    </row>
    <row r="156" spans="1:7">
      <c r="A156" t="s">
        <v>515</v>
      </c>
      <c r="B156">
        <v>1</v>
      </c>
      <c r="C156" t="s">
        <v>338</v>
      </c>
      <c r="D156" t="s">
        <v>2367</v>
      </c>
      <c r="E156" t="s">
        <v>128</v>
      </c>
      <c r="F156" t="s">
        <v>2371</v>
      </c>
      <c r="G156" t="s">
        <v>299</v>
      </c>
    </row>
    <row r="157" spans="1:7">
      <c r="A157" t="s">
        <v>515</v>
      </c>
      <c r="B157">
        <v>2</v>
      </c>
      <c r="C157" t="s">
        <v>338</v>
      </c>
      <c r="D157" t="s">
        <v>2367</v>
      </c>
      <c r="E157" t="s">
        <v>128</v>
      </c>
      <c r="F157" t="s">
        <v>2371</v>
      </c>
      <c r="G157" t="s">
        <v>299</v>
      </c>
    </row>
    <row r="158" spans="1:7">
      <c r="A158" t="s">
        <v>515</v>
      </c>
      <c r="B158">
        <v>3</v>
      </c>
      <c r="C158" t="s">
        <v>338</v>
      </c>
      <c r="D158" t="s">
        <v>2367</v>
      </c>
      <c r="E158" t="s">
        <v>128</v>
      </c>
      <c r="F158" t="s">
        <v>2371</v>
      </c>
      <c r="G158" t="s">
        <v>299</v>
      </c>
    </row>
    <row r="159" spans="1:7">
      <c r="A159" t="s">
        <v>515</v>
      </c>
      <c r="B159">
        <v>4</v>
      </c>
      <c r="C159" t="s">
        <v>114</v>
      </c>
      <c r="D159" t="s">
        <v>726</v>
      </c>
      <c r="E159" t="s">
        <v>114</v>
      </c>
      <c r="F159" t="s">
        <v>128</v>
      </c>
      <c r="G159" t="s">
        <v>128</v>
      </c>
    </row>
    <row r="160" spans="1:7">
      <c r="A160" t="s">
        <v>515</v>
      </c>
      <c r="B160">
        <v>5</v>
      </c>
      <c r="C160" t="s">
        <v>115</v>
      </c>
      <c r="D160" t="s">
        <v>726</v>
      </c>
      <c r="E160" t="s">
        <v>115</v>
      </c>
      <c r="F160" t="s">
        <v>128</v>
      </c>
      <c r="G160" t="s">
        <v>128</v>
      </c>
    </row>
    <row r="161" spans="1:7">
      <c r="A161" t="s">
        <v>515</v>
      </c>
      <c r="B161">
        <v>6</v>
      </c>
      <c r="C161" t="s">
        <v>76</v>
      </c>
      <c r="D161" t="s">
        <v>726</v>
      </c>
      <c r="E161" t="s">
        <v>76</v>
      </c>
      <c r="F161" t="s">
        <v>128</v>
      </c>
      <c r="G161" t="s">
        <v>128</v>
      </c>
    </row>
    <row r="162" spans="1:7">
      <c r="A162" t="s">
        <v>515</v>
      </c>
      <c r="B162">
        <v>7</v>
      </c>
      <c r="C162" t="s">
        <v>78</v>
      </c>
      <c r="D162" t="s">
        <v>726</v>
      </c>
      <c r="E162" t="s">
        <v>78</v>
      </c>
      <c r="F162" t="s">
        <v>128</v>
      </c>
      <c r="G162" t="s">
        <v>128</v>
      </c>
    </row>
    <row r="163" spans="1:7">
      <c r="A163" t="s">
        <v>515</v>
      </c>
      <c r="B163">
        <v>8</v>
      </c>
      <c r="C163" t="s">
        <v>91</v>
      </c>
      <c r="D163" t="s">
        <v>726</v>
      </c>
      <c r="E163" t="s">
        <v>91</v>
      </c>
      <c r="F163" t="s">
        <v>128</v>
      </c>
      <c r="G163" t="s">
        <v>128</v>
      </c>
    </row>
    <row r="164" spans="1:7">
      <c r="A164" t="s">
        <v>517</v>
      </c>
      <c r="B164">
        <v>1</v>
      </c>
      <c r="C164" t="s">
        <v>65</v>
      </c>
      <c r="D164" t="s">
        <v>726</v>
      </c>
      <c r="E164" t="s">
        <v>65</v>
      </c>
      <c r="F164" t="s">
        <v>128</v>
      </c>
      <c r="G164" t="s">
        <v>128</v>
      </c>
    </row>
    <row r="165" spans="1:7">
      <c r="A165" t="s">
        <v>517</v>
      </c>
      <c r="B165">
        <v>2</v>
      </c>
      <c r="C165" t="s">
        <v>97</v>
      </c>
      <c r="D165" t="s">
        <v>726</v>
      </c>
      <c r="E165" t="s">
        <v>97</v>
      </c>
      <c r="F165" t="s">
        <v>128</v>
      </c>
      <c r="G165" t="s">
        <v>128</v>
      </c>
    </row>
    <row r="166" spans="1:7">
      <c r="A166" t="s">
        <v>517</v>
      </c>
      <c r="B166">
        <v>3</v>
      </c>
      <c r="C166" t="s">
        <v>101</v>
      </c>
      <c r="D166" t="s">
        <v>726</v>
      </c>
      <c r="E166" t="s">
        <v>101</v>
      </c>
      <c r="F166" t="s">
        <v>128</v>
      </c>
      <c r="G166" t="s">
        <v>128</v>
      </c>
    </row>
    <row r="167" spans="1:7">
      <c r="A167" t="s">
        <v>517</v>
      </c>
      <c r="B167">
        <v>4</v>
      </c>
      <c r="C167" t="s">
        <v>103</v>
      </c>
      <c r="D167" t="s">
        <v>726</v>
      </c>
      <c r="E167" t="s">
        <v>103</v>
      </c>
      <c r="F167" t="s">
        <v>128</v>
      </c>
      <c r="G167" t="s">
        <v>128</v>
      </c>
    </row>
    <row r="168" spans="1:7">
      <c r="A168" t="s">
        <v>517</v>
      </c>
      <c r="B168">
        <v>5</v>
      </c>
      <c r="C168" t="s">
        <v>113</v>
      </c>
      <c r="D168" t="s">
        <v>726</v>
      </c>
      <c r="E168" t="s">
        <v>113</v>
      </c>
      <c r="F168" t="s">
        <v>128</v>
      </c>
      <c r="G168" t="s">
        <v>128</v>
      </c>
    </row>
    <row r="169" spans="1:7">
      <c r="A169" t="s">
        <v>517</v>
      </c>
      <c r="B169">
        <v>6</v>
      </c>
      <c r="C169" t="s">
        <v>68</v>
      </c>
      <c r="D169" t="s">
        <v>726</v>
      </c>
      <c r="E169" t="s">
        <v>68</v>
      </c>
      <c r="F169" t="s">
        <v>128</v>
      </c>
      <c r="G169" t="s">
        <v>128</v>
      </c>
    </row>
    <row r="170" spans="1:7">
      <c r="A170" t="s">
        <v>517</v>
      </c>
      <c r="B170">
        <v>7</v>
      </c>
      <c r="C170" t="s">
        <v>102</v>
      </c>
      <c r="D170" t="s">
        <v>726</v>
      </c>
      <c r="E170" t="s">
        <v>102</v>
      </c>
      <c r="F170" t="s">
        <v>128</v>
      </c>
      <c r="G170" t="s">
        <v>128</v>
      </c>
    </row>
    <row r="171" spans="1:7">
      <c r="A171" t="s">
        <v>517</v>
      </c>
      <c r="B171">
        <v>8</v>
      </c>
      <c r="C171" t="s">
        <v>108</v>
      </c>
      <c r="D171" t="s">
        <v>726</v>
      </c>
      <c r="E171" t="s">
        <v>108</v>
      </c>
      <c r="F171" t="s">
        <v>128</v>
      </c>
      <c r="G171" t="s">
        <v>128</v>
      </c>
    </row>
    <row r="172" spans="1:7">
      <c r="A172" t="s">
        <v>518</v>
      </c>
      <c r="B172">
        <v>1</v>
      </c>
      <c r="C172" t="s">
        <v>87</v>
      </c>
      <c r="D172" t="s">
        <v>726</v>
      </c>
      <c r="E172" t="s">
        <v>87</v>
      </c>
      <c r="F172" t="s">
        <v>128</v>
      </c>
      <c r="G172" t="s">
        <v>128</v>
      </c>
    </row>
    <row r="173" spans="1:7">
      <c r="A173" t="s">
        <v>518</v>
      </c>
      <c r="B173">
        <v>2</v>
      </c>
      <c r="C173" t="s">
        <v>368</v>
      </c>
      <c r="D173" t="s">
        <v>726</v>
      </c>
      <c r="E173" t="s">
        <v>368</v>
      </c>
      <c r="F173" t="s">
        <v>128</v>
      </c>
      <c r="G173" t="s">
        <v>546</v>
      </c>
    </row>
    <row r="174" spans="1:7">
      <c r="A174" t="s">
        <v>518</v>
      </c>
      <c r="B174">
        <v>3</v>
      </c>
      <c r="C174" t="s">
        <v>375</v>
      </c>
      <c r="D174" t="s">
        <v>726</v>
      </c>
      <c r="E174" t="s">
        <v>375</v>
      </c>
      <c r="F174" t="s">
        <v>128</v>
      </c>
      <c r="G174" t="s">
        <v>547</v>
      </c>
    </row>
    <row r="175" spans="1:7">
      <c r="A175" t="s">
        <v>518</v>
      </c>
      <c r="B175">
        <v>4</v>
      </c>
      <c r="C175" t="s">
        <v>100</v>
      </c>
      <c r="D175" t="s">
        <v>726</v>
      </c>
      <c r="E175" t="s">
        <v>100</v>
      </c>
      <c r="F175" t="s">
        <v>128</v>
      </c>
      <c r="G175" t="s">
        <v>128</v>
      </c>
    </row>
    <row r="176" spans="1:7">
      <c r="A176" t="s">
        <v>518</v>
      </c>
      <c r="B176">
        <v>5</v>
      </c>
      <c r="C176" t="s">
        <v>2370</v>
      </c>
      <c r="D176" t="s">
        <v>762</v>
      </c>
      <c r="E176" t="s">
        <v>128</v>
      </c>
      <c r="F176" t="s">
        <v>128</v>
      </c>
      <c r="G176" t="s">
        <v>128</v>
      </c>
    </row>
    <row r="177" spans="1:7">
      <c r="A177" t="s">
        <v>518</v>
      </c>
      <c r="B177">
        <v>6</v>
      </c>
      <c r="C177" t="s">
        <v>2370</v>
      </c>
      <c r="D177" t="s">
        <v>762</v>
      </c>
      <c r="E177" t="s">
        <v>128</v>
      </c>
      <c r="F177" t="s">
        <v>128</v>
      </c>
      <c r="G177" t="s">
        <v>128</v>
      </c>
    </row>
    <row r="178" spans="1:7">
      <c r="A178" t="s">
        <v>518</v>
      </c>
      <c r="B178">
        <v>7</v>
      </c>
      <c r="C178" t="s">
        <v>2370</v>
      </c>
      <c r="D178" t="s">
        <v>762</v>
      </c>
      <c r="E178" t="s">
        <v>128</v>
      </c>
      <c r="F178" t="s">
        <v>128</v>
      </c>
      <c r="G178" t="s">
        <v>128</v>
      </c>
    </row>
    <row r="179" spans="1:7">
      <c r="A179" t="s">
        <v>518</v>
      </c>
      <c r="B179">
        <v>8</v>
      </c>
      <c r="C179" t="s">
        <v>2370</v>
      </c>
      <c r="D179" t="s">
        <v>762</v>
      </c>
      <c r="E179" t="s">
        <v>128</v>
      </c>
      <c r="F179" t="s">
        <v>128</v>
      </c>
      <c r="G179" t="s">
        <v>128</v>
      </c>
    </row>
    <row r="180" spans="1:7">
      <c r="A180" t="s">
        <v>520</v>
      </c>
      <c r="B180">
        <v>1</v>
      </c>
      <c r="C180" t="s">
        <v>83</v>
      </c>
      <c r="D180" t="s">
        <v>726</v>
      </c>
      <c r="E180" t="s">
        <v>83</v>
      </c>
      <c r="F180" t="s">
        <v>128</v>
      </c>
      <c r="G180" t="s">
        <v>128</v>
      </c>
    </row>
    <row r="181" spans="1:7">
      <c r="A181" t="s">
        <v>520</v>
      </c>
      <c r="B181">
        <v>2</v>
      </c>
      <c r="C181" t="s">
        <v>103</v>
      </c>
      <c r="D181" t="s">
        <v>726</v>
      </c>
      <c r="E181" t="s">
        <v>103</v>
      </c>
      <c r="F181" t="s">
        <v>128</v>
      </c>
      <c r="G181" t="s">
        <v>128</v>
      </c>
    </row>
    <row r="182" spans="1:7">
      <c r="A182" t="s">
        <v>520</v>
      </c>
      <c r="B182">
        <v>3</v>
      </c>
      <c r="C182" t="s">
        <v>338</v>
      </c>
      <c r="D182" t="s">
        <v>2367</v>
      </c>
      <c r="E182" t="s">
        <v>128</v>
      </c>
      <c r="F182" t="s">
        <v>2371</v>
      </c>
      <c r="G182" t="s">
        <v>299</v>
      </c>
    </row>
    <row r="183" spans="1:7">
      <c r="A183" t="s">
        <v>520</v>
      </c>
      <c r="B183">
        <v>4</v>
      </c>
      <c r="C183" t="s">
        <v>115</v>
      </c>
      <c r="D183" t="s">
        <v>726</v>
      </c>
      <c r="E183" t="s">
        <v>115</v>
      </c>
      <c r="F183" t="s">
        <v>128</v>
      </c>
      <c r="G183" t="s">
        <v>128</v>
      </c>
    </row>
    <row r="184" spans="1:7">
      <c r="A184" t="s">
        <v>520</v>
      </c>
      <c r="B184">
        <v>5</v>
      </c>
      <c r="C184" t="s">
        <v>61</v>
      </c>
      <c r="D184" t="s">
        <v>726</v>
      </c>
      <c r="E184" t="s">
        <v>61</v>
      </c>
      <c r="F184" t="s">
        <v>128</v>
      </c>
      <c r="G184" t="s">
        <v>128</v>
      </c>
    </row>
    <row r="185" spans="1:7">
      <c r="A185" t="s">
        <v>520</v>
      </c>
      <c r="B185">
        <v>6</v>
      </c>
      <c r="C185" t="s">
        <v>78</v>
      </c>
      <c r="D185" t="s">
        <v>726</v>
      </c>
      <c r="E185" t="s">
        <v>78</v>
      </c>
      <c r="F185" t="s">
        <v>128</v>
      </c>
      <c r="G185" t="s">
        <v>128</v>
      </c>
    </row>
    <row r="186" spans="1:7">
      <c r="A186" t="s">
        <v>520</v>
      </c>
      <c r="B186">
        <v>7</v>
      </c>
      <c r="C186" t="s">
        <v>91</v>
      </c>
      <c r="D186" t="s">
        <v>726</v>
      </c>
      <c r="E186" t="s">
        <v>91</v>
      </c>
      <c r="F186" t="s">
        <v>128</v>
      </c>
      <c r="G186" t="s">
        <v>128</v>
      </c>
    </row>
    <row r="187" spans="1:7">
      <c r="A187" t="s">
        <v>520</v>
      </c>
      <c r="B187">
        <v>8</v>
      </c>
      <c r="C187" t="s">
        <v>98</v>
      </c>
      <c r="D187" t="s">
        <v>726</v>
      </c>
      <c r="E187" t="s">
        <v>98</v>
      </c>
      <c r="F187" t="s">
        <v>128</v>
      </c>
      <c r="G187" t="s">
        <v>128</v>
      </c>
    </row>
    <row r="188" spans="1:7">
      <c r="A188" t="s">
        <v>521</v>
      </c>
      <c r="B188">
        <v>1</v>
      </c>
      <c r="C188" t="s">
        <v>60</v>
      </c>
      <c r="D188" t="s">
        <v>726</v>
      </c>
      <c r="E188" t="s">
        <v>60</v>
      </c>
      <c r="F188" t="s">
        <v>128</v>
      </c>
      <c r="G188" t="s">
        <v>128</v>
      </c>
    </row>
    <row r="189" spans="1:7">
      <c r="A189" t="s">
        <v>521</v>
      </c>
      <c r="B189">
        <v>2</v>
      </c>
      <c r="C189" t="s">
        <v>83</v>
      </c>
      <c r="D189" t="s">
        <v>726</v>
      </c>
      <c r="E189" t="s">
        <v>83</v>
      </c>
      <c r="F189" t="s">
        <v>128</v>
      </c>
      <c r="G189" t="s">
        <v>128</v>
      </c>
    </row>
    <row r="190" spans="1:7">
      <c r="A190" t="s">
        <v>521</v>
      </c>
      <c r="B190">
        <v>3</v>
      </c>
      <c r="C190" t="s">
        <v>87</v>
      </c>
      <c r="D190" t="s">
        <v>726</v>
      </c>
      <c r="E190" t="s">
        <v>87</v>
      </c>
      <c r="F190" t="s">
        <v>128</v>
      </c>
      <c r="G190" t="s">
        <v>128</v>
      </c>
    </row>
    <row r="191" spans="1:7">
      <c r="A191" t="s">
        <v>521</v>
      </c>
      <c r="B191">
        <v>4</v>
      </c>
      <c r="C191" t="s">
        <v>93</v>
      </c>
      <c r="D191" t="s">
        <v>726</v>
      </c>
      <c r="E191" t="s">
        <v>93</v>
      </c>
      <c r="F191" t="s">
        <v>128</v>
      </c>
      <c r="G191" t="s">
        <v>128</v>
      </c>
    </row>
    <row r="192" spans="1:7">
      <c r="A192" t="s">
        <v>521</v>
      </c>
      <c r="B192">
        <v>5</v>
      </c>
      <c r="C192" t="s">
        <v>109</v>
      </c>
      <c r="D192" t="s">
        <v>726</v>
      </c>
      <c r="E192" t="s">
        <v>109</v>
      </c>
      <c r="F192" t="s">
        <v>128</v>
      </c>
      <c r="G192" t="s">
        <v>128</v>
      </c>
    </row>
    <row r="193" spans="1:7">
      <c r="A193" t="s">
        <v>521</v>
      </c>
      <c r="B193">
        <v>6</v>
      </c>
      <c r="C193" t="s">
        <v>61</v>
      </c>
      <c r="D193" t="s">
        <v>726</v>
      </c>
      <c r="E193" t="s">
        <v>61</v>
      </c>
      <c r="F193" t="s">
        <v>128</v>
      </c>
      <c r="G193" t="s">
        <v>128</v>
      </c>
    </row>
    <row r="194" spans="1:7">
      <c r="A194" t="s">
        <v>521</v>
      </c>
      <c r="B194">
        <v>7</v>
      </c>
      <c r="C194" t="s">
        <v>84</v>
      </c>
      <c r="D194" t="s">
        <v>726</v>
      </c>
      <c r="E194" t="s">
        <v>84</v>
      </c>
      <c r="F194" t="s">
        <v>128</v>
      </c>
      <c r="G194" t="s">
        <v>128</v>
      </c>
    </row>
    <row r="195" spans="1:7">
      <c r="A195" t="s">
        <v>521</v>
      </c>
      <c r="B195">
        <v>8</v>
      </c>
      <c r="C195" t="s">
        <v>98</v>
      </c>
      <c r="D195" t="s">
        <v>726</v>
      </c>
      <c r="E195" t="s">
        <v>98</v>
      </c>
      <c r="F195" t="s">
        <v>128</v>
      </c>
      <c r="G195" t="s">
        <v>128</v>
      </c>
    </row>
    <row r="196" spans="1:7">
      <c r="A196" t="s">
        <v>522</v>
      </c>
      <c r="B196">
        <v>1</v>
      </c>
      <c r="C196" t="s">
        <v>65</v>
      </c>
      <c r="D196" t="s">
        <v>726</v>
      </c>
      <c r="E196" t="s">
        <v>65</v>
      </c>
      <c r="F196" t="s">
        <v>128</v>
      </c>
      <c r="G196" t="s">
        <v>128</v>
      </c>
    </row>
    <row r="197" spans="1:7">
      <c r="A197" t="s">
        <v>522</v>
      </c>
      <c r="B197">
        <v>2</v>
      </c>
      <c r="C197" t="s">
        <v>95</v>
      </c>
      <c r="D197" t="s">
        <v>726</v>
      </c>
      <c r="E197" t="s">
        <v>95</v>
      </c>
      <c r="F197" t="s">
        <v>128</v>
      </c>
      <c r="G197" t="s">
        <v>128</v>
      </c>
    </row>
    <row r="198" spans="1:7">
      <c r="A198" t="s">
        <v>522</v>
      </c>
      <c r="B198">
        <v>3</v>
      </c>
      <c r="C198" t="s">
        <v>99</v>
      </c>
      <c r="D198" t="s">
        <v>726</v>
      </c>
      <c r="E198" t="s">
        <v>99</v>
      </c>
      <c r="F198" t="s">
        <v>128</v>
      </c>
      <c r="G198" t="s">
        <v>128</v>
      </c>
    </row>
    <row r="199" spans="1:7">
      <c r="A199" t="s">
        <v>522</v>
      </c>
      <c r="B199">
        <v>4</v>
      </c>
      <c r="C199" t="s">
        <v>103</v>
      </c>
      <c r="D199" t="s">
        <v>726</v>
      </c>
      <c r="E199" t="s">
        <v>103</v>
      </c>
      <c r="F199" t="s">
        <v>128</v>
      </c>
      <c r="G199" t="s">
        <v>128</v>
      </c>
    </row>
    <row r="200" spans="1:7">
      <c r="A200" t="s">
        <v>522</v>
      </c>
      <c r="B200">
        <v>5</v>
      </c>
      <c r="C200" t="s">
        <v>109</v>
      </c>
      <c r="D200" t="s">
        <v>726</v>
      </c>
      <c r="E200" t="s">
        <v>109</v>
      </c>
      <c r="F200" t="s">
        <v>128</v>
      </c>
      <c r="G200" t="s">
        <v>128</v>
      </c>
    </row>
    <row r="201" spans="1:7">
      <c r="A201" t="s">
        <v>522</v>
      </c>
      <c r="B201">
        <v>6</v>
      </c>
      <c r="C201" t="s">
        <v>112</v>
      </c>
      <c r="D201" t="s">
        <v>726</v>
      </c>
      <c r="E201" t="s">
        <v>112</v>
      </c>
      <c r="F201" t="s">
        <v>128</v>
      </c>
      <c r="G201" t="s">
        <v>128</v>
      </c>
    </row>
    <row r="202" spans="1:7">
      <c r="A202" t="s">
        <v>522</v>
      </c>
      <c r="B202">
        <v>7</v>
      </c>
      <c r="C202" t="s">
        <v>74</v>
      </c>
      <c r="D202" t="s">
        <v>726</v>
      </c>
      <c r="E202" t="s">
        <v>74</v>
      </c>
      <c r="F202" t="s">
        <v>128</v>
      </c>
      <c r="G202" t="s">
        <v>128</v>
      </c>
    </row>
    <row r="203" spans="1:7">
      <c r="A203" t="s">
        <v>522</v>
      </c>
      <c r="B203">
        <v>8</v>
      </c>
      <c r="C203" t="s">
        <v>98</v>
      </c>
      <c r="D203" t="s">
        <v>726</v>
      </c>
      <c r="E203" t="s">
        <v>98</v>
      </c>
      <c r="F203" t="s">
        <v>128</v>
      </c>
      <c r="G203" t="s">
        <v>128</v>
      </c>
    </row>
    <row r="204" spans="1:7">
      <c r="A204" t="s">
        <v>523</v>
      </c>
      <c r="B204">
        <v>1</v>
      </c>
      <c r="C204" t="s">
        <v>65</v>
      </c>
      <c r="D204" t="s">
        <v>726</v>
      </c>
      <c r="E204" t="s">
        <v>65</v>
      </c>
      <c r="F204" t="s">
        <v>128</v>
      </c>
      <c r="G204" t="s">
        <v>128</v>
      </c>
    </row>
    <row r="205" spans="1:7">
      <c r="A205" t="s">
        <v>523</v>
      </c>
      <c r="B205">
        <v>2</v>
      </c>
      <c r="C205" t="s">
        <v>93</v>
      </c>
      <c r="D205" t="s">
        <v>726</v>
      </c>
      <c r="E205" t="s">
        <v>93</v>
      </c>
      <c r="F205" t="s">
        <v>128</v>
      </c>
      <c r="G205" t="s">
        <v>128</v>
      </c>
    </row>
    <row r="206" spans="1:7">
      <c r="A206" t="s">
        <v>523</v>
      </c>
      <c r="B206">
        <v>3</v>
      </c>
      <c r="C206" t="s">
        <v>97</v>
      </c>
      <c r="D206" t="s">
        <v>726</v>
      </c>
      <c r="E206" t="s">
        <v>97</v>
      </c>
      <c r="F206" t="s">
        <v>128</v>
      </c>
      <c r="G206" t="s">
        <v>128</v>
      </c>
    </row>
    <row r="207" spans="1:7">
      <c r="A207" t="s">
        <v>523</v>
      </c>
      <c r="B207">
        <v>4</v>
      </c>
      <c r="C207" t="s">
        <v>99</v>
      </c>
      <c r="D207" t="s">
        <v>726</v>
      </c>
      <c r="E207" t="s">
        <v>99</v>
      </c>
      <c r="F207" t="s">
        <v>128</v>
      </c>
      <c r="G207" t="s">
        <v>128</v>
      </c>
    </row>
    <row r="208" spans="1:7">
      <c r="A208" t="s">
        <v>523</v>
      </c>
      <c r="B208">
        <v>5</v>
      </c>
      <c r="C208" t="s">
        <v>78</v>
      </c>
      <c r="D208" t="s">
        <v>726</v>
      </c>
      <c r="E208" t="s">
        <v>78</v>
      </c>
      <c r="F208" t="s">
        <v>128</v>
      </c>
      <c r="G208" t="s">
        <v>128</v>
      </c>
    </row>
    <row r="209" spans="1:7">
      <c r="A209" t="s">
        <v>523</v>
      </c>
      <c r="B209">
        <v>6</v>
      </c>
      <c r="C209" t="s">
        <v>102</v>
      </c>
      <c r="D209" t="s">
        <v>726</v>
      </c>
      <c r="E209" t="s">
        <v>102</v>
      </c>
      <c r="F209" t="s">
        <v>128</v>
      </c>
      <c r="G209" t="s">
        <v>128</v>
      </c>
    </row>
    <row r="210" spans="1:7">
      <c r="A210" t="s">
        <v>523</v>
      </c>
      <c r="B210">
        <v>7</v>
      </c>
      <c r="C210" t="s">
        <v>2372</v>
      </c>
      <c r="D210" t="s">
        <v>1671</v>
      </c>
      <c r="E210" t="s">
        <v>128</v>
      </c>
      <c r="F210" t="s">
        <v>2373</v>
      </c>
      <c r="G210" t="s">
        <v>128</v>
      </c>
    </row>
    <row r="211" spans="1:7">
      <c r="A211" t="s">
        <v>523</v>
      </c>
      <c r="B211">
        <v>8</v>
      </c>
      <c r="C211" t="s">
        <v>2374</v>
      </c>
      <c r="D211" t="s">
        <v>1671</v>
      </c>
      <c r="E211" t="s">
        <v>128</v>
      </c>
      <c r="F211" t="s">
        <v>2373</v>
      </c>
      <c r="G211" t="s">
        <v>128</v>
      </c>
    </row>
    <row r="212" spans="1:7">
      <c r="A212" t="s">
        <v>524</v>
      </c>
      <c r="B212">
        <v>1</v>
      </c>
      <c r="C212" t="s">
        <v>93</v>
      </c>
      <c r="D212" t="s">
        <v>726</v>
      </c>
      <c r="E212" t="s">
        <v>93</v>
      </c>
      <c r="F212" t="s">
        <v>128</v>
      </c>
      <c r="G212" t="s">
        <v>128</v>
      </c>
    </row>
    <row r="213" spans="1:7">
      <c r="A213" t="s">
        <v>524</v>
      </c>
      <c r="B213">
        <v>2</v>
      </c>
      <c r="C213" t="s">
        <v>338</v>
      </c>
      <c r="D213" t="s">
        <v>2367</v>
      </c>
      <c r="E213" t="s">
        <v>128</v>
      </c>
      <c r="F213" t="s">
        <v>2371</v>
      </c>
      <c r="G213" t="s">
        <v>299</v>
      </c>
    </row>
    <row r="214" spans="1:7">
      <c r="A214" t="s">
        <v>524</v>
      </c>
      <c r="B214">
        <v>3</v>
      </c>
      <c r="C214" t="s">
        <v>338</v>
      </c>
      <c r="D214" t="s">
        <v>2367</v>
      </c>
      <c r="E214" t="s">
        <v>128</v>
      </c>
      <c r="F214" t="s">
        <v>2371</v>
      </c>
      <c r="G214" t="s">
        <v>299</v>
      </c>
    </row>
    <row r="215" spans="1:7">
      <c r="A215" t="s">
        <v>524</v>
      </c>
      <c r="B215">
        <v>4</v>
      </c>
      <c r="C215" t="s">
        <v>115</v>
      </c>
      <c r="D215" t="s">
        <v>726</v>
      </c>
      <c r="E215" t="s">
        <v>115</v>
      </c>
      <c r="F215" t="s">
        <v>128</v>
      </c>
      <c r="G215" t="s">
        <v>128</v>
      </c>
    </row>
    <row r="216" spans="1:7">
      <c r="A216" t="s">
        <v>524</v>
      </c>
      <c r="B216">
        <v>5</v>
      </c>
      <c r="C216" t="s">
        <v>61</v>
      </c>
      <c r="D216" t="s">
        <v>726</v>
      </c>
      <c r="E216" t="s">
        <v>61</v>
      </c>
      <c r="F216" t="s">
        <v>128</v>
      </c>
      <c r="G216" t="s">
        <v>128</v>
      </c>
    </row>
    <row r="217" spans="1:7">
      <c r="A217" t="s">
        <v>524</v>
      </c>
      <c r="B217">
        <v>6</v>
      </c>
      <c r="C217" t="s">
        <v>78</v>
      </c>
      <c r="D217" t="s">
        <v>726</v>
      </c>
      <c r="E217" t="s">
        <v>78</v>
      </c>
      <c r="F217" t="s">
        <v>128</v>
      </c>
      <c r="G217" t="s">
        <v>128</v>
      </c>
    </row>
    <row r="218" spans="1:7">
      <c r="A218" t="s">
        <v>524</v>
      </c>
      <c r="B218">
        <v>7</v>
      </c>
      <c r="C218" t="s">
        <v>84</v>
      </c>
      <c r="D218" t="s">
        <v>726</v>
      </c>
      <c r="E218" t="s">
        <v>84</v>
      </c>
      <c r="F218" t="s">
        <v>128</v>
      </c>
      <c r="G218" t="s">
        <v>128</v>
      </c>
    </row>
    <row r="219" spans="1:7">
      <c r="A219" t="s">
        <v>524</v>
      </c>
      <c r="B219">
        <v>8</v>
      </c>
      <c r="C219" t="s">
        <v>98</v>
      </c>
      <c r="D219" t="s">
        <v>726</v>
      </c>
      <c r="E219" t="s">
        <v>98</v>
      </c>
      <c r="F219" t="s">
        <v>128</v>
      </c>
      <c r="G219" t="s">
        <v>128</v>
      </c>
    </row>
    <row r="220" spans="1:7">
      <c r="A220" t="s">
        <v>525</v>
      </c>
      <c r="B220">
        <v>1</v>
      </c>
      <c r="C220" t="s">
        <v>526</v>
      </c>
      <c r="D220" t="s">
        <v>1671</v>
      </c>
      <c r="E220" t="s">
        <v>128</v>
      </c>
      <c r="F220" t="s">
        <v>2375</v>
      </c>
      <c r="G220" t="s">
        <v>128</v>
      </c>
    </row>
    <row r="221" spans="1:7">
      <c r="A221" t="s">
        <v>525</v>
      </c>
      <c r="B221">
        <v>2</v>
      </c>
      <c r="C221" t="s">
        <v>507</v>
      </c>
      <c r="D221" t="s">
        <v>2367</v>
      </c>
      <c r="E221" t="s">
        <v>128</v>
      </c>
      <c r="F221" t="s">
        <v>2369</v>
      </c>
      <c r="G221" t="s">
        <v>545</v>
      </c>
    </row>
    <row r="222" spans="1:7">
      <c r="A222" t="s">
        <v>525</v>
      </c>
      <c r="B222">
        <v>3</v>
      </c>
      <c r="C222" t="s">
        <v>338</v>
      </c>
      <c r="D222" t="s">
        <v>2367</v>
      </c>
      <c r="E222" t="s">
        <v>128</v>
      </c>
      <c r="F222" t="s">
        <v>2371</v>
      </c>
      <c r="G222" t="s">
        <v>299</v>
      </c>
    </row>
    <row r="223" spans="1:7">
      <c r="A223" t="s">
        <v>525</v>
      </c>
      <c r="B223">
        <v>4</v>
      </c>
      <c r="C223" t="s">
        <v>114</v>
      </c>
      <c r="D223" t="s">
        <v>726</v>
      </c>
      <c r="E223" t="s">
        <v>114</v>
      </c>
      <c r="F223" t="s">
        <v>128</v>
      </c>
      <c r="G223" t="s">
        <v>128</v>
      </c>
    </row>
    <row r="224" spans="1:7">
      <c r="A224" t="s">
        <v>525</v>
      </c>
      <c r="B224">
        <v>5</v>
      </c>
      <c r="C224" t="s">
        <v>78</v>
      </c>
      <c r="D224" t="s">
        <v>726</v>
      </c>
      <c r="E224" t="s">
        <v>78</v>
      </c>
      <c r="F224" t="s">
        <v>128</v>
      </c>
      <c r="G224" t="s">
        <v>128</v>
      </c>
    </row>
    <row r="225" spans="1:7">
      <c r="A225" t="s">
        <v>525</v>
      </c>
      <c r="B225">
        <v>6</v>
      </c>
      <c r="C225" t="s">
        <v>2370</v>
      </c>
      <c r="D225" t="s">
        <v>762</v>
      </c>
      <c r="E225" t="s">
        <v>128</v>
      </c>
      <c r="F225" t="s">
        <v>128</v>
      </c>
      <c r="G225" t="s">
        <v>128</v>
      </c>
    </row>
    <row r="226" spans="1:7">
      <c r="A226" t="s">
        <v>525</v>
      </c>
      <c r="B226">
        <v>7</v>
      </c>
      <c r="C226" t="s">
        <v>2370</v>
      </c>
      <c r="D226" t="s">
        <v>762</v>
      </c>
      <c r="E226" t="s">
        <v>128</v>
      </c>
      <c r="F226" t="s">
        <v>128</v>
      </c>
      <c r="G226" t="s">
        <v>128</v>
      </c>
    </row>
    <row r="227" spans="1:7">
      <c r="A227" t="s">
        <v>525</v>
      </c>
      <c r="B227">
        <v>8</v>
      </c>
      <c r="C227" t="s">
        <v>2370</v>
      </c>
      <c r="D227" t="s">
        <v>762</v>
      </c>
      <c r="E227" t="s">
        <v>128</v>
      </c>
      <c r="F227" t="s">
        <v>128</v>
      </c>
      <c r="G227" t="s">
        <v>128</v>
      </c>
    </row>
    <row r="228" spans="1:7">
      <c r="A228" t="s">
        <v>528</v>
      </c>
      <c r="B228">
        <v>1</v>
      </c>
      <c r="C228" t="s">
        <v>83</v>
      </c>
      <c r="D228" t="s">
        <v>726</v>
      </c>
      <c r="E228" t="s">
        <v>83</v>
      </c>
      <c r="F228" t="s">
        <v>128</v>
      </c>
      <c r="G228" t="s">
        <v>128</v>
      </c>
    </row>
    <row r="229" spans="1:7">
      <c r="A229" t="s">
        <v>528</v>
      </c>
      <c r="B229">
        <v>2</v>
      </c>
      <c r="C229" t="s">
        <v>101</v>
      </c>
      <c r="D229" t="s">
        <v>726</v>
      </c>
      <c r="E229" t="s">
        <v>101</v>
      </c>
      <c r="F229" t="s">
        <v>128</v>
      </c>
      <c r="G229" t="s">
        <v>128</v>
      </c>
    </row>
    <row r="230" spans="1:7">
      <c r="A230" t="s">
        <v>528</v>
      </c>
      <c r="B230">
        <v>3</v>
      </c>
      <c r="C230" t="s">
        <v>114</v>
      </c>
      <c r="D230" t="s">
        <v>726</v>
      </c>
      <c r="E230" t="s">
        <v>114</v>
      </c>
      <c r="F230" t="s">
        <v>128</v>
      </c>
      <c r="G230" t="s">
        <v>128</v>
      </c>
    </row>
    <row r="231" spans="1:7">
      <c r="A231" t="s">
        <v>528</v>
      </c>
      <c r="B231">
        <v>4</v>
      </c>
      <c r="C231" t="s">
        <v>529</v>
      </c>
      <c r="D231" t="s">
        <v>2367</v>
      </c>
      <c r="E231" t="s">
        <v>128</v>
      </c>
      <c r="F231" t="s">
        <v>2376</v>
      </c>
      <c r="G231" t="s">
        <v>333</v>
      </c>
    </row>
    <row r="232" spans="1:7">
      <c r="A232" t="s">
        <v>528</v>
      </c>
      <c r="B232">
        <v>5</v>
      </c>
      <c r="C232" t="s">
        <v>74</v>
      </c>
      <c r="D232" t="s">
        <v>726</v>
      </c>
      <c r="E232" t="s">
        <v>74</v>
      </c>
      <c r="F232" t="s">
        <v>128</v>
      </c>
      <c r="G232" t="s">
        <v>128</v>
      </c>
    </row>
    <row r="233" spans="1:7">
      <c r="A233" t="s">
        <v>528</v>
      </c>
      <c r="B233">
        <v>6</v>
      </c>
      <c r="C233" t="s">
        <v>78</v>
      </c>
      <c r="D233" t="s">
        <v>726</v>
      </c>
      <c r="E233" t="s">
        <v>78</v>
      </c>
      <c r="F233" t="s">
        <v>128</v>
      </c>
      <c r="G233" t="s">
        <v>128</v>
      </c>
    </row>
    <row r="234" spans="1:7">
      <c r="A234" t="s">
        <v>528</v>
      </c>
      <c r="B234">
        <v>7</v>
      </c>
      <c r="C234" t="s">
        <v>108</v>
      </c>
      <c r="D234" t="s">
        <v>726</v>
      </c>
      <c r="E234" t="s">
        <v>108</v>
      </c>
      <c r="F234" t="s">
        <v>128</v>
      </c>
      <c r="G234" t="s">
        <v>128</v>
      </c>
    </row>
    <row r="235" spans="1:7">
      <c r="A235" t="s">
        <v>528</v>
      </c>
      <c r="B235">
        <v>8</v>
      </c>
      <c r="C235" t="s">
        <v>2372</v>
      </c>
      <c r="D235" t="s">
        <v>1671</v>
      </c>
      <c r="E235" t="s">
        <v>128</v>
      </c>
      <c r="F235" t="s">
        <v>2377</v>
      </c>
      <c r="G235" t="s">
        <v>128</v>
      </c>
    </row>
    <row r="236" spans="1:7">
      <c r="A236" t="s">
        <v>531</v>
      </c>
      <c r="B236">
        <v>1</v>
      </c>
      <c r="C236" t="s">
        <v>60</v>
      </c>
      <c r="D236" t="s">
        <v>726</v>
      </c>
      <c r="E236" t="s">
        <v>60</v>
      </c>
      <c r="F236" t="s">
        <v>128</v>
      </c>
      <c r="G236" t="s">
        <v>128</v>
      </c>
    </row>
    <row r="237" spans="1:7">
      <c r="A237" t="s">
        <v>531</v>
      </c>
      <c r="B237">
        <v>2</v>
      </c>
      <c r="C237" t="s">
        <v>83</v>
      </c>
      <c r="D237" t="s">
        <v>726</v>
      </c>
      <c r="E237" t="s">
        <v>83</v>
      </c>
      <c r="F237" t="s">
        <v>128</v>
      </c>
      <c r="G237" t="s">
        <v>128</v>
      </c>
    </row>
    <row r="238" spans="1:7">
      <c r="A238" t="s">
        <v>531</v>
      </c>
      <c r="B238">
        <v>3</v>
      </c>
      <c r="C238" t="s">
        <v>115</v>
      </c>
      <c r="D238" t="s">
        <v>726</v>
      </c>
      <c r="E238" t="s">
        <v>115</v>
      </c>
      <c r="F238" t="s">
        <v>128</v>
      </c>
      <c r="G238" t="s">
        <v>128</v>
      </c>
    </row>
    <row r="239" spans="1:7">
      <c r="A239" t="s">
        <v>531</v>
      </c>
      <c r="B239">
        <v>4</v>
      </c>
      <c r="C239" t="s">
        <v>61</v>
      </c>
      <c r="D239" t="s">
        <v>726</v>
      </c>
      <c r="E239" t="s">
        <v>61</v>
      </c>
      <c r="F239" t="s">
        <v>128</v>
      </c>
      <c r="G239" t="s">
        <v>128</v>
      </c>
    </row>
    <row r="240" spans="1:7">
      <c r="A240" t="s">
        <v>531</v>
      </c>
      <c r="B240">
        <v>5</v>
      </c>
      <c r="C240" t="s">
        <v>78</v>
      </c>
      <c r="D240" t="s">
        <v>726</v>
      </c>
      <c r="E240" t="s">
        <v>78</v>
      </c>
      <c r="F240" t="s">
        <v>128</v>
      </c>
      <c r="G240" t="s">
        <v>128</v>
      </c>
    </row>
    <row r="241" spans="1:7">
      <c r="A241" t="s">
        <v>531</v>
      </c>
      <c r="B241">
        <v>6</v>
      </c>
      <c r="C241" t="s">
        <v>2370</v>
      </c>
      <c r="D241" t="s">
        <v>762</v>
      </c>
      <c r="E241" t="s">
        <v>128</v>
      </c>
      <c r="F241" t="s">
        <v>128</v>
      </c>
      <c r="G241" t="s">
        <v>128</v>
      </c>
    </row>
    <row r="242" spans="1:7">
      <c r="A242" t="s">
        <v>531</v>
      </c>
      <c r="B242">
        <v>7</v>
      </c>
      <c r="C242" t="s">
        <v>2370</v>
      </c>
      <c r="D242" t="s">
        <v>762</v>
      </c>
      <c r="E242" t="s">
        <v>128</v>
      </c>
      <c r="F242" t="s">
        <v>128</v>
      </c>
      <c r="G242" t="s">
        <v>128</v>
      </c>
    </row>
    <row r="243" spans="1:7">
      <c r="A243" t="s">
        <v>531</v>
      </c>
      <c r="B243">
        <v>8</v>
      </c>
      <c r="C243" t="s">
        <v>2370</v>
      </c>
      <c r="D243" t="s">
        <v>762</v>
      </c>
      <c r="E243" t="s">
        <v>128</v>
      </c>
      <c r="F243" t="s">
        <v>128</v>
      </c>
      <c r="G243" t="s">
        <v>128</v>
      </c>
    </row>
    <row r="244" spans="1:7">
      <c r="A244" t="s">
        <v>532</v>
      </c>
      <c r="B244">
        <v>1</v>
      </c>
      <c r="C244" t="s">
        <v>65</v>
      </c>
      <c r="D244" t="s">
        <v>726</v>
      </c>
      <c r="E244" t="s">
        <v>65</v>
      </c>
      <c r="F244" t="s">
        <v>128</v>
      </c>
      <c r="G244" t="s">
        <v>128</v>
      </c>
    </row>
    <row r="245" spans="1:7">
      <c r="A245" t="s">
        <v>532</v>
      </c>
      <c r="B245">
        <v>2</v>
      </c>
      <c r="C245" t="s">
        <v>103</v>
      </c>
      <c r="D245" t="s">
        <v>726</v>
      </c>
      <c r="E245" t="s">
        <v>103</v>
      </c>
      <c r="F245" t="s">
        <v>128</v>
      </c>
      <c r="G245" t="s">
        <v>128</v>
      </c>
    </row>
    <row r="246" spans="1:7">
      <c r="A246" t="s">
        <v>532</v>
      </c>
      <c r="B246">
        <v>3</v>
      </c>
      <c r="C246" t="s">
        <v>66</v>
      </c>
      <c r="D246" t="s">
        <v>726</v>
      </c>
      <c r="E246" t="s">
        <v>66</v>
      </c>
      <c r="F246" t="s">
        <v>128</v>
      </c>
      <c r="G246" t="s">
        <v>128</v>
      </c>
    </row>
    <row r="247" spans="1:7">
      <c r="A247" t="s">
        <v>532</v>
      </c>
      <c r="B247">
        <v>4</v>
      </c>
      <c r="C247" t="s">
        <v>78</v>
      </c>
      <c r="D247" t="s">
        <v>726</v>
      </c>
      <c r="E247" t="s">
        <v>78</v>
      </c>
      <c r="F247" t="s">
        <v>128</v>
      </c>
      <c r="G247" t="s">
        <v>128</v>
      </c>
    </row>
    <row r="248" spans="1:7">
      <c r="A248" t="s">
        <v>532</v>
      </c>
      <c r="B248">
        <v>5</v>
      </c>
      <c r="C248" t="s">
        <v>84</v>
      </c>
      <c r="D248" t="s">
        <v>726</v>
      </c>
      <c r="E248" t="s">
        <v>84</v>
      </c>
      <c r="F248" t="s">
        <v>128</v>
      </c>
      <c r="G248" t="s">
        <v>128</v>
      </c>
    </row>
    <row r="249" spans="1:7">
      <c r="A249" t="s">
        <v>532</v>
      </c>
      <c r="B249">
        <v>6</v>
      </c>
      <c r="C249" t="s">
        <v>91</v>
      </c>
      <c r="D249" t="s">
        <v>726</v>
      </c>
      <c r="E249" t="s">
        <v>91</v>
      </c>
      <c r="F249" t="s">
        <v>128</v>
      </c>
      <c r="G249" t="s">
        <v>128</v>
      </c>
    </row>
    <row r="250" spans="1:7">
      <c r="A250" t="s">
        <v>532</v>
      </c>
      <c r="B250">
        <v>7</v>
      </c>
      <c r="C250" t="s">
        <v>334</v>
      </c>
      <c r="D250" t="s">
        <v>726</v>
      </c>
      <c r="E250" t="s">
        <v>334</v>
      </c>
      <c r="F250" t="s">
        <v>128</v>
      </c>
      <c r="G250" t="s">
        <v>547</v>
      </c>
    </row>
    <row r="251" spans="1:7">
      <c r="A251" t="s">
        <v>532</v>
      </c>
      <c r="B251">
        <v>8</v>
      </c>
      <c r="C251" t="s">
        <v>98</v>
      </c>
      <c r="D251" t="s">
        <v>726</v>
      </c>
      <c r="E251" t="s">
        <v>98</v>
      </c>
      <c r="F251" t="s">
        <v>128</v>
      </c>
      <c r="G251" t="s">
        <v>128</v>
      </c>
    </row>
    <row r="252" spans="1:7">
      <c r="A252" t="s">
        <v>533</v>
      </c>
      <c r="B252">
        <v>1</v>
      </c>
      <c r="C252" t="s">
        <v>67</v>
      </c>
      <c r="D252" t="s">
        <v>726</v>
      </c>
      <c r="E252" t="s">
        <v>67</v>
      </c>
      <c r="F252" t="s">
        <v>128</v>
      </c>
      <c r="G252" t="s">
        <v>128</v>
      </c>
    </row>
    <row r="253" spans="1:7">
      <c r="A253" t="s">
        <v>533</v>
      </c>
      <c r="B253">
        <v>2</v>
      </c>
      <c r="C253" t="s">
        <v>70</v>
      </c>
      <c r="D253" t="s">
        <v>726</v>
      </c>
      <c r="E253" t="s">
        <v>70</v>
      </c>
      <c r="F253" t="s">
        <v>128</v>
      </c>
      <c r="G253" t="s">
        <v>128</v>
      </c>
    </row>
    <row r="254" spans="1:7">
      <c r="A254" t="s">
        <v>533</v>
      </c>
      <c r="B254">
        <v>3</v>
      </c>
      <c r="C254" t="s">
        <v>87</v>
      </c>
      <c r="D254" t="s">
        <v>726</v>
      </c>
      <c r="E254" t="s">
        <v>87</v>
      </c>
      <c r="F254" t="s">
        <v>128</v>
      </c>
      <c r="G254" t="s">
        <v>128</v>
      </c>
    </row>
    <row r="255" spans="1:7">
      <c r="A255" t="s">
        <v>533</v>
      </c>
      <c r="B255">
        <v>4</v>
      </c>
      <c r="C255" t="s">
        <v>93</v>
      </c>
      <c r="D255" t="s">
        <v>726</v>
      </c>
      <c r="E255" t="s">
        <v>93</v>
      </c>
      <c r="F255" t="s">
        <v>128</v>
      </c>
      <c r="G255" t="s">
        <v>128</v>
      </c>
    </row>
    <row r="256" spans="1:7">
      <c r="A256" t="s">
        <v>533</v>
      </c>
      <c r="B256">
        <v>5</v>
      </c>
      <c r="C256" t="s">
        <v>114</v>
      </c>
      <c r="D256" t="s">
        <v>726</v>
      </c>
      <c r="E256" t="s">
        <v>114</v>
      </c>
      <c r="F256" t="s">
        <v>128</v>
      </c>
      <c r="G256" t="s">
        <v>128</v>
      </c>
    </row>
    <row r="257" spans="1:7">
      <c r="A257" t="s">
        <v>533</v>
      </c>
      <c r="B257">
        <v>6</v>
      </c>
      <c r="C257" t="s">
        <v>76</v>
      </c>
      <c r="D257" t="s">
        <v>726</v>
      </c>
      <c r="E257" t="s">
        <v>76</v>
      </c>
      <c r="F257" t="s">
        <v>128</v>
      </c>
      <c r="G257" t="s">
        <v>128</v>
      </c>
    </row>
    <row r="258" spans="1:7">
      <c r="A258" t="s">
        <v>533</v>
      </c>
      <c r="B258">
        <v>7</v>
      </c>
      <c r="C258" t="s">
        <v>78</v>
      </c>
      <c r="D258" t="s">
        <v>726</v>
      </c>
      <c r="E258" t="s">
        <v>78</v>
      </c>
      <c r="F258" t="s">
        <v>128</v>
      </c>
      <c r="G258" t="s">
        <v>128</v>
      </c>
    </row>
    <row r="259" spans="1:7">
      <c r="A259" t="s">
        <v>533</v>
      </c>
      <c r="B259">
        <v>8</v>
      </c>
      <c r="C259" t="s">
        <v>98</v>
      </c>
      <c r="D259" t="s">
        <v>726</v>
      </c>
      <c r="E259" t="s">
        <v>98</v>
      </c>
      <c r="F259" t="s">
        <v>128</v>
      </c>
      <c r="G259" t="s">
        <v>128</v>
      </c>
    </row>
    <row r="260" spans="1:7">
      <c r="A260" t="s">
        <v>534</v>
      </c>
      <c r="B260">
        <v>1</v>
      </c>
      <c r="C260" t="s">
        <v>65</v>
      </c>
      <c r="D260" t="s">
        <v>726</v>
      </c>
      <c r="E260" t="s">
        <v>65</v>
      </c>
      <c r="F260" t="s">
        <v>128</v>
      </c>
      <c r="G260" t="s">
        <v>128</v>
      </c>
    </row>
    <row r="261" spans="1:7">
      <c r="A261" t="s">
        <v>534</v>
      </c>
      <c r="B261">
        <v>2</v>
      </c>
      <c r="C261" t="s">
        <v>77</v>
      </c>
      <c r="D261" t="s">
        <v>726</v>
      </c>
      <c r="E261" t="s">
        <v>77</v>
      </c>
      <c r="F261" t="s">
        <v>128</v>
      </c>
      <c r="G261" t="s">
        <v>128</v>
      </c>
    </row>
    <row r="262" spans="1:7">
      <c r="A262" t="s">
        <v>534</v>
      </c>
      <c r="B262">
        <v>3</v>
      </c>
      <c r="C262" t="s">
        <v>101</v>
      </c>
      <c r="D262" t="s">
        <v>726</v>
      </c>
      <c r="E262" t="s">
        <v>101</v>
      </c>
      <c r="F262" t="s">
        <v>128</v>
      </c>
      <c r="G262" t="s">
        <v>128</v>
      </c>
    </row>
    <row r="263" spans="1:7">
      <c r="A263" t="s">
        <v>534</v>
      </c>
      <c r="B263">
        <v>4</v>
      </c>
      <c r="C263" t="s">
        <v>74</v>
      </c>
      <c r="D263" t="s">
        <v>726</v>
      </c>
      <c r="E263" t="s">
        <v>74</v>
      </c>
      <c r="F263" t="s">
        <v>128</v>
      </c>
      <c r="G263" t="s">
        <v>128</v>
      </c>
    </row>
    <row r="264" spans="1:7">
      <c r="A264" t="s">
        <v>534</v>
      </c>
      <c r="B264">
        <v>5</v>
      </c>
      <c r="C264" t="s">
        <v>92</v>
      </c>
      <c r="D264" t="s">
        <v>726</v>
      </c>
      <c r="E264" t="s">
        <v>92</v>
      </c>
      <c r="F264" t="s">
        <v>128</v>
      </c>
      <c r="G264" t="s">
        <v>128</v>
      </c>
    </row>
    <row r="265" spans="1:7">
      <c r="A265" t="s">
        <v>534</v>
      </c>
      <c r="B265">
        <v>6</v>
      </c>
      <c r="C265" t="s">
        <v>98</v>
      </c>
      <c r="D265" t="s">
        <v>726</v>
      </c>
      <c r="E265" t="s">
        <v>98</v>
      </c>
      <c r="F265" t="s">
        <v>128</v>
      </c>
      <c r="G265" t="s">
        <v>128</v>
      </c>
    </row>
    <row r="266" spans="1:7">
      <c r="A266" t="s">
        <v>534</v>
      </c>
      <c r="B266">
        <v>7</v>
      </c>
      <c r="C266" t="s">
        <v>102</v>
      </c>
      <c r="D266" t="s">
        <v>726</v>
      </c>
      <c r="E266" t="s">
        <v>102</v>
      </c>
      <c r="F266" t="s">
        <v>128</v>
      </c>
      <c r="G266" t="s">
        <v>128</v>
      </c>
    </row>
    <row r="267" spans="1:7">
      <c r="A267" t="s">
        <v>534</v>
      </c>
      <c r="B267">
        <v>8</v>
      </c>
      <c r="C267" t="s">
        <v>106</v>
      </c>
      <c r="D267" t="s">
        <v>726</v>
      </c>
      <c r="E267" t="s">
        <v>106</v>
      </c>
      <c r="F267" t="s">
        <v>128</v>
      </c>
      <c r="G267" t="s">
        <v>128</v>
      </c>
    </row>
    <row r="268" spans="1:7">
      <c r="A268" t="s">
        <v>535</v>
      </c>
      <c r="B268">
        <v>1</v>
      </c>
      <c r="C268" t="s">
        <v>65</v>
      </c>
      <c r="D268" t="s">
        <v>726</v>
      </c>
      <c r="E268" t="s">
        <v>65</v>
      </c>
      <c r="F268" t="s">
        <v>128</v>
      </c>
      <c r="G268" t="s">
        <v>128</v>
      </c>
    </row>
    <row r="269" spans="1:7">
      <c r="A269" t="s">
        <v>535</v>
      </c>
      <c r="B269">
        <v>2</v>
      </c>
      <c r="C269" t="s">
        <v>536</v>
      </c>
      <c r="D269" t="s">
        <v>726</v>
      </c>
      <c r="E269" t="s">
        <v>536</v>
      </c>
      <c r="F269" t="s">
        <v>128</v>
      </c>
      <c r="G269" t="s">
        <v>545</v>
      </c>
    </row>
    <row r="270" spans="1:7">
      <c r="A270" t="s">
        <v>535</v>
      </c>
      <c r="B270">
        <v>3</v>
      </c>
      <c r="C270" t="s">
        <v>87</v>
      </c>
      <c r="D270" t="s">
        <v>726</v>
      </c>
      <c r="E270" t="s">
        <v>87</v>
      </c>
      <c r="F270" t="s">
        <v>128</v>
      </c>
      <c r="G270" t="s">
        <v>128</v>
      </c>
    </row>
    <row r="271" spans="1:7">
      <c r="A271" t="s">
        <v>535</v>
      </c>
      <c r="B271">
        <v>4</v>
      </c>
      <c r="C271" t="s">
        <v>78</v>
      </c>
      <c r="D271" t="s">
        <v>726</v>
      </c>
      <c r="E271" t="s">
        <v>78</v>
      </c>
      <c r="F271" t="s">
        <v>128</v>
      </c>
      <c r="G271" t="s">
        <v>128</v>
      </c>
    </row>
    <row r="272" spans="1:7">
      <c r="A272" t="s">
        <v>535</v>
      </c>
      <c r="B272">
        <v>5</v>
      </c>
      <c r="C272" t="s">
        <v>98</v>
      </c>
      <c r="D272" t="s">
        <v>726</v>
      </c>
      <c r="E272" t="s">
        <v>98</v>
      </c>
      <c r="F272" t="s">
        <v>128</v>
      </c>
      <c r="G272" t="s">
        <v>128</v>
      </c>
    </row>
    <row r="273" spans="1:7">
      <c r="A273" t="s">
        <v>535</v>
      </c>
      <c r="B273">
        <v>6</v>
      </c>
      <c r="C273" t="s">
        <v>102</v>
      </c>
      <c r="D273" t="s">
        <v>726</v>
      </c>
      <c r="E273" t="s">
        <v>102</v>
      </c>
      <c r="F273" t="s">
        <v>128</v>
      </c>
      <c r="G273" t="s">
        <v>128</v>
      </c>
    </row>
    <row r="274" spans="1:7">
      <c r="A274" t="s">
        <v>535</v>
      </c>
      <c r="B274">
        <v>7</v>
      </c>
      <c r="C274" t="s">
        <v>2370</v>
      </c>
      <c r="D274" t="s">
        <v>762</v>
      </c>
      <c r="E274" t="s">
        <v>128</v>
      </c>
      <c r="F274" t="s">
        <v>128</v>
      </c>
      <c r="G274" t="s">
        <v>128</v>
      </c>
    </row>
    <row r="275" spans="1:7">
      <c r="A275" t="s">
        <v>535</v>
      </c>
      <c r="B275">
        <v>8</v>
      </c>
      <c r="C275" t="s">
        <v>2370</v>
      </c>
      <c r="D275" t="s">
        <v>762</v>
      </c>
      <c r="E275" t="s">
        <v>128</v>
      </c>
      <c r="F275" t="s">
        <v>128</v>
      </c>
      <c r="G275" t="s">
        <v>128</v>
      </c>
    </row>
    <row r="276" spans="1:7">
      <c r="A276" t="s">
        <v>538</v>
      </c>
      <c r="B276">
        <v>1</v>
      </c>
      <c r="C276" t="s">
        <v>65</v>
      </c>
      <c r="D276" t="s">
        <v>726</v>
      </c>
      <c r="E276" t="s">
        <v>65</v>
      </c>
      <c r="F276" t="s">
        <v>128</v>
      </c>
      <c r="G276" t="s">
        <v>128</v>
      </c>
    </row>
    <row r="277" spans="1:7">
      <c r="A277" t="s">
        <v>538</v>
      </c>
      <c r="B277">
        <v>2</v>
      </c>
      <c r="C277" t="s">
        <v>488</v>
      </c>
      <c r="D277" t="s">
        <v>726</v>
      </c>
      <c r="E277" t="s">
        <v>488</v>
      </c>
      <c r="F277" t="s">
        <v>128</v>
      </c>
      <c r="G277" t="s">
        <v>546</v>
      </c>
    </row>
    <row r="278" spans="1:7">
      <c r="A278" t="s">
        <v>538</v>
      </c>
      <c r="B278">
        <v>3</v>
      </c>
      <c r="C278" t="s">
        <v>103</v>
      </c>
      <c r="D278" t="s">
        <v>726</v>
      </c>
      <c r="E278" t="s">
        <v>103</v>
      </c>
      <c r="F278" t="s">
        <v>128</v>
      </c>
      <c r="G278" t="s">
        <v>128</v>
      </c>
    </row>
    <row r="279" spans="1:7">
      <c r="A279" t="s">
        <v>538</v>
      </c>
      <c r="B279">
        <v>4</v>
      </c>
      <c r="C279" t="s">
        <v>338</v>
      </c>
      <c r="D279" t="s">
        <v>2367</v>
      </c>
      <c r="E279" t="s">
        <v>128</v>
      </c>
      <c r="F279" t="s">
        <v>2371</v>
      </c>
      <c r="G279" t="s">
        <v>299</v>
      </c>
    </row>
    <row r="280" spans="1:7">
      <c r="A280" t="s">
        <v>538</v>
      </c>
      <c r="B280">
        <v>5</v>
      </c>
      <c r="C280" t="s">
        <v>74</v>
      </c>
      <c r="D280" t="s">
        <v>726</v>
      </c>
      <c r="E280" t="s">
        <v>74</v>
      </c>
      <c r="F280" t="s">
        <v>128</v>
      </c>
      <c r="G280" t="s">
        <v>128</v>
      </c>
    </row>
    <row r="281" spans="1:7">
      <c r="A281" t="s">
        <v>538</v>
      </c>
      <c r="B281">
        <v>6</v>
      </c>
      <c r="C281" t="s">
        <v>530</v>
      </c>
      <c r="D281" t="s">
        <v>2367</v>
      </c>
      <c r="E281" t="s">
        <v>128</v>
      </c>
      <c r="F281" t="s">
        <v>2378</v>
      </c>
      <c r="G281" t="s">
        <v>360</v>
      </c>
    </row>
    <row r="282" spans="1:7">
      <c r="A282" t="s">
        <v>538</v>
      </c>
      <c r="B282">
        <v>7</v>
      </c>
      <c r="C282" t="s">
        <v>106</v>
      </c>
      <c r="D282" t="s">
        <v>726</v>
      </c>
      <c r="E282" t="s">
        <v>106</v>
      </c>
      <c r="F282" t="s">
        <v>128</v>
      </c>
      <c r="G282" t="s">
        <v>128</v>
      </c>
    </row>
    <row r="283" spans="1:7">
      <c r="A283" t="s">
        <v>538</v>
      </c>
      <c r="B283">
        <v>8</v>
      </c>
      <c r="C283" t="s">
        <v>107</v>
      </c>
      <c r="D283" t="s">
        <v>726</v>
      </c>
      <c r="E283" t="s">
        <v>107</v>
      </c>
      <c r="F283" t="s">
        <v>128</v>
      </c>
      <c r="G283" t="s">
        <v>128</v>
      </c>
    </row>
    <row r="284" spans="1:7">
      <c r="A284" t="s">
        <v>539</v>
      </c>
      <c r="B284">
        <v>1</v>
      </c>
      <c r="C284" t="s">
        <v>65</v>
      </c>
      <c r="D284" t="s">
        <v>726</v>
      </c>
      <c r="E284" t="s">
        <v>65</v>
      </c>
      <c r="F284" t="s">
        <v>128</v>
      </c>
      <c r="G284" t="s">
        <v>128</v>
      </c>
    </row>
    <row r="285" spans="1:7">
      <c r="A285" t="s">
        <v>539</v>
      </c>
      <c r="B285">
        <v>2</v>
      </c>
      <c r="C285" t="s">
        <v>93</v>
      </c>
      <c r="D285" t="s">
        <v>726</v>
      </c>
      <c r="E285" t="s">
        <v>93</v>
      </c>
      <c r="F285" t="s">
        <v>128</v>
      </c>
      <c r="G285" t="s">
        <v>128</v>
      </c>
    </row>
    <row r="286" spans="1:7">
      <c r="A286" t="s">
        <v>539</v>
      </c>
      <c r="B286">
        <v>3</v>
      </c>
      <c r="C286" t="s">
        <v>99</v>
      </c>
      <c r="D286" t="s">
        <v>726</v>
      </c>
      <c r="E286" t="s">
        <v>99</v>
      </c>
      <c r="F286" t="s">
        <v>128</v>
      </c>
      <c r="G286" t="s">
        <v>128</v>
      </c>
    </row>
    <row r="287" spans="1:7">
      <c r="A287" t="s">
        <v>539</v>
      </c>
      <c r="B287">
        <v>4</v>
      </c>
      <c r="C287" t="s">
        <v>101</v>
      </c>
      <c r="D287" t="s">
        <v>726</v>
      </c>
      <c r="E287" t="s">
        <v>101</v>
      </c>
      <c r="F287" t="s">
        <v>128</v>
      </c>
      <c r="G287" t="s">
        <v>128</v>
      </c>
    </row>
    <row r="288" spans="1:7">
      <c r="A288" t="s">
        <v>539</v>
      </c>
      <c r="B288">
        <v>5</v>
      </c>
      <c r="C288" t="s">
        <v>115</v>
      </c>
      <c r="D288" t="s">
        <v>726</v>
      </c>
      <c r="E288" t="s">
        <v>115</v>
      </c>
      <c r="F288" t="s">
        <v>128</v>
      </c>
      <c r="G288" t="s">
        <v>128</v>
      </c>
    </row>
    <row r="289" spans="1:7">
      <c r="A289" t="s">
        <v>539</v>
      </c>
      <c r="B289">
        <v>6</v>
      </c>
      <c r="C289" t="s">
        <v>61</v>
      </c>
      <c r="D289" t="s">
        <v>726</v>
      </c>
      <c r="E289" t="s">
        <v>61</v>
      </c>
      <c r="F289" t="s">
        <v>128</v>
      </c>
      <c r="G289" t="s">
        <v>128</v>
      </c>
    </row>
    <row r="290" spans="1:7">
      <c r="A290" t="s">
        <v>539</v>
      </c>
      <c r="B290">
        <v>7</v>
      </c>
      <c r="C290" t="s">
        <v>68</v>
      </c>
      <c r="D290" t="s">
        <v>726</v>
      </c>
      <c r="E290" t="s">
        <v>68</v>
      </c>
      <c r="F290" t="s">
        <v>128</v>
      </c>
      <c r="G290" t="s">
        <v>128</v>
      </c>
    </row>
    <row r="291" spans="1:7">
      <c r="A291" t="s">
        <v>539</v>
      </c>
      <c r="B291">
        <v>8</v>
      </c>
      <c r="C291" t="s">
        <v>108</v>
      </c>
      <c r="D291" t="s">
        <v>726</v>
      </c>
      <c r="E291" t="s">
        <v>108</v>
      </c>
      <c r="F291" t="s">
        <v>128</v>
      </c>
      <c r="G291" t="s">
        <v>128</v>
      </c>
    </row>
    <row r="292" spans="1:7">
      <c r="A292" t="s">
        <v>540</v>
      </c>
      <c r="B292">
        <v>1</v>
      </c>
      <c r="C292" t="s">
        <v>83</v>
      </c>
      <c r="D292" t="s">
        <v>726</v>
      </c>
      <c r="E292" t="s">
        <v>83</v>
      </c>
      <c r="F292" t="s">
        <v>128</v>
      </c>
      <c r="G292" t="s">
        <v>128</v>
      </c>
    </row>
    <row r="293" spans="1:7">
      <c r="A293" t="s">
        <v>540</v>
      </c>
      <c r="B293">
        <v>2</v>
      </c>
      <c r="C293" t="s">
        <v>87</v>
      </c>
      <c r="D293" t="s">
        <v>726</v>
      </c>
      <c r="E293" t="s">
        <v>87</v>
      </c>
      <c r="F293" t="s">
        <v>128</v>
      </c>
      <c r="G293" t="s">
        <v>128</v>
      </c>
    </row>
    <row r="294" spans="1:7">
      <c r="A294" t="s">
        <v>540</v>
      </c>
      <c r="B294">
        <v>3</v>
      </c>
      <c r="C294" t="s">
        <v>506</v>
      </c>
      <c r="D294" t="s">
        <v>2367</v>
      </c>
      <c r="E294" t="s">
        <v>128</v>
      </c>
      <c r="F294" t="s">
        <v>2368</v>
      </c>
      <c r="G294" t="s">
        <v>546</v>
      </c>
    </row>
    <row r="295" spans="1:7">
      <c r="A295" t="s">
        <v>540</v>
      </c>
      <c r="B295">
        <v>4</v>
      </c>
      <c r="C295" t="s">
        <v>338</v>
      </c>
      <c r="D295" t="s">
        <v>2367</v>
      </c>
      <c r="E295" t="s">
        <v>128</v>
      </c>
      <c r="F295" t="s">
        <v>2371</v>
      </c>
      <c r="G295" t="s">
        <v>299</v>
      </c>
    </row>
    <row r="296" spans="1:7">
      <c r="A296" t="s">
        <v>540</v>
      </c>
      <c r="B296">
        <v>5</v>
      </c>
      <c r="C296" t="s">
        <v>302</v>
      </c>
      <c r="D296" t="s">
        <v>2367</v>
      </c>
      <c r="E296" t="s">
        <v>128</v>
      </c>
      <c r="F296" t="s">
        <v>2379</v>
      </c>
      <c r="G296" t="s">
        <v>547</v>
      </c>
    </row>
    <row r="297" spans="1:7">
      <c r="A297" t="s">
        <v>540</v>
      </c>
      <c r="B297">
        <v>6</v>
      </c>
      <c r="C297" t="s">
        <v>302</v>
      </c>
      <c r="D297" t="s">
        <v>2367</v>
      </c>
      <c r="E297" t="s">
        <v>128</v>
      </c>
      <c r="F297" t="s">
        <v>2379</v>
      </c>
      <c r="G297" t="s">
        <v>547</v>
      </c>
    </row>
    <row r="298" spans="1:7">
      <c r="A298" t="s">
        <v>540</v>
      </c>
      <c r="B298">
        <v>7</v>
      </c>
      <c r="C298" t="s">
        <v>302</v>
      </c>
      <c r="D298" t="s">
        <v>2367</v>
      </c>
      <c r="E298" t="s">
        <v>128</v>
      </c>
      <c r="F298" t="s">
        <v>2379</v>
      </c>
      <c r="G298" t="s">
        <v>547</v>
      </c>
    </row>
    <row r="299" spans="1:7">
      <c r="A299" t="s">
        <v>540</v>
      </c>
      <c r="B299">
        <v>8</v>
      </c>
      <c r="C299" t="s">
        <v>2372</v>
      </c>
      <c r="D299" t="s">
        <v>1671</v>
      </c>
      <c r="E299" t="s">
        <v>128</v>
      </c>
      <c r="F299" t="s">
        <v>2380</v>
      </c>
      <c r="G299" t="s">
        <v>128</v>
      </c>
    </row>
    <row r="300" spans="1:7">
      <c r="A300" t="s">
        <v>541</v>
      </c>
      <c r="B300">
        <v>1</v>
      </c>
      <c r="C300" t="s">
        <v>83</v>
      </c>
      <c r="D300" t="s">
        <v>726</v>
      </c>
      <c r="E300" t="s">
        <v>83</v>
      </c>
      <c r="F300" t="s">
        <v>128</v>
      </c>
      <c r="G300" t="s">
        <v>128</v>
      </c>
    </row>
    <row r="301" spans="1:7">
      <c r="A301" t="s">
        <v>541</v>
      </c>
      <c r="B301">
        <v>2</v>
      </c>
      <c r="C301" t="s">
        <v>93</v>
      </c>
      <c r="D301" t="s">
        <v>726</v>
      </c>
      <c r="E301" t="s">
        <v>93</v>
      </c>
      <c r="F301" t="s">
        <v>128</v>
      </c>
      <c r="G301" t="s">
        <v>128</v>
      </c>
    </row>
    <row r="302" spans="1:7">
      <c r="A302" t="s">
        <v>541</v>
      </c>
      <c r="B302">
        <v>3</v>
      </c>
      <c r="C302" t="s">
        <v>109</v>
      </c>
      <c r="D302" t="s">
        <v>726</v>
      </c>
      <c r="E302" t="s">
        <v>109</v>
      </c>
      <c r="F302" t="s">
        <v>128</v>
      </c>
      <c r="G302" t="s">
        <v>128</v>
      </c>
    </row>
    <row r="303" spans="1:7">
      <c r="A303" t="s">
        <v>541</v>
      </c>
      <c r="B303">
        <v>4</v>
      </c>
      <c r="C303" t="s">
        <v>338</v>
      </c>
      <c r="D303" t="s">
        <v>2367</v>
      </c>
      <c r="E303" t="s">
        <v>128</v>
      </c>
      <c r="F303" t="s">
        <v>2371</v>
      </c>
      <c r="G303" t="s">
        <v>299</v>
      </c>
    </row>
    <row r="304" spans="1:7">
      <c r="A304" t="s">
        <v>541</v>
      </c>
      <c r="B304">
        <v>5</v>
      </c>
      <c r="C304" t="s">
        <v>115</v>
      </c>
      <c r="D304" t="s">
        <v>726</v>
      </c>
      <c r="E304" t="s">
        <v>115</v>
      </c>
      <c r="F304" t="s">
        <v>128</v>
      </c>
      <c r="G304" t="s">
        <v>128</v>
      </c>
    </row>
    <row r="305" spans="1:7">
      <c r="A305" t="s">
        <v>541</v>
      </c>
      <c r="B305">
        <v>6</v>
      </c>
      <c r="C305" t="s">
        <v>61</v>
      </c>
      <c r="D305" t="s">
        <v>726</v>
      </c>
      <c r="E305" t="s">
        <v>61</v>
      </c>
      <c r="F305" t="s">
        <v>128</v>
      </c>
      <c r="G305" t="s">
        <v>128</v>
      </c>
    </row>
    <row r="306" spans="1:7">
      <c r="A306" t="s">
        <v>541</v>
      </c>
      <c r="B306">
        <v>7</v>
      </c>
      <c r="C306" t="s">
        <v>78</v>
      </c>
      <c r="D306" t="s">
        <v>726</v>
      </c>
      <c r="E306" t="s">
        <v>78</v>
      </c>
      <c r="F306" t="s">
        <v>128</v>
      </c>
      <c r="G306" t="s">
        <v>128</v>
      </c>
    </row>
    <row r="307" spans="1:7">
      <c r="A307" t="s">
        <v>541</v>
      </c>
      <c r="B307">
        <v>8</v>
      </c>
      <c r="C307" t="s">
        <v>98</v>
      </c>
      <c r="D307" t="s">
        <v>726</v>
      </c>
      <c r="E307" t="s">
        <v>98</v>
      </c>
      <c r="F307" t="s">
        <v>128</v>
      </c>
      <c r="G307" t="s">
        <v>128</v>
      </c>
    </row>
    <row r="308" spans="1:7">
      <c r="A308" t="s">
        <v>542</v>
      </c>
      <c r="B308">
        <v>1</v>
      </c>
      <c r="C308" t="s">
        <v>65</v>
      </c>
      <c r="D308" t="s">
        <v>726</v>
      </c>
      <c r="E308" t="s">
        <v>65</v>
      </c>
      <c r="F308" t="s">
        <v>128</v>
      </c>
      <c r="G308" t="s">
        <v>128</v>
      </c>
    </row>
    <row r="309" spans="1:7">
      <c r="A309" t="s">
        <v>542</v>
      </c>
      <c r="B309">
        <v>2</v>
      </c>
      <c r="C309" t="s">
        <v>75</v>
      </c>
      <c r="D309" t="s">
        <v>726</v>
      </c>
      <c r="E309" t="s">
        <v>75</v>
      </c>
      <c r="F309" t="s">
        <v>128</v>
      </c>
      <c r="G309" t="s">
        <v>128</v>
      </c>
    </row>
    <row r="310" spans="1:7">
      <c r="A310" t="s">
        <v>542</v>
      </c>
      <c r="B310">
        <v>3</v>
      </c>
      <c r="C310" t="s">
        <v>77</v>
      </c>
      <c r="D310" t="s">
        <v>726</v>
      </c>
      <c r="E310" t="s">
        <v>77</v>
      </c>
      <c r="F310" t="s">
        <v>128</v>
      </c>
      <c r="G310" t="s">
        <v>128</v>
      </c>
    </row>
    <row r="311" spans="1:7">
      <c r="A311" t="s">
        <v>542</v>
      </c>
      <c r="B311">
        <v>4</v>
      </c>
      <c r="C311" t="s">
        <v>99</v>
      </c>
      <c r="D311" t="s">
        <v>726</v>
      </c>
      <c r="E311" t="s">
        <v>99</v>
      </c>
      <c r="F311" t="s">
        <v>128</v>
      </c>
      <c r="G311" t="s">
        <v>128</v>
      </c>
    </row>
    <row r="312" spans="1:7">
      <c r="A312" t="s">
        <v>542</v>
      </c>
      <c r="B312">
        <v>5</v>
      </c>
      <c r="C312" t="s">
        <v>101</v>
      </c>
      <c r="D312" t="s">
        <v>726</v>
      </c>
      <c r="E312" t="s">
        <v>101</v>
      </c>
      <c r="F312" t="s">
        <v>128</v>
      </c>
      <c r="G312" t="s">
        <v>128</v>
      </c>
    </row>
    <row r="313" spans="1:7">
      <c r="A313" t="s">
        <v>542</v>
      </c>
      <c r="B313">
        <v>6</v>
      </c>
      <c r="C313" t="s">
        <v>113</v>
      </c>
      <c r="D313" t="s">
        <v>726</v>
      </c>
      <c r="E313" t="s">
        <v>113</v>
      </c>
      <c r="F313" t="s">
        <v>128</v>
      </c>
      <c r="G313" t="s">
        <v>128</v>
      </c>
    </row>
    <row r="314" spans="1:7">
      <c r="A314" t="s">
        <v>542</v>
      </c>
      <c r="B314">
        <v>7</v>
      </c>
      <c r="C314" t="s">
        <v>447</v>
      </c>
      <c r="D314" t="s">
        <v>726</v>
      </c>
      <c r="E314" t="s">
        <v>447</v>
      </c>
      <c r="F314" t="s">
        <v>128</v>
      </c>
      <c r="G314" t="s">
        <v>333</v>
      </c>
    </row>
    <row r="315" spans="1:7">
      <c r="A315" t="s">
        <v>542</v>
      </c>
      <c r="B315">
        <v>8</v>
      </c>
      <c r="C315" t="s">
        <v>108</v>
      </c>
      <c r="D315" t="s">
        <v>726</v>
      </c>
      <c r="E315" t="s">
        <v>108</v>
      </c>
      <c r="F315" t="s">
        <v>128</v>
      </c>
      <c r="G315" t="s">
        <v>128</v>
      </c>
    </row>
    <row r="316" spans="1:7">
      <c r="A316" t="s">
        <v>543</v>
      </c>
      <c r="B316">
        <v>1</v>
      </c>
      <c r="C316" t="s">
        <v>67</v>
      </c>
      <c r="D316" t="s">
        <v>726</v>
      </c>
      <c r="E316" t="s">
        <v>67</v>
      </c>
      <c r="F316" t="s">
        <v>128</v>
      </c>
      <c r="G316" t="s">
        <v>128</v>
      </c>
    </row>
    <row r="317" spans="1:7">
      <c r="A317" t="s">
        <v>543</v>
      </c>
      <c r="B317">
        <v>2</v>
      </c>
      <c r="C317" t="s">
        <v>338</v>
      </c>
      <c r="D317" t="s">
        <v>2367</v>
      </c>
      <c r="E317" t="s">
        <v>128</v>
      </c>
      <c r="F317" t="s">
        <v>2371</v>
      </c>
      <c r="G317" t="s">
        <v>299</v>
      </c>
    </row>
    <row r="318" spans="1:7">
      <c r="A318" t="s">
        <v>543</v>
      </c>
      <c r="B318">
        <v>3</v>
      </c>
      <c r="C318" t="s">
        <v>338</v>
      </c>
      <c r="D318" t="s">
        <v>2367</v>
      </c>
      <c r="E318" t="s">
        <v>128</v>
      </c>
      <c r="F318" t="s">
        <v>2371</v>
      </c>
      <c r="G318" t="s">
        <v>299</v>
      </c>
    </row>
    <row r="319" spans="1:7">
      <c r="A319" t="s">
        <v>543</v>
      </c>
      <c r="B319">
        <v>4</v>
      </c>
      <c r="C319" t="s">
        <v>338</v>
      </c>
      <c r="D319" t="s">
        <v>2367</v>
      </c>
      <c r="E319" t="s">
        <v>128</v>
      </c>
      <c r="F319" t="s">
        <v>2371</v>
      </c>
      <c r="G319" t="s">
        <v>299</v>
      </c>
    </row>
    <row r="320" spans="1:7">
      <c r="A320" t="s">
        <v>543</v>
      </c>
      <c r="B320">
        <v>5</v>
      </c>
      <c r="C320" t="s">
        <v>114</v>
      </c>
      <c r="D320" t="s">
        <v>726</v>
      </c>
      <c r="E320" t="s">
        <v>114</v>
      </c>
      <c r="F320" t="s">
        <v>128</v>
      </c>
      <c r="G320" t="s">
        <v>128</v>
      </c>
    </row>
    <row r="321" spans="1:7">
      <c r="A321" t="s">
        <v>543</v>
      </c>
      <c r="B321">
        <v>6</v>
      </c>
      <c r="C321" t="s">
        <v>115</v>
      </c>
      <c r="D321" t="s">
        <v>726</v>
      </c>
      <c r="E321" t="s">
        <v>115</v>
      </c>
      <c r="F321" t="s">
        <v>128</v>
      </c>
      <c r="G321" t="s">
        <v>128</v>
      </c>
    </row>
    <row r="322" spans="1:7">
      <c r="A322" t="s">
        <v>543</v>
      </c>
      <c r="B322">
        <v>7</v>
      </c>
      <c r="C322" t="s">
        <v>78</v>
      </c>
      <c r="D322" t="s">
        <v>726</v>
      </c>
      <c r="E322" t="s">
        <v>78</v>
      </c>
      <c r="F322" t="s">
        <v>128</v>
      </c>
      <c r="G322" t="s">
        <v>128</v>
      </c>
    </row>
    <row r="323" spans="1:7">
      <c r="A323" t="s">
        <v>543</v>
      </c>
      <c r="B323">
        <v>8</v>
      </c>
      <c r="C323" t="s">
        <v>2370</v>
      </c>
      <c r="D323" t="s">
        <v>762</v>
      </c>
      <c r="E323" t="s">
        <v>128</v>
      </c>
      <c r="F323" t="s">
        <v>128</v>
      </c>
      <c r="G323" t="s">
        <v>128</v>
      </c>
    </row>
    <row r="324" spans="1:7">
      <c r="A324" t="s">
        <v>544</v>
      </c>
      <c r="B324">
        <v>1</v>
      </c>
      <c r="C324" t="s">
        <v>65</v>
      </c>
      <c r="D324" t="s">
        <v>726</v>
      </c>
      <c r="E324" t="s">
        <v>65</v>
      </c>
      <c r="F324" t="s">
        <v>128</v>
      </c>
      <c r="G324" t="s">
        <v>128</v>
      </c>
    </row>
    <row r="325" spans="1:7">
      <c r="A325" t="s">
        <v>544</v>
      </c>
      <c r="B325">
        <v>2</v>
      </c>
      <c r="C325" t="s">
        <v>77</v>
      </c>
      <c r="D325" t="s">
        <v>726</v>
      </c>
      <c r="E325" t="s">
        <v>77</v>
      </c>
      <c r="F325" t="s">
        <v>128</v>
      </c>
      <c r="G325" t="s">
        <v>128</v>
      </c>
    </row>
    <row r="326" spans="1:7">
      <c r="A326" t="s">
        <v>544</v>
      </c>
      <c r="B326">
        <v>3</v>
      </c>
      <c r="C326" t="s">
        <v>506</v>
      </c>
      <c r="D326" t="s">
        <v>2367</v>
      </c>
      <c r="E326" t="s">
        <v>128</v>
      </c>
      <c r="F326" t="s">
        <v>2368</v>
      </c>
      <c r="G326" t="s">
        <v>546</v>
      </c>
    </row>
    <row r="327" spans="1:7">
      <c r="A327" t="s">
        <v>544</v>
      </c>
      <c r="B327">
        <v>4</v>
      </c>
      <c r="C327" t="s">
        <v>61</v>
      </c>
      <c r="D327" t="s">
        <v>726</v>
      </c>
      <c r="E327" t="s">
        <v>61</v>
      </c>
      <c r="F327" t="s">
        <v>128</v>
      </c>
      <c r="G327" t="s">
        <v>128</v>
      </c>
    </row>
    <row r="328" spans="1:7">
      <c r="A328" t="s">
        <v>544</v>
      </c>
      <c r="B328">
        <v>5</v>
      </c>
      <c r="C328" t="s">
        <v>74</v>
      </c>
      <c r="D328" t="s">
        <v>726</v>
      </c>
      <c r="E328" t="s">
        <v>74</v>
      </c>
      <c r="F328" t="s">
        <v>128</v>
      </c>
      <c r="G328" t="s">
        <v>128</v>
      </c>
    </row>
    <row r="329" spans="1:7">
      <c r="A329" t="s">
        <v>544</v>
      </c>
      <c r="B329">
        <v>6</v>
      </c>
      <c r="C329" t="s">
        <v>78</v>
      </c>
      <c r="D329" t="s">
        <v>726</v>
      </c>
      <c r="E329" t="s">
        <v>78</v>
      </c>
      <c r="F329" t="s">
        <v>128</v>
      </c>
      <c r="G329" t="s">
        <v>128</v>
      </c>
    </row>
    <row r="330" spans="1:7">
      <c r="A330" t="s">
        <v>544</v>
      </c>
      <c r="B330">
        <v>7</v>
      </c>
      <c r="C330" t="s">
        <v>98</v>
      </c>
      <c r="D330" t="s">
        <v>726</v>
      </c>
      <c r="E330" t="s">
        <v>98</v>
      </c>
      <c r="F330" t="s">
        <v>128</v>
      </c>
      <c r="G330" t="s">
        <v>128</v>
      </c>
    </row>
    <row r="331" spans="1:7">
      <c r="A331" t="s">
        <v>544</v>
      </c>
      <c r="B331">
        <v>8</v>
      </c>
      <c r="C331" t="s">
        <v>102</v>
      </c>
      <c r="D331" t="s">
        <v>726</v>
      </c>
      <c r="E331" t="s">
        <v>102</v>
      </c>
      <c r="F331" t="s">
        <v>128</v>
      </c>
      <c r="G331" t="s">
        <v>128</v>
      </c>
    </row>
    <row r="400" spans="1:1">
      <c r="A400" t="s">
        <v>2381</v>
      </c>
    </row>
    <row r="401" spans="1:1">
      <c r="A401" t="s">
        <v>2382</v>
      </c>
    </row>
    <row r="402" spans="1:1">
      <c r="A402" t="s">
        <v>2383</v>
      </c>
    </row>
    <row r="403" spans="1:1">
      <c r="A403" t="s">
        <v>2384</v>
      </c>
    </row>
    <row r="404" spans="1:1">
      <c r="A404" t="s">
        <v>2385</v>
      </c>
    </row>
    <row r="405" spans="1:1">
      <c r="A405" t="s">
        <v>2386</v>
      </c>
    </row>
    <row r="406" spans="1:1">
      <c r="A406" t="s">
        <v>2387</v>
      </c>
    </row>
    <row r="407" spans="1:1">
      <c r="A407" t="s">
        <v>2388</v>
      </c>
    </row>
    <row r="500" spans="1:9">
      <c r="A500" t="s">
        <v>2389</v>
      </c>
      <c r="B500" t="s">
        <v>108</v>
      </c>
      <c r="C500" t="s">
        <v>2349</v>
      </c>
      <c r="D500" t="s">
        <v>2390</v>
      </c>
      <c r="E500" t="s">
        <v>2391</v>
      </c>
      <c r="F500" t="s">
        <v>2392</v>
      </c>
      <c r="G500" t="s">
        <v>128</v>
      </c>
      <c r="H500" t="s">
        <v>128</v>
      </c>
      <c r="I500" t="s">
        <v>2393</v>
      </c>
    </row>
    <row r="501" spans="1:9">
      <c r="A501" t="s">
        <v>2394</v>
      </c>
      <c r="B501" t="s">
        <v>108</v>
      </c>
      <c r="C501" t="s">
        <v>2349</v>
      </c>
      <c r="D501" t="s">
        <v>2395</v>
      </c>
      <c r="E501" t="s">
        <v>2391</v>
      </c>
      <c r="F501" t="s">
        <v>2392</v>
      </c>
      <c r="G501" t="s">
        <v>128</v>
      </c>
      <c r="H501" t="s">
        <v>128</v>
      </c>
      <c r="I501" t="s">
        <v>2396</v>
      </c>
    </row>
    <row r="502" spans="1:9">
      <c r="A502" t="s">
        <v>2397</v>
      </c>
      <c r="B502" t="s">
        <v>108</v>
      </c>
      <c r="C502" t="s">
        <v>2349</v>
      </c>
      <c r="D502" t="s">
        <v>619</v>
      </c>
      <c r="E502" t="s">
        <v>2391</v>
      </c>
      <c r="F502" t="s">
        <v>2392</v>
      </c>
      <c r="G502" t="s">
        <v>128</v>
      </c>
      <c r="H502" t="s">
        <v>2398</v>
      </c>
      <c r="I502" t="s">
        <v>2396</v>
      </c>
    </row>
    <row r="503" spans="1:9">
      <c r="A503" t="s">
        <v>63</v>
      </c>
      <c r="B503" t="s">
        <v>68</v>
      </c>
      <c r="C503" t="s">
        <v>2305</v>
      </c>
      <c r="D503" t="s">
        <v>2395</v>
      </c>
      <c r="E503" t="s">
        <v>2399</v>
      </c>
      <c r="F503" t="s">
        <v>2392</v>
      </c>
      <c r="G503" t="s">
        <v>128</v>
      </c>
      <c r="H503" t="s">
        <v>128</v>
      </c>
      <c r="I503" t="s">
        <v>2396</v>
      </c>
    </row>
    <row r="504" spans="1:9">
      <c r="A504" t="s">
        <v>2400</v>
      </c>
      <c r="B504" t="s">
        <v>68</v>
      </c>
      <c r="C504" t="s">
        <v>2305</v>
      </c>
      <c r="D504" t="s">
        <v>2395</v>
      </c>
      <c r="E504" t="s">
        <v>2391</v>
      </c>
      <c r="F504" t="s">
        <v>2392</v>
      </c>
      <c r="G504" t="s">
        <v>128</v>
      </c>
      <c r="H504" t="s">
        <v>128</v>
      </c>
      <c r="I504" t="s">
        <v>2396</v>
      </c>
    </row>
    <row r="505" spans="1:9">
      <c r="A505" t="s">
        <v>2401</v>
      </c>
      <c r="B505" t="s">
        <v>68</v>
      </c>
      <c r="C505" t="s">
        <v>2305</v>
      </c>
      <c r="D505" t="s">
        <v>2402</v>
      </c>
      <c r="E505" t="s">
        <v>2399</v>
      </c>
      <c r="F505" t="s">
        <v>2392</v>
      </c>
      <c r="G505" t="s">
        <v>128</v>
      </c>
      <c r="H505" t="s">
        <v>128</v>
      </c>
      <c r="I505" t="s">
        <v>2396</v>
      </c>
    </row>
    <row r="506" spans="1:9">
      <c r="A506" t="s">
        <v>2403</v>
      </c>
      <c r="B506" t="s">
        <v>68</v>
      </c>
      <c r="C506" t="s">
        <v>2305</v>
      </c>
      <c r="D506" t="s">
        <v>2402</v>
      </c>
      <c r="E506" t="s">
        <v>2391</v>
      </c>
      <c r="F506" t="s">
        <v>2392</v>
      </c>
      <c r="G506" t="s">
        <v>128</v>
      </c>
      <c r="H506" t="s">
        <v>128</v>
      </c>
      <c r="I506" t="s">
        <v>2396</v>
      </c>
    </row>
    <row r="507" spans="1:9">
      <c r="A507" t="s">
        <v>2404</v>
      </c>
      <c r="B507" t="s">
        <v>68</v>
      </c>
      <c r="C507" t="s">
        <v>2305</v>
      </c>
      <c r="D507" t="s">
        <v>2405</v>
      </c>
      <c r="E507" t="s">
        <v>2391</v>
      </c>
      <c r="F507" t="s">
        <v>2392</v>
      </c>
      <c r="G507" t="s">
        <v>128</v>
      </c>
      <c r="H507" t="s">
        <v>128</v>
      </c>
      <c r="I507" t="s">
        <v>2396</v>
      </c>
    </row>
    <row r="508" spans="1:9">
      <c r="A508" t="s">
        <v>2406</v>
      </c>
      <c r="B508" t="s">
        <v>68</v>
      </c>
      <c r="C508" t="s">
        <v>2305</v>
      </c>
      <c r="D508" t="s">
        <v>2405</v>
      </c>
      <c r="E508" t="s">
        <v>2391</v>
      </c>
      <c r="F508" t="s">
        <v>2392</v>
      </c>
      <c r="G508" t="s">
        <v>128</v>
      </c>
      <c r="H508" t="s">
        <v>128</v>
      </c>
      <c r="I508" t="s">
        <v>2396</v>
      </c>
    </row>
    <row r="509" spans="1:9">
      <c r="A509" t="s">
        <v>2407</v>
      </c>
      <c r="B509" t="s">
        <v>68</v>
      </c>
      <c r="C509" t="s">
        <v>2305</v>
      </c>
      <c r="D509" t="s">
        <v>2405</v>
      </c>
      <c r="E509" t="s">
        <v>2399</v>
      </c>
      <c r="F509" t="s">
        <v>2392</v>
      </c>
      <c r="G509" t="s">
        <v>128</v>
      </c>
      <c r="H509" t="s">
        <v>128</v>
      </c>
      <c r="I509" t="s">
        <v>2396</v>
      </c>
    </row>
    <row r="510" spans="1:9">
      <c r="A510" t="s">
        <v>2408</v>
      </c>
      <c r="B510" t="s">
        <v>68</v>
      </c>
      <c r="C510" t="s">
        <v>2305</v>
      </c>
      <c r="D510" t="s">
        <v>2409</v>
      </c>
      <c r="E510" t="s">
        <v>2391</v>
      </c>
      <c r="F510" t="s">
        <v>2392</v>
      </c>
      <c r="G510" t="s">
        <v>128</v>
      </c>
      <c r="H510" t="s">
        <v>128</v>
      </c>
      <c r="I510" t="s">
        <v>2396</v>
      </c>
    </row>
    <row r="511" spans="1:9">
      <c r="A511" t="s">
        <v>2410</v>
      </c>
      <c r="B511" t="s">
        <v>68</v>
      </c>
      <c r="C511" t="s">
        <v>2305</v>
      </c>
      <c r="D511" t="s">
        <v>2409</v>
      </c>
      <c r="E511" t="s">
        <v>2391</v>
      </c>
      <c r="F511" t="s">
        <v>2392</v>
      </c>
      <c r="G511" t="s">
        <v>128</v>
      </c>
      <c r="H511" t="s">
        <v>128</v>
      </c>
      <c r="I511" t="s">
        <v>2411</v>
      </c>
    </row>
    <row r="512" spans="1:9">
      <c r="A512" t="s">
        <v>2412</v>
      </c>
      <c r="B512" t="s">
        <v>68</v>
      </c>
      <c r="C512" t="s">
        <v>2305</v>
      </c>
      <c r="D512" t="s">
        <v>2413</v>
      </c>
      <c r="E512" t="s">
        <v>2391</v>
      </c>
      <c r="F512" t="s">
        <v>2392</v>
      </c>
      <c r="G512" t="s">
        <v>128</v>
      </c>
      <c r="H512" t="s">
        <v>2414</v>
      </c>
      <c r="I512" t="s">
        <v>2411</v>
      </c>
    </row>
    <row r="513" spans="1:9">
      <c r="A513" t="s">
        <v>2415</v>
      </c>
      <c r="B513" t="s">
        <v>2416</v>
      </c>
      <c r="C513" t="s">
        <v>2417</v>
      </c>
      <c r="D513" t="s">
        <v>2418</v>
      </c>
      <c r="E513" t="s">
        <v>128</v>
      </c>
      <c r="F513" t="s">
        <v>2419</v>
      </c>
      <c r="G513" t="s">
        <v>2420</v>
      </c>
      <c r="H513" t="s">
        <v>2421</v>
      </c>
      <c r="I513" t="s">
        <v>2396</v>
      </c>
    </row>
    <row r="514" spans="1:9">
      <c r="A514" t="s">
        <v>2422</v>
      </c>
      <c r="B514" t="s">
        <v>2416</v>
      </c>
      <c r="C514" t="s">
        <v>2417</v>
      </c>
      <c r="D514" t="s">
        <v>2418</v>
      </c>
      <c r="E514" t="s">
        <v>128</v>
      </c>
      <c r="F514" t="s">
        <v>2423</v>
      </c>
      <c r="G514" t="s">
        <v>2424</v>
      </c>
      <c r="H514" t="s">
        <v>2421</v>
      </c>
      <c r="I514" t="s">
        <v>2396</v>
      </c>
    </row>
    <row r="515" spans="1:9">
      <c r="A515" t="s">
        <v>2425</v>
      </c>
      <c r="B515" t="s">
        <v>77</v>
      </c>
      <c r="C515" t="s">
        <v>1175</v>
      </c>
      <c r="D515" t="s">
        <v>2418</v>
      </c>
      <c r="E515" t="s">
        <v>128</v>
      </c>
      <c r="F515" t="s">
        <v>2426</v>
      </c>
      <c r="G515" t="s">
        <v>2427</v>
      </c>
      <c r="H515" t="s">
        <v>2428</v>
      </c>
      <c r="I515" t="s">
        <v>2396</v>
      </c>
    </row>
    <row r="516" spans="1:9">
      <c r="A516" t="s">
        <v>2429</v>
      </c>
      <c r="B516" t="s">
        <v>113</v>
      </c>
      <c r="C516" t="s">
        <v>2297</v>
      </c>
      <c r="D516" t="s">
        <v>2418</v>
      </c>
      <c r="E516" t="s">
        <v>128</v>
      </c>
      <c r="F516" t="s">
        <v>2430</v>
      </c>
      <c r="G516" t="s">
        <v>2427</v>
      </c>
      <c r="H516" t="s">
        <v>2431</v>
      </c>
      <c r="I516" t="s">
        <v>2396</v>
      </c>
    </row>
    <row r="517" spans="1:9">
      <c r="A517" t="s">
        <v>2432</v>
      </c>
      <c r="B517" t="s">
        <v>77</v>
      </c>
      <c r="C517" t="s">
        <v>1175</v>
      </c>
      <c r="D517" t="s">
        <v>2418</v>
      </c>
      <c r="E517" t="s">
        <v>128</v>
      </c>
      <c r="F517" t="s">
        <v>2426</v>
      </c>
      <c r="G517" t="s">
        <v>2427</v>
      </c>
      <c r="H517" t="s">
        <v>2433</v>
      </c>
      <c r="I517" t="s">
        <v>2396</v>
      </c>
    </row>
    <row r="518" spans="1:9">
      <c r="A518" t="s">
        <v>2434</v>
      </c>
      <c r="B518" t="s">
        <v>113</v>
      </c>
      <c r="C518" t="s">
        <v>2297</v>
      </c>
      <c r="D518" t="s">
        <v>2418</v>
      </c>
      <c r="E518" t="s">
        <v>128</v>
      </c>
      <c r="F518" t="s">
        <v>2430</v>
      </c>
      <c r="G518" t="s">
        <v>2427</v>
      </c>
      <c r="H518" t="s">
        <v>2435</v>
      </c>
      <c r="I518" t="s">
        <v>2396</v>
      </c>
    </row>
    <row r="519" spans="1:9">
      <c r="A519" t="s">
        <v>2436</v>
      </c>
      <c r="B519" t="s">
        <v>2416</v>
      </c>
      <c r="C519" t="s">
        <v>2417</v>
      </c>
      <c r="D519" t="s">
        <v>2418</v>
      </c>
      <c r="E519" t="s">
        <v>128</v>
      </c>
      <c r="F519" t="s">
        <v>2419</v>
      </c>
      <c r="G519" t="s">
        <v>128</v>
      </c>
      <c r="H519" t="s">
        <v>2437</v>
      </c>
      <c r="I519" t="s">
        <v>2396</v>
      </c>
    </row>
    <row r="520" spans="1:9">
      <c r="A520" t="s">
        <v>2438</v>
      </c>
      <c r="B520" t="s">
        <v>2416</v>
      </c>
      <c r="C520" t="s">
        <v>2417</v>
      </c>
      <c r="D520" t="s">
        <v>2418</v>
      </c>
      <c r="E520" t="s">
        <v>128</v>
      </c>
      <c r="F520" t="s">
        <v>2419</v>
      </c>
      <c r="G520" t="s">
        <v>128</v>
      </c>
      <c r="H520" t="s">
        <v>2437</v>
      </c>
      <c r="I520" t="s">
        <v>2396</v>
      </c>
    </row>
    <row r="521" spans="1:9">
      <c r="A521" t="s">
        <v>2439</v>
      </c>
      <c r="B521" t="s">
        <v>101</v>
      </c>
      <c r="C521" t="s">
        <v>1306</v>
      </c>
      <c r="D521" t="s">
        <v>2418</v>
      </c>
      <c r="E521" t="s">
        <v>128</v>
      </c>
      <c r="F521" t="s">
        <v>2440</v>
      </c>
      <c r="G521" t="s">
        <v>128</v>
      </c>
      <c r="H521" t="s">
        <v>2441</v>
      </c>
      <c r="I521" t="s">
        <v>2411</v>
      </c>
    </row>
    <row r="522" spans="1:9">
      <c r="A522" t="s">
        <v>2442</v>
      </c>
      <c r="B522" t="s">
        <v>101</v>
      </c>
      <c r="C522" t="s">
        <v>1306</v>
      </c>
      <c r="D522" t="s">
        <v>2405</v>
      </c>
      <c r="E522" t="s">
        <v>2391</v>
      </c>
      <c r="F522" t="s">
        <v>2427</v>
      </c>
      <c r="G522" t="s">
        <v>128</v>
      </c>
      <c r="H522" t="s">
        <v>2443</v>
      </c>
      <c r="I522" t="s">
        <v>2411</v>
      </c>
    </row>
    <row r="523" spans="1:9">
      <c r="A523" t="s">
        <v>2444</v>
      </c>
      <c r="B523" t="s">
        <v>101</v>
      </c>
      <c r="C523" t="s">
        <v>1306</v>
      </c>
      <c r="D523" t="s">
        <v>2409</v>
      </c>
      <c r="E523" t="s">
        <v>2391</v>
      </c>
      <c r="F523" t="s">
        <v>2445</v>
      </c>
      <c r="G523" t="s">
        <v>128</v>
      </c>
      <c r="H523" t="s">
        <v>2443</v>
      </c>
      <c r="I523" t="s">
        <v>2411</v>
      </c>
    </row>
    <row r="524" spans="1:9">
      <c r="A524" t="s">
        <v>2446</v>
      </c>
      <c r="B524" t="s">
        <v>101</v>
      </c>
      <c r="C524" t="s">
        <v>1306</v>
      </c>
      <c r="D524" t="s">
        <v>2413</v>
      </c>
      <c r="E524" t="s">
        <v>2391</v>
      </c>
      <c r="F524" t="s">
        <v>2426</v>
      </c>
      <c r="G524" t="s">
        <v>128</v>
      </c>
      <c r="H524" t="s">
        <v>2443</v>
      </c>
      <c r="I524" t="s">
        <v>2411</v>
      </c>
    </row>
    <row r="525" spans="1:9">
      <c r="A525" t="s">
        <v>2447</v>
      </c>
      <c r="B525" t="s">
        <v>101</v>
      </c>
      <c r="C525" t="s">
        <v>1306</v>
      </c>
      <c r="D525" t="s">
        <v>2448</v>
      </c>
      <c r="E525" t="s">
        <v>2391</v>
      </c>
      <c r="F525" t="s">
        <v>2449</v>
      </c>
      <c r="G525" t="s">
        <v>128</v>
      </c>
      <c r="H525" t="s">
        <v>2450</v>
      </c>
      <c r="I525" t="s">
        <v>2411</v>
      </c>
    </row>
    <row r="526" spans="1:9">
      <c r="A526" t="s">
        <v>2451</v>
      </c>
      <c r="B526" t="s">
        <v>101</v>
      </c>
      <c r="C526" t="s">
        <v>1306</v>
      </c>
      <c r="D526" t="s">
        <v>2448</v>
      </c>
      <c r="E526" t="s">
        <v>2391</v>
      </c>
      <c r="F526" t="s">
        <v>2449</v>
      </c>
      <c r="G526" t="s">
        <v>128</v>
      </c>
      <c r="H526" t="s">
        <v>2452</v>
      </c>
      <c r="I526" t="s">
        <v>2411</v>
      </c>
    </row>
    <row r="527" spans="1:9">
      <c r="A527" t="s">
        <v>2453</v>
      </c>
      <c r="B527" t="s">
        <v>101</v>
      </c>
      <c r="C527" t="s">
        <v>1306</v>
      </c>
      <c r="D527" t="s">
        <v>2454</v>
      </c>
      <c r="E527" t="s">
        <v>2391</v>
      </c>
      <c r="F527" t="s">
        <v>2427</v>
      </c>
      <c r="G527" t="s">
        <v>128</v>
      </c>
      <c r="H527" t="s">
        <v>2455</v>
      </c>
      <c r="I527" t="s">
        <v>2411</v>
      </c>
    </row>
    <row r="528" spans="1:9">
      <c r="A528" t="s">
        <v>2456</v>
      </c>
      <c r="B528" t="s">
        <v>101</v>
      </c>
      <c r="C528" t="s">
        <v>1306</v>
      </c>
      <c r="D528" t="s">
        <v>2457</v>
      </c>
      <c r="E528" t="s">
        <v>2399</v>
      </c>
      <c r="F528" t="s">
        <v>2458</v>
      </c>
      <c r="G528" t="s">
        <v>128</v>
      </c>
      <c r="H528" t="s">
        <v>2459</v>
      </c>
      <c r="I528" t="s">
        <v>2411</v>
      </c>
    </row>
    <row r="529" spans="1:9">
      <c r="A529" t="s">
        <v>2460</v>
      </c>
      <c r="B529" t="s">
        <v>101</v>
      </c>
      <c r="C529" t="s">
        <v>1306</v>
      </c>
      <c r="D529" t="s">
        <v>2461</v>
      </c>
      <c r="E529" t="s">
        <v>2391</v>
      </c>
      <c r="F529" t="s">
        <v>2430</v>
      </c>
      <c r="G529" t="s">
        <v>128</v>
      </c>
      <c r="H529" t="s">
        <v>2462</v>
      </c>
      <c r="I529" t="s">
        <v>2463</v>
      </c>
    </row>
    <row r="530" spans="1:9">
      <c r="A530" t="s">
        <v>2464</v>
      </c>
      <c r="B530" t="s">
        <v>101</v>
      </c>
      <c r="C530" t="s">
        <v>1306</v>
      </c>
      <c r="D530" t="s">
        <v>2465</v>
      </c>
      <c r="E530" t="s">
        <v>2466</v>
      </c>
      <c r="F530" t="s">
        <v>2467</v>
      </c>
      <c r="G530" t="s">
        <v>128</v>
      </c>
      <c r="H530" t="s">
        <v>2468</v>
      </c>
      <c r="I530" t="s">
        <v>2463</v>
      </c>
    </row>
    <row r="531" spans="1:9">
      <c r="A531" t="s">
        <v>2469</v>
      </c>
      <c r="B531" t="s">
        <v>101</v>
      </c>
      <c r="C531" t="s">
        <v>1306</v>
      </c>
      <c r="D531" t="s">
        <v>2470</v>
      </c>
      <c r="E531" t="s">
        <v>2466</v>
      </c>
      <c r="F531" t="s">
        <v>2471</v>
      </c>
      <c r="G531" t="s">
        <v>128</v>
      </c>
      <c r="H531" t="s">
        <v>128</v>
      </c>
      <c r="I531" t="s">
        <v>2472</v>
      </c>
    </row>
    <row r="532" spans="1:9">
      <c r="A532" t="s">
        <v>2473</v>
      </c>
      <c r="B532" t="s">
        <v>77</v>
      </c>
      <c r="C532" t="s">
        <v>1175</v>
      </c>
      <c r="D532" t="s">
        <v>2474</v>
      </c>
      <c r="E532" t="s">
        <v>2391</v>
      </c>
      <c r="F532" t="s">
        <v>2426</v>
      </c>
      <c r="G532" t="s">
        <v>2427</v>
      </c>
      <c r="H532" t="s">
        <v>128</v>
      </c>
      <c r="I532" t="s">
        <v>2396</v>
      </c>
    </row>
    <row r="533" spans="1:9">
      <c r="A533" t="s">
        <v>2475</v>
      </c>
      <c r="B533" t="s">
        <v>113</v>
      </c>
      <c r="C533" t="s">
        <v>2297</v>
      </c>
      <c r="D533" t="s">
        <v>2476</v>
      </c>
      <c r="E533" t="s">
        <v>2477</v>
      </c>
      <c r="F533" t="s">
        <v>2478</v>
      </c>
      <c r="G533" t="s">
        <v>2427</v>
      </c>
      <c r="H533" t="s">
        <v>128</v>
      </c>
      <c r="I533" t="s">
        <v>2411</v>
      </c>
    </row>
    <row r="534" spans="1:9">
      <c r="A534" t="s">
        <v>2479</v>
      </c>
      <c r="B534" t="s">
        <v>113</v>
      </c>
      <c r="C534" t="s">
        <v>2297</v>
      </c>
      <c r="D534" t="s">
        <v>2480</v>
      </c>
      <c r="E534" t="s">
        <v>2391</v>
      </c>
      <c r="F534" t="s">
        <v>2481</v>
      </c>
      <c r="G534" t="s">
        <v>2419</v>
      </c>
      <c r="H534" t="s">
        <v>128</v>
      </c>
      <c r="I534" t="s">
        <v>2463</v>
      </c>
    </row>
    <row r="535" spans="1:9">
      <c r="A535" t="s">
        <v>2482</v>
      </c>
      <c r="B535" t="s">
        <v>113</v>
      </c>
      <c r="C535" t="s">
        <v>2297</v>
      </c>
      <c r="D535" t="s">
        <v>2480</v>
      </c>
      <c r="E535" t="s">
        <v>2391</v>
      </c>
      <c r="F535" t="s">
        <v>2427</v>
      </c>
      <c r="G535" t="s">
        <v>2483</v>
      </c>
      <c r="H535" t="s">
        <v>128</v>
      </c>
      <c r="I535" t="s">
        <v>2463</v>
      </c>
    </row>
    <row r="536" spans="1:9">
      <c r="A536" t="s">
        <v>2484</v>
      </c>
      <c r="B536" t="s">
        <v>113</v>
      </c>
      <c r="C536" t="s">
        <v>2297</v>
      </c>
      <c r="D536" t="s">
        <v>2474</v>
      </c>
      <c r="E536" t="s">
        <v>2399</v>
      </c>
      <c r="F536" t="s">
        <v>2485</v>
      </c>
      <c r="G536" t="s">
        <v>2486</v>
      </c>
      <c r="H536" t="s">
        <v>2487</v>
      </c>
      <c r="I536" t="s">
        <v>2472</v>
      </c>
    </row>
    <row r="537" spans="1:9">
      <c r="A537" t="s">
        <v>2488</v>
      </c>
      <c r="B537" t="s">
        <v>113</v>
      </c>
      <c r="C537" t="s">
        <v>2297</v>
      </c>
      <c r="D537" t="s">
        <v>2474</v>
      </c>
      <c r="E537" t="s">
        <v>2391</v>
      </c>
      <c r="F537" t="s">
        <v>2467</v>
      </c>
      <c r="G537" t="s">
        <v>2427</v>
      </c>
      <c r="H537" t="s">
        <v>2489</v>
      </c>
      <c r="I537" t="s">
        <v>2472</v>
      </c>
    </row>
    <row r="538" spans="1:9">
      <c r="A538" t="s">
        <v>2490</v>
      </c>
      <c r="B538" t="s">
        <v>113</v>
      </c>
      <c r="C538" t="s">
        <v>2297</v>
      </c>
      <c r="D538" t="s">
        <v>2491</v>
      </c>
      <c r="E538" t="s">
        <v>2391</v>
      </c>
      <c r="F538" t="s">
        <v>2485</v>
      </c>
      <c r="G538" t="s">
        <v>2427</v>
      </c>
      <c r="H538" t="s">
        <v>2492</v>
      </c>
      <c r="I538" t="s">
        <v>2472</v>
      </c>
    </row>
    <row r="539" spans="1:9">
      <c r="A539" t="s">
        <v>2493</v>
      </c>
      <c r="B539" t="s">
        <v>113</v>
      </c>
      <c r="C539" t="s">
        <v>2297</v>
      </c>
      <c r="D539" t="s">
        <v>2470</v>
      </c>
      <c r="E539" t="s">
        <v>2466</v>
      </c>
      <c r="F539" t="s">
        <v>2494</v>
      </c>
      <c r="G539" t="s">
        <v>2486</v>
      </c>
      <c r="H539" t="s">
        <v>2495</v>
      </c>
      <c r="I539" t="s">
        <v>2472</v>
      </c>
    </row>
    <row r="540" spans="1:9">
      <c r="A540" t="s">
        <v>2496</v>
      </c>
      <c r="B540" t="s">
        <v>113</v>
      </c>
      <c r="C540" t="s">
        <v>2297</v>
      </c>
      <c r="D540" t="s">
        <v>2480</v>
      </c>
      <c r="E540" t="s">
        <v>2399</v>
      </c>
      <c r="F540" t="s">
        <v>2478</v>
      </c>
      <c r="G540" t="s">
        <v>2486</v>
      </c>
      <c r="H540" t="s">
        <v>2495</v>
      </c>
      <c r="I540" t="s">
        <v>2472</v>
      </c>
    </row>
    <row r="541" spans="1:9">
      <c r="A541" t="s">
        <v>2497</v>
      </c>
      <c r="B541" t="s">
        <v>113</v>
      </c>
      <c r="C541" t="s">
        <v>2297</v>
      </c>
      <c r="D541" t="s">
        <v>2476</v>
      </c>
      <c r="E541" t="s">
        <v>2466</v>
      </c>
      <c r="F541" t="s">
        <v>2494</v>
      </c>
      <c r="G541" t="s">
        <v>2423</v>
      </c>
      <c r="H541" t="s">
        <v>128</v>
      </c>
      <c r="I541" t="s">
        <v>2498</v>
      </c>
    </row>
    <row r="542" spans="1:9">
      <c r="A542" t="s">
        <v>2499</v>
      </c>
      <c r="B542" t="s">
        <v>113</v>
      </c>
      <c r="C542" t="s">
        <v>2297</v>
      </c>
      <c r="D542" t="s">
        <v>2470</v>
      </c>
      <c r="E542" t="s">
        <v>2466</v>
      </c>
      <c r="F542" t="s">
        <v>2485</v>
      </c>
      <c r="G542" t="s">
        <v>2500</v>
      </c>
      <c r="H542" t="s">
        <v>2501</v>
      </c>
      <c r="I542" t="s">
        <v>2498</v>
      </c>
    </row>
    <row r="543" spans="1:9">
      <c r="A543" t="s">
        <v>2502</v>
      </c>
      <c r="B543" t="s">
        <v>95</v>
      </c>
      <c r="C543" t="s">
        <v>1280</v>
      </c>
      <c r="D543" t="s">
        <v>2476</v>
      </c>
      <c r="E543" t="s">
        <v>2391</v>
      </c>
      <c r="F543" t="s">
        <v>2391</v>
      </c>
      <c r="G543" t="s">
        <v>2426</v>
      </c>
      <c r="H543" t="s">
        <v>128</v>
      </c>
      <c r="I543" t="s">
        <v>2396</v>
      </c>
    </row>
    <row r="544" spans="1:9">
      <c r="A544" t="s">
        <v>2503</v>
      </c>
      <c r="B544" t="s">
        <v>95</v>
      </c>
      <c r="C544" t="s">
        <v>1280</v>
      </c>
      <c r="D544" t="s">
        <v>2476</v>
      </c>
      <c r="E544" t="s">
        <v>2391</v>
      </c>
      <c r="F544" t="s">
        <v>2391</v>
      </c>
      <c r="G544" t="s">
        <v>2483</v>
      </c>
      <c r="H544" t="s">
        <v>128</v>
      </c>
      <c r="I544" t="s">
        <v>2396</v>
      </c>
    </row>
    <row r="545" spans="1:9">
      <c r="A545" t="s">
        <v>2504</v>
      </c>
      <c r="B545" t="s">
        <v>95</v>
      </c>
      <c r="C545" t="s">
        <v>1280</v>
      </c>
      <c r="D545" t="s">
        <v>2474</v>
      </c>
      <c r="E545" t="s">
        <v>2391</v>
      </c>
      <c r="F545" t="s">
        <v>2391</v>
      </c>
      <c r="G545" t="s">
        <v>2427</v>
      </c>
      <c r="H545" t="s">
        <v>2505</v>
      </c>
      <c r="I545" t="s">
        <v>2396</v>
      </c>
    </row>
    <row r="546" spans="1:9">
      <c r="A546" t="s">
        <v>2506</v>
      </c>
      <c r="B546" t="s">
        <v>95</v>
      </c>
      <c r="C546" t="s">
        <v>1280</v>
      </c>
      <c r="D546" t="s">
        <v>2507</v>
      </c>
      <c r="E546" t="s">
        <v>2391</v>
      </c>
      <c r="F546" t="s">
        <v>2391</v>
      </c>
      <c r="G546" t="s">
        <v>2449</v>
      </c>
      <c r="H546" t="s">
        <v>128</v>
      </c>
      <c r="I546" t="s">
        <v>2411</v>
      </c>
    </row>
    <row r="547" spans="1:9">
      <c r="A547" t="s">
        <v>2508</v>
      </c>
      <c r="B547" t="s">
        <v>95</v>
      </c>
      <c r="C547" t="s">
        <v>1280</v>
      </c>
      <c r="D547" t="s">
        <v>2509</v>
      </c>
      <c r="E547" t="s">
        <v>2477</v>
      </c>
      <c r="F547" t="s">
        <v>2391</v>
      </c>
      <c r="G547" t="s">
        <v>2427</v>
      </c>
      <c r="H547" t="s">
        <v>128</v>
      </c>
      <c r="I547" t="s">
        <v>2411</v>
      </c>
    </row>
    <row r="548" spans="1:9">
      <c r="A548" t="s">
        <v>2510</v>
      </c>
      <c r="B548" t="s">
        <v>75</v>
      </c>
      <c r="C548" t="s">
        <v>1146</v>
      </c>
      <c r="D548" t="s">
        <v>2511</v>
      </c>
      <c r="E548" t="s">
        <v>2512</v>
      </c>
      <c r="F548" t="s">
        <v>2513</v>
      </c>
      <c r="G548" t="s">
        <v>2458</v>
      </c>
      <c r="H548" t="s">
        <v>2514</v>
      </c>
      <c r="I548" t="s">
        <v>2463</v>
      </c>
    </row>
    <row r="549" spans="1:9">
      <c r="A549" t="s">
        <v>2515</v>
      </c>
      <c r="B549" t="s">
        <v>75</v>
      </c>
      <c r="C549" t="s">
        <v>1146</v>
      </c>
      <c r="D549" t="s">
        <v>2516</v>
      </c>
      <c r="E549" t="s">
        <v>2466</v>
      </c>
      <c r="F549" t="s">
        <v>2517</v>
      </c>
      <c r="G549" t="s">
        <v>2430</v>
      </c>
      <c r="H549" t="s">
        <v>128</v>
      </c>
      <c r="I549" t="s">
        <v>2472</v>
      </c>
    </row>
    <row r="550" spans="1:9">
      <c r="A550" t="s">
        <v>2518</v>
      </c>
      <c r="B550" t="s">
        <v>75</v>
      </c>
      <c r="C550" t="s">
        <v>1146</v>
      </c>
      <c r="D550" t="s">
        <v>2470</v>
      </c>
      <c r="E550" t="s">
        <v>2391</v>
      </c>
      <c r="F550" t="s">
        <v>2519</v>
      </c>
      <c r="G550" t="s">
        <v>2520</v>
      </c>
      <c r="H550" t="s">
        <v>128</v>
      </c>
      <c r="I550" t="s">
        <v>2472</v>
      </c>
    </row>
    <row r="551" spans="1:9">
      <c r="A551" t="s">
        <v>2521</v>
      </c>
      <c r="B551" t="s">
        <v>75</v>
      </c>
      <c r="C551" t="s">
        <v>1146</v>
      </c>
      <c r="D551" t="s">
        <v>2522</v>
      </c>
      <c r="E551" t="s">
        <v>2523</v>
      </c>
      <c r="F551" t="s">
        <v>2517</v>
      </c>
      <c r="G551" t="s">
        <v>2430</v>
      </c>
      <c r="H551" t="s">
        <v>128</v>
      </c>
      <c r="I551" t="s">
        <v>2498</v>
      </c>
    </row>
    <row r="552" spans="1:9">
      <c r="A552" t="s">
        <v>2524</v>
      </c>
      <c r="B552" t="s">
        <v>75</v>
      </c>
      <c r="C552" t="s">
        <v>1146</v>
      </c>
      <c r="D552" t="s">
        <v>2525</v>
      </c>
      <c r="E552" t="s">
        <v>2512</v>
      </c>
      <c r="F552" t="s">
        <v>2526</v>
      </c>
      <c r="G552" t="s">
        <v>2458</v>
      </c>
      <c r="H552" t="s">
        <v>128</v>
      </c>
      <c r="I552" t="s">
        <v>2498</v>
      </c>
    </row>
    <row r="553" spans="1:9">
      <c r="A553" t="s">
        <v>2527</v>
      </c>
      <c r="B553" t="s">
        <v>75</v>
      </c>
      <c r="C553" t="s">
        <v>1146</v>
      </c>
      <c r="D553" t="s">
        <v>2528</v>
      </c>
      <c r="E553" t="s">
        <v>2529</v>
      </c>
      <c r="F553" t="s">
        <v>2530</v>
      </c>
      <c r="G553" t="s">
        <v>2467</v>
      </c>
      <c r="H553" t="s">
        <v>2414</v>
      </c>
      <c r="I553" t="s">
        <v>2498</v>
      </c>
    </row>
    <row r="560" spans="1:9">
      <c r="A560" t="s">
        <v>2531</v>
      </c>
    </row>
    <row r="561" spans="1:1">
      <c r="A561" t="s">
        <v>2532</v>
      </c>
    </row>
    <row r="562" spans="1:1">
      <c r="A562" t="s">
        <v>2533</v>
      </c>
    </row>
    <row r="563" spans="1:1">
      <c r="A563" t="s">
        <v>2534</v>
      </c>
    </row>
    <row r="564" spans="1:1">
      <c r="A564" t="s">
        <v>2535</v>
      </c>
    </row>
    <row r="565" spans="1:1">
      <c r="A565" t="s">
        <v>2536</v>
      </c>
    </row>
    <row r="580" spans="1:1">
      <c r="A580" t="s">
        <v>11</v>
      </c>
    </row>
    <row r="581" spans="1:1">
      <c r="A581" t="s">
        <v>14</v>
      </c>
    </row>
    <row r="582" spans="1:1">
      <c r="A582" t="s">
        <v>18</v>
      </c>
    </row>
    <row r="583" spans="1:1">
      <c r="A583" t="s">
        <v>22</v>
      </c>
    </row>
    <row r="584" spans="1:1">
      <c r="A584" t="s">
        <v>25</v>
      </c>
    </row>
    <row r="585" spans="1:1">
      <c r="A585" t="s">
        <v>28</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v1.6</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2602</v>
      </c>
      <c r="B8" s="583" t="s">
        <v>2603</v>
      </c>
      <c r="C8" s="583" t="inlineStr">
        <is>
          <t xml:space="preserve">内容</t>
        </is>
      </c>
    </row>
    <row r="9" ht="32" customHeight="1" spans="1:4">
      <c r="A9" s="584" t="s">
        <v>2537</v>
      </c>
      <c r="B9" s="585" t="s">
        <v>2604</v>
      </c>
      <c r="C9" s="584" t="s">
        <v>2605</v>
      </c>
    </row>
    <row r="10" ht="32" customHeight="1" spans="1:4">
      <c r="A10" s="584" t="s">
        <v>2537</v>
      </c>
      <c r="B10" s="585" t="s">
        <v>2606</v>
      </c>
      <c r="C10" s="584" t="s">
        <v>2607</v>
      </c>
    </row>
    <row r="11" ht="45.5" customHeight="1" spans="1:4">
      <c r="A11" s="584" t="s">
        <v>2537</v>
      </c>
      <c r="B11" s="585" t="s">
        <v>2608</v>
      </c>
      <c r="C11" s="584" t="s">
        <v>2609</v>
      </c>
    </row>
    <row r="12" ht="45.5" customHeight="1" spans="1:4">
      <c r="A12" s="584" t="s">
        <v>2537</v>
      </c>
      <c r="B12" s="585" t="s">
        <v>2610</v>
      </c>
      <c r="C12" s="584" t="s">
        <v>2611</v>
      </c>
    </row>
    <row r="13" ht="32" customHeight="1" spans="1:4">
      <c r="A13" s="584" t="s">
        <v>2537</v>
      </c>
      <c r="B13" s="585" t="s">
        <v>2612</v>
      </c>
      <c r="C13" s="584" t="s">
        <v>2613</v>
      </c>
    </row>
    <row r="14" ht="32" customHeight="1" spans="1:4">
      <c r="A14" s="584" t="s">
        <v>2537</v>
      </c>
      <c r="B14" s="585" t="s">
        <v>2614</v>
      </c>
      <c r="C14" s="584" t="s">
        <v>2615</v>
      </c>
    </row>
    <row r="15" ht="32" customHeight="1" spans="1:4">
      <c r="A15" s="584" t="s">
        <v>2537</v>
      </c>
      <c r="B15" s="585" t="s">
        <v>2616</v>
      </c>
      <c r="C15" s="584" t="s">
        <v>2617</v>
      </c>
    </row>
    <row r="16" ht="32" customHeight="1" spans="1:4">
      <c r="A16" s="584" t="s">
        <v>2537</v>
      </c>
      <c r="B16" s="585" t="s">
        <v>2618</v>
      </c>
      <c r="C16" s="584" t="s">
        <v>2619</v>
      </c>
    </row>
    <row r="17" ht="32" customHeight="1" spans="1:4">
      <c r="A17" s="584" t="s">
        <v>2537</v>
      </c>
      <c r="B17" s="585" t="s">
        <v>2620</v>
      </c>
      <c r="C17" s="584" t="s">
        <v>2621</v>
      </c>
    </row>
    <row r="18" ht="32" customHeight="1" spans="1:4">
      <c r="A18" s="584" t="s">
        <v>2538</v>
      </c>
      <c r="B18" s="585" t="s">
        <v>2622</v>
      </c>
      <c r="C18" s="584" t="s">
        <v>2623</v>
      </c>
    </row>
    <row r="19" ht="32" customHeight="1" spans="1:4">
      <c r="A19" s="584" t="s">
        <v>2538</v>
      </c>
      <c r="B19" s="585" t="s">
        <v>2624</v>
      </c>
      <c r="C19" s="584" t="s">
        <v>2625</v>
      </c>
    </row>
    <row r="20" ht="45.5" customHeight="1" spans="1:4">
      <c r="A20" s="584" t="s">
        <v>2539</v>
      </c>
      <c r="B20" s="585" t="s">
        <v>2626</v>
      </c>
      <c r="C20" s="584" t="s">
        <v>2627</v>
      </c>
    </row>
    <row r="21" ht="32" customHeight="1" spans="1:4">
      <c r="A21" s="584" t="s">
        <v>2540</v>
      </c>
      <c r="B21" s="585" t="s">
        <v>2628</v>
      </c>
      <c r="C21" s="584" t="s">
        <v>2629</v>
      </c>
    </row>
    <row r="22" ht="32" customHeight="1" spans="1:4">
      <c r="A22" s="584" t="s">
        <v>2540</v>
      </c>
      <c r="B22" s="585" t="s">
        <v>2630</v>
      </c>
      <c r="C22" s="584" t="s">
        <v>2631</v>
      </c>
    </row>
    <row r="23" ht="45.5" customHeight="1" spans="1:4">
      <c r="A23" s="584" t="s">
        <v>2540</v>
      </c>
      <c r="B23" s="585" t="s">
        <v>2632</v>
      </c>
      <c r="C23" s="584" t="s">
        <v>2633</v>
      </c>
    </row>
    <row r="24" ht="45.5" customHeight="1" spans="1:4">
      <c r="A24" s="584" t="s">
        <v>2540</v>
      </c>
      <c r="B24" s="585" t="s">
        <v>2634</v>
      </c>
      <c r="C24" s="584" t="s">
        <v>2635</v>
      </c>
    </row>
    <row r="25" ht="45.5" customHeight="1" spans="1:4">
      <c r="A25" s="584" t="s">
        <v>2540</v>
      </c>
      <c r="B25" s="585" t="s">
        <v>2636</v>
      </c>
      <c r="C25" s="584" t="s">
        <v>2637</v>
      </c>
    </row>
    <row r="26" ht="45.5" customHeight="1" spans="1:4">
      <c r="A26" s="584" t="s">
        <v>2540</v>
      </c>
      <c r="B26" s="585" t="s">
        <v>2638</v>
      </c>
      <c r="C26" s="584" t="s">
        <v>2639</v>
      </c>
    </row>
    <row r="27" ht="32" customHeight="1" spans="1:4">
      <c r="A27" s="584" t="s">
        <v>2540</v>
      </c>
      <c r="B27" s="585" t="s">
        <v>2640</v>
      </c>
      <c r="C27" s="584" t="s">
        <v>2641</v>
      </c>
    </row>
    <row r="28" ht="32" customHeight="1" spans="1:4">
      <c r="A28" s="584" t="s">
        <v>2540</v>
      </c>
      <c r="B28" s="585" t="s">
        <v>2642</v>
      </c>
      <c r="C28" s="584" t="s">
        <v>2643</v>
      </c>
    </row>
    <row r="29" ht="45.5" customHeight="1" spans="1:4">
      <c r="A29" s="584" t="s">
        <v>2541</v>
      </c>
      <c r="B29" s="585" t="s">
        <v>2644</v>
      </c>
      <c r="C29" s="584" t="s">
        <v>2645</v>
      </c>
    </row>
    <row r="30" ht="32" customHeight="1" spans="1:4">
      <c r="A30" s="584" t="s">
        <v>2541</v>
      </c>
      <c r="B30" s="585" t="s">
        <v>2646</v>
      </c>
      <c r="C30" s="584" t="s">
        <v>2647</v>
      </c>
    </row>
    <row r="31" ht="45.5" customHeight="1" spans="1:4">
      <c r="A31" s="584" t="s">
        <v>2541</v>
      </c>
      <c r="B31" s="585" t="s">
        <v>2648</v>
      </c>
      <c r="C31" s="584" t="s">
        <v>2649</v>
      </c>
    </row>
    <row r="32" ht="45.5" customHeight="1" spans="1:4">
      <c r="A32" s="584" t="s">
        <v>2541</v>
      </c>
      <c r="B32" s="585" t="s">
        <v>2650</v>
      </c>
      <c r="C32" s="584" t="s">
        <v>2651</v>
      </c>
    </row>
    <row r="33" ht="32" customHeight="1" spans="1:4">
      <c r="A33" s="584" t="s">
        <v>2542</v>
      </c>
      <c r="B33" s="585" t="s">
        <v>2652</v>
      </c>
      <c r="C33" s="584" t="s">
        <v>2653</v>
      </c>
    </row>
    <row r="34" ht="32" customHeight="1" spans="1:4">
      <c r="A34" s="584" t="s">
        <v>2542</v>
      </c>
      <c r="B34" s="585" t="s">
        <v>2654</v>
      </c>
      <c r="C34" s="584" t="s">
        <v>2655</v>
      </c>
    </row>
    <row r="35" ht="32" customHeight="1" spans="1:4">
      <c r="A35" s="584" t="s">
        <v>2542</v>
      </c>
      <c r="B35" s="585" t="s">
        <v>2418</v>
      </c>
      <c r="C35" s="584" t="s">
        <v>2656</v>
      </c>
    </row>
    <row r="36" ht="32" customHeight="1" spans="1:4">
      <c r="A36" s="584" t="s">
        <v>2542</v>
      </c>
      <c r="B36" s="585" t="s">
        <v>2657</v>
      </c>
      <c r="C36" s="584" t="s">
        <v>2658</v>
      </c>
    </row>
    <row r="37" ht="32" customHeight="1" spans="1:4">
      <c r="A37" s="584" t="s">
        <v>2542</v>
      </c>
      <c r="B37" s="585" t="s">
        <v>2659</v>
      </c>
      <c r="C37" s="584" t="s">
        <v>2660</v>
      </c>
    </row>
    <row r="38" ht="45.5" customHeight="1" spans="1:4">
      <c r="A38" s="584" t="s">
        <v>2542</v>
      </c>
      <c r="B38" s="585" t="s">
        <v>2661</v>
      </c>
      <c r="C38" s="584" t="s">
        <v>2662</v>
      </c>
    </row>
    <row r="39" ht="32" customHeight="1" spans="1:4">
      <c r="A39" s="584" t="s">
        <v>2542</v>
      </c>
      <c r="B39" s="585" t="s">
        <v>2663</v>
      </c>
      <c r="C39" s="584" t="s">
        <v>2664</v>
      </c>
    </row>
    <row r="40" ht="45.5" customHeight="1" spans="1:4">
      <c r="A40" s="584" t="s">
        <v>2542</v>
      </c>
      <c r="B40" s="585" t="s">
        <v>2665</v>
      </c>
      <c r="C40" s="584" t="s">
        <v>2666</v>
      </c>
    </row>
    <row r="41" ht="45.5" customHeight="1" spans="1:4">
      <c r="A41" s="584" t="s">
        <v>2542</v>
      </c>
      <c r="B41" s="585" t="s">
        <v>2667</v>
      </c>
      <c r="C41" s="584" t="s">
        <v>2668</v>
      </c>
    </row>
    <row r="42" ht="32" customHeight="1" spans="1:4">
      <c r="A42" s="584" t="s">
        <v>2542</v>
      </c>
      <c r="B42" s="585" t="s">
        <v>2669</v>
      </c>
      <c r="C42" s="584" t="s">
        <v>2670</v>
      </c>
    </row>
    <row r="43" ht="45.5" customHeight="1" spans="1:4">
      <c r="A43" s="584" t="s">
        <v>2543</v>
      </c>
      <c r="B43" s="585" t="s">
        <v>2671</v>
      </c>
      <c r="C43" s="584" t="s">
        <v>2672</v>
      </c>
    </row>
    <row r="44" ht="45.5" customHeight="1" spans="1:4">
      <c r="A44" s="584" t="s">
        <v>2543</v>
      </c>
      <c r="B44" s="585" t="s">
        <v>2673</v>
      </c>
      <c r="C44" s="584" t="s">
        <v>2674</v>
      </c>
    </row>
    <row r="45" ht="45.5" customHeight="1" spans="1:4">
      <c r="A45" s="584" t="s">
        <v>2543</v>
      </c>
      <c r="B45" s="585" t="s">
        <v>2675</v>
      </c>
      <c r="C45" s="584" t="s">
        <v>2676</v>
      </c>
    </row>
    <row r="46" ht="45.5" customHeight="1" spans="1:4">
      <c r="A46" s="584" t="s">
        <v>2543</v>
      </c>
      <c r="B46" s="585" t="s">
        <v>2677</v>
      </c>
      <c r="C46" s="584" t="s">
        <v>2678</v>
      </c>
    </row>
    <row r="47" ht="45.5" customHeight="1" spans="1:4">
      <c r="A47" s="584" t="s">
        <v>2543</v>
      </c>
      <c r="B47" s="585" t="s">
        <v>2679</v>
      </c>
      <c r="C47" s="584" t="s">
        <v>2680</v>
      </c>
    </row>
    <row r="48" ht="32" customHeight="1" spans="1:4">
      <c r="A48" s="584" t="s">
        <v>2544</v>
      </c>
      <c r="B48" s="585" t="s">
        <v>2681</v>
      </c>
      <c r="C48" s="584" t="s">
        <v>2682</v>
      </c>
    </row>
    <row r="49" ht="32" customHeight="1" spans="1:4">
      <c r="A49" s="584" t="s">
        <v>2544</v>
      </c>
      <c r="B49" s="585" t="s">
        <v>2683</v>
      </c>
      <c r="C49" s="584" t="s">
        <v>2684</v>
      </c>
    </row>
    <row r="50" ht="32" customHeight="1" spans="1:4">
      <c r="A50" s="584" t="s">
        <v>2545</v>
      </c>
      <c r="B50" s="585" t="s">
        <v>2685</v>
      </c>
      <c r="C50" s="584" t="s">
        <v>2686</v>
      </c>
    </row>
    <row r="51" ht="45.5" customHeight="1" spans="1:4">
      <c r="A51" s="584" t="s">
        <v>2545</v>
      </c>
      <c r="B51" s="585" t="s">
        <v>2687</v>
      </c>
      <c r="C51" s="584" t="s">
        <v>2688</v>
      </c>
    </row>
    <row r="52" ht="32" customHeight="1" spans="1:4">
      <c r="A52" s="584" t="s">
        <v>2545</v>
      </c>
      <c r="B52" s="585" t="s">
        <v>2689</v>
      </c>
      <c r="C52" s="584" t="s">
        <v>2690</v>
      </c>
    </row>
    <row r="53" ht="32" customHeight="1" spans="1:4">
      <c r="A53" s="584" t="s">
        <v>2545</v>
      </c>
      <c r="B53" s="585" t="s">
        <v>2691</v>
      </c>
      <c r="C53" s="584" t="s">
        <v>2692</v>
      </c>
    </row>
    <row r="54" ht="32" customHeight="1" spans="1:4">
      <c r="A54" s="584" t="s">
        <v>2545</v>
      </c>
      <c r="B54" s="585" t="s">
        <v>2693</v>
      </c>
      <c r="C54" s="584" t="inlineStr">
        <is>
          <t xml:space="preserve">速度每40千米/小时计10%致死；撞墙且无处跌落时翻倍。存活者体质×5，失败眩晕。载具冲撞按载具规则结算。</t>
        </is>
      </c>
    </row>
    <row r="55" ht="32" customHeight="1" spans="1:4">
      <c r="A55" s="584" t="s">
        <v>2545</v>
      </c>
      <c r="B55" s="585" t="s">
        <v>2694</v>
      </c>
      <c r="C55" s="584" t="s">
        <v>2695</v>
      </c>
    </row>
    <row r="56" ht="32" customHeight="1" spans="1:4">
      <c r="A56" s="584" t="s">
        <v>2545</v>
      </c>
      <c r="B56" s="585" t="s">
        <v>2696</v>
      </c>
      <c r="C56" s="584" t="s">
        <v>2697</v>
      </c>
    </row>
    <row r="57" ht="32" customHeight="1" spans="1:4">
      <c r="A57" s="584" t="s">
        <v>2546</v>
      </c>
      <c r="B57" s="585" t="s">
        <v>2698</v>
      </c>
      <c r="C57" s="584" t="s">
        <v>2699</v>
      </c>
    </row>
    <row r="58" ht="45.5" customHeight="1" spans="1:4">
      <c r="A58" s="584" t="s">
        <v>2546</v>
      </c>
      <c r="B58" s="585" t="s">
        <v>2700</v>
      </c>
      <c r="C58" s="584" t="s">
        <v>2701</v>
      </c>
    </row>
    <row r="59" ht="45.5" customHeight="1" spans="1:4">
      <c r="A59" s="584" t="s">
        <v>2546</v>
      </c>
      <c r="B59" s="585" t="s">
        <v>2702</v>
      </c>
      <c r="C59" s="584" t="s">
        <v>2703</v>
      </c>
    </row>
    <row r="60" ht="32" customHeight="1" spans="1:4">
      <c r="A60" s="584" t="s">
        <v>2546</v>
      </c>
      <c r="B60" s="585" t="s">
        <v>2704</v>
      </c>
      <c r="C60" s="584" t="s">
        <v>2705</v>
      </c>
    </row>
    <row r="61" ht="45.5" customHeight="1" spans="1:4">
      <c r="A61" s="584" t="s">
        <v>2546</v>
      </c>
      <c r="B61" s="585" t="s">
        <v>2706</v>
      </c>
      <c r="C61" s="584" t="s">
        <v>2707</v>
      </c>
    </row>
    <row r="62" ht="45.5" customHeight="1" spans="1:4">
      <c r="A62" s="584" t="s">
        <v>2546</v>
      </c>
      <c r="B62" s="585" t="s">
        <v>2708</v>
      </c>
      <c r="C62" s="584" t="s">
        <v>2709</v>
      </c>
    </row>
    <row r="63" ht="32" customHeight="1" spans="1:4">
      <c r="A63" s="584" t="s">
        <v>2546</v>
      </c>
      <c r="B63" s="585" t="s">
        <v>2710</v>
      </c>
      <c r="C63" s="584" t="s">
        <v>2711</v>
      </c>
    </row>
    <row r="64" ht="32" customHeight="1" spans="1:4">
      <c r="A64" s="584" t="s">
        <v>2546</v>
      </c>
      <c r="B64" s="585" t="s">
        <v>2712</v>
      </c>
      <c r="C64" s="584" t="s">
        <v>2713</v>
      </c>
    </row>
    <row r="65" ht="45.5" customHeight="1" spans="1:4">
      <c r="A65" s="584" t="s">
        <v>2546</v>
      </c>
      <c r="B65" s="585" t="s">
        <v>2714</v>
      </c>
      <c r="C65" s="584" t="s">
        <v>2715</v>
      </c>
    </row>
    <row r="66" ht="32" customHeight="1" spans="1:4">
      <c r="A66" s="584" t="s">
        <v>2547</v>
      </c>
      <c r="B66" s="585" t="s">
        <v>644</v>
      </c>
      <c r="C66" s="584" t="s">
        <v>2716</v>
      </c>
    </row>
    <row r="67" ht="32" customHeight="1" spans="1:4">
      <c r="A67" s="584" t="s">
        <v>2547</v>
      </c>
      <c r="B67" s="585" t="s">
        <v>651</v>
      </c>
      <c r="C67" s="584" t="s">
        <v>2717</v>
      </c>
    </row>
    <row r="68" ht="32" customHeight="1" spans="1:4">
      <c r="A68" s="584" t="s">
        <v>2547</v>
      </c>
      <c r="B68" s="585" t="s">
        <v>654</v>
      </c>
      <c r="C68" s="584" t="s">
        <v>2718</v>
      </c>
    </row>
    <row r="69" ht="32" customHeight="1" spans="1:4">
      <c r="A69" s="584" t="s">
        <v>2547</v>
      </c>
      <c r="B69" s="585" t="s">
        <v>121</v>
      </c>
      <c r="C69" s="584" t="s">
        <v>2719</v>
      </c>
    </row>
    <row r="70" ht="45.5" customHeight="1" spans="1:4">
      <c r="A70" s="584" t="s">
        <v>2547</v>
      </c>
      <c r="B70" s="585" t="s">
        <v>2720</v>
      </c>
      <c r="C70" s="584" t="inlineStr">
        <is>
          <t xml:space="preserve">创伤损失理智后，通常保留原崩溃点。例如初始理智60、崩溃点48；创伤后理智55，崩溃点仍为48。“人类不应知道之事”另行重置。</t>
        </is>
      </c>
    </row>
    <row r="71" ht="32" customHeight="1" spans="1:4">
      <c r="A71" s="584" t="s">
        <v>2548</v>
      </c>
      <c r="B71" s="585" t="s">
        <v>2721</v>
      </c>
      <c r="C71" s="584" t="inlineStr">
        <is>
          <t xml:space="preserve">武器栏自动带入基础数值；命中奖惩、配件效果与近战伤害加成仍按实际情景处理。</t>
        </is>
      </c>
    </row>
    <row r="72" ht="45.5" customHeight="1" spans="1:4">
      <c r="A72" s="584" t="s">
        <v>2548</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2549</v>
      </c>
      <c r="B73" s="587" t="s">
        <v>2722</v>
      </c>
      <c r="C73" s="586" t="s">
        <v>2723</v>
      </c>
    </row>
    <row r="74" ht="32" customHeight="1" spans="1:4">
      <c r="A74" s="588" t="s">
        <v>2549</v>
      </c>
      <c r="B74" s="589" t="s">
        <v>2722</v>
      </c>
      <c r="C74" s="588" t="s">
        <v>2724</v>
      </c>
    </row>
    <row r="75" ht="32" customHeight="1" spans="1:4">
      <c r="A75" s="586" t="s">
        <v>2549</v>
      </c>
      <c r="B75" s="587" t="s">
        <v>2722</v>
      </c>
      <c r="C75" s="586" t="s">
        <v>2725</v>
      </c>
    </row>
    <row r="76" ht="32" customHeight="1" spans="1:4">
      <c r="A76" s="588" t="s">
        <v>2549</v>
      </c>
      <c r="B76" s="589" t="s">
        <v>2722</v>
      </c>
      <c r="C76" s="588" t="s">
        <v>2726</v>
      </c>
    </row>
    <row r="77" ht="32" customHeight="1" spans="1:4">
      <c r="A77" s="586" t="s">
        <v>2549</v>
      </c>
      <c r="B77" s="587" t="s">
        <v>2722</v>
      </c>
      <c r="C77" s="586" t="s">
        <v>2727</v>
      </c>
    </row>
    <row r="78" ht="32" customHeight="1" spans="1:4">
      <c r="A78" s="588" t="s">
        <v>2549</v>
      </c>
      <c r="B78" s="589" t="s">
        <v>2722</v>
      </c>
      <c r="C78" s="588" t="s">
        <v>2728</v>
      </c>
    </row>
    <row r="79" ht="32" customHeight="1" spans="1:4">
      <c r="A79" s="586" t="s">
        <v>2549</v>
      </c>
      <c r="B79" s="587" t="s">
        <v>2722</v>
      </c>
      <c r="C79" s="586" t="s">
        <v>2729</v>
      </c>
    </row>
    <row r="80" ht="59" customHeight="1" spans="1:4">
      <c r="A80" s="588" t="s">
        <v>2549</v>
      </c>
      <c r="B80" s="589" t="s">
        <v>2722</v>
      </c>
      <c r="C80" s="588" t="s">
        <v>2730</v>
      </c>
    </row>
    <row r="81" ht="79" customHeight="1" spans="1:4">
      <c r="A81" s="586" t="s">
        <v>2549</v>
      </c>
      <c r="B81" s="587" t="s">
        <v>2722</v>
      </c>
      <c r="C81" s="586" t="s">
        <v>2731</v>
      </c>
    </row>
    <row r="82" ht="32" customHeight="1" spans="1:4">
      <c r="A82" s="588" t="s">
        <v>2549</v>
      </c>
      <c r="B82" s="589" t="s">
        <v>2722</v>
      </c>
      <c r="C82" s="588" t="s">
        <v>2732</v>
      </c>
    </row>
    <row r="83" ht="92.5" customHeight="1" spans="1:4">
      <c r="A83" s="586" t="s">
        <v>2549</v>
      </c>
      <c r="B83" s="587" t="s">
        <v>2722</v>
      </c>
      <c r="C83" s="586" t="s">
        <v>2733</v>
      </c>
    </row>
    <row r="84" ht="32" customHeight="1" spans="1:4">
      <c r="A84" s="588" t="s">
        <v>2549</v>
      </c>
      <c r="B84" s="589" t="s">
        <v>2734</v>
      </c>
      <c r="C84" s="588" t="s">
        <v>2735</v>
      </c>
    </row>
    <row r="85" ht="45.5" customHeight="1" spans="1:4">
      <c r="A85" s="586" t="s">
        <v>36</v>
      </c>
      <c r="B85" s="587" t="s">
        <v>2736</v>
      </c>
      <c r="C85" s="586" t="s">
        <v>2737</v>
      </c>
    </row>
    <row r="86" ht="45.5" customHeight="1" spans="1:4">
      <c r="A86" s="588" t="s">
        <v>36</v>
      </c>
      <c r="B86" s="589" t="s">
        <v>2736</v>
      </c>
      <c r="C86" s="588" t="s">
        <v>2738</v>
      </c>
    </row>
    <row r="87" ht="45.5" customHeight="1" spans="1:4">
      <c r="A87" s="586" t="s">
        <v>2550</v>
      </c>
      <c r="B87" s="587" t="s">
        <v>2739</v>
      </c>
      <c r="C87" s="586" t="s">
        <v>2740</v>
      </c>
    </row>
    <row r="88" ht="32" customHeight="1" spans="1:4">
      <c r="A88" s="588" t="s">
        <v>2550</v>
      </c>
      <c r="B88" s="589" t="s">
        <v>2741</v>
      </c>
      <c r="C88" s="588" t="s">
        <v>2742</v>
      </c>
    </row>
    <row r="89" ht="32" customHeight="1" spans="1:4">
      <c r="A89" s="586" t="s">
        <v>2550</v>
      </c>
      <c r="B89" s="587" t="s">
        <v>2743</v>
      </c>
      <c r="C89" s="586" t="s">
        <v>2744</v>
      </c>
    </row>
    <row r="90" ht="32" customHeight="1" spans="1:4">
      <c r="A90" s="588" t="s">
        <v>2550</v>
      </c>
      <c r="B90" s="589" t="s">
        <v>2745</v>
      </c>
      <c r="C90" s="588" t="s">
        <v>2746</v>
      </c>
    </row>
    <row r="91" ht="32" customHeight="1" spans="1:4">
      <c r="A91" s="586" t="s">
        <v>2550</v>
      </c>
      <c r="B91" s="587" t="s">
        <v>2626</v>
      </c>
      <c r="C91" s="586" t="inlineStr">
        <is>
          <t xml:space="preserve">立刻变得精疲力尽。</t>
        </is>
      </c>
    </row>
    <row r="92" ht="32" customHeight="1" spans="1:4">
      <c r="A92" s="588" t="s">
        <v>2550</v>
      </c>
      <c r="B92" s="589" t="s">
        <v>2747</v>
      </c>
      <c r="C92" s="588" t="s">
        <v>2748</v>
      </c>
    </row>
    <row r="93" ht="32" customHeight="1" spans="1:4">
      <c r="A93" s="586" t="s">
        <v>2550</v>
      </c>
      <c r="B93" s="587" t="s">
        <v>2749</v>
      </c>
      <c r="C93" s="586" t="s">
        <v>2750</v>
      </c>
    </row>
    <row r="94" ht="32" customHeight="1" spans="1:4">
      <c r="A94" s="588" t="s">
        <v>2538</v>
      </c>
      <c r="B94" s="589" t="s">
        <v>2751</v>
      </c>
      <c r="C94" s="588" t="s">
        <v>2752</v>
      </c>
    </row>
    <row r="95" ht="72.5" customHeight="1" spans="1:4">
      <c r="A95" s="586" t="s">
        <v>2538</v>
      </c>
      <c r="B95" s="587" t="s">
        <v>2753</v>
      </c>
      <c r="C95" s="586" t="s">
        <v>2754</v>
      </c>
    </row>
    <row r="96" ht="92.5" customHeight="1" spans="1:4">
      <c r="A96" s="588" t="s">
        <v>2538</v>
      </c>
      <c r="B96" s="589" t="s">
        <v>2755</v>
      </c>
      <c r="C96" s="588" t="s">
        <v>2756</v>
      </c>
    </row>
    <row r="97" ht="59" customHeight="1" spans="1:4">
      <c r="A97" s="586" t="s">
        <v>2538</v>
      </c>
      <c r="B97" s="587" t="s">
        <v>2757</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2551</v>
      </c>
      <c r="B98" s="589" t="s">
        <v>2758</v>
      </c>
      <c r="C98" s="588" t="s">
        <v>2759</v>
      </c>
    </row>
    <row r="99" ht="32" customHeight="1" spans="1:4">
      <c r="A99" s="586" t="s">
        <v>2552</v>
      </c>
      <c r="B99" s="587" t="s">
        <v>2760</v>
      </c>
      <c r="C99" s="586" t="s">
        <v>2761</v>
      </c>
    </row>
    <row r="100" ht="32" customHeight="1" spans="1:4">
      <c r="A100" s="588" t="s">
        <v>2552</v>
      </c>
      <c r="B100" s="589" t="s">
        <v>2762</v>
      </c>
      <c r="C100" s="588" t="s">
        <v>2763</v>
      </c>
    </row>
    <row r="101" ht="32" customHeight="1" spans="1:4">
      <c r="A101" s="586" t="s">
        <v>2553</v>
      </c>
      <c r="B101" s="587" t="s">
        <v>2764</v>
      </c>
      <c r="C101" s="586" t="s">
        <v>2765</v>
      </c>
    </row>
    <row r="102" ht="32" customHeight="1" spans="1:4">
      <c r="A102" s="588" t="s">
        <v>2553</v>
      </c>
      <c r="B102" s="589" t="s">
        <v>2766</v>
      </c>
      <c r="C102" s="588" t="s">
        <v>2767</v>
      </c>
    </row>
    <row r="103" ht="32" customHeight="1" spans="1:4">
      <c r="A103" s="586" t="s">
        <v>2553</v>
      </c>
      <c r="B103" s="587" t="s">
        <v>2768</v>
      </c>
      <c r="C103" s="586" t="s">
        <v>2769</v>
      </c>
    </row>
    <row r="104" ht="32" customHeight="1" spans="1:4">
      <c r="A104" s="588" t="s">
        <v>2553</v>
      </c>
      <c r="B104" s="589" t="s">
        <v>2770</v>
      </c>
      <c r="C104" s="588" t="s">
        <v>2771</v>
      </c>
    </row>
    <row r="105" ht="32" customHeight="1" spans="1:4">
      <c r="A105" s="586" t="s">
        <v>2554</v>
      </c>
      <c r="B105" s="587" t="s">
        <v>2772</v>
      </c>
      <c r="C105" s="586" t="s">
        <v>2773</v>
      </c>
    </row>
    <row r="106" ht="32" customHeight="1" spans="1:4">
      <c r="A106" s="588" t="s">
        <v>2554</v>
      </c>
      <c r="B106" s="589" t="s">
        <v>2774</v>
      </c>
      <c r="C106" s="588" t="s">
        <v>2775</v>
      </c>
    </row>
    <row r="107" ht="32" customHeight="1" spans="1:4">
      <c r="A107" s="586" t="s">
        <v>2554</v>
      </c>
      <c r="B107" s="587" t="s">
        <v>2776</v>
      </c>
      <c r="C107" s="586" t="s">
        <v>2777</v>
      </c>
    </row>
    <row r="108" ht="32" customHeight="1" spans="1:4">
      <c r="A108" s="588" t="s">
        <v>2554</v>
      </c>
      <c r="B108" s="589" t="s">
        <v>2778</v>
      </c>
      <c r="C108" s="588" t="s">
        <v>2779</v>
      </c>
    </row>
    <row r="109" ht="32" customHeight="1" spans="1:4">
      <c r="A109" s="586" t="s">
        <v>2555</v>
      </c>
      <c r="B109" s="587" t="s">
        <v>2780</v>
      </c>
      <c r="C109" s="586" t="s">
        <v>2781</v>
      </c>
    </row>
    <row r="110" ht="32" customHeight="1" spans="1:4">
      <c r="A110" s="588" t="s">
        <v>2555</v>
      </c>
      <c r="B110" s="589" t="s">
        <v>2782</v>
      </c>
      <c r="C110" s="588" t="s">
        <v>2783</v>
      </c>
    </row>
    <row r="111" ht="32" customHeight="1" spans="1:4">
      <c r="A111" s="586" t="s">
        <v>2555</v>
      </c>
      <c r="B111" s="587" t="s">
        <v>2784</v>
      </c>
      <c r="C111" s="586" t="s">
        <v>2785</v>
      </c>
    </row>
    <row r="112" ht="32" customHeight="1" spans="1:4">
      <c r="A112" s="588" t="s">
        <v>2555</v>
      </c>
      <c r="B112" s="589" t="s">
        <v>2786</v>
      </c>
      <c r="C112" s="588" t="s">
        <v>2777</v>
      </c>
    </row>
    <row r="113" ht="32" customHeight="1" spans="1:4">
      <c r="A113" s="586" t="s">
        <v>2555</v>
      </c>
      <c r="B113" s="587" t="s">
        <v>2787</v>
      </c>
      <c r="C113" s="586" t="s">
        <v>2788</v>
      </c>
    </row>
    <row r="114" ht="32" customHeight="1" spans="1:4">
      <c r="A114" s="588" t="s">
        <v>2555</v>
      </c>
      <c r="B114" s="589" t="s">
        <v>2789</v>
      </c>
      <c r="C114" s="588" t="s">
        <v>2790</v>
      </c>
    </row>
    <row r="115" ht="32" customHeight="1" spans="1:4">
      <c r="A115" s="586" t="s">
        <v>2556</v>
      </c>
      <c r="B115" s="587" t="s">
        <v>2791</v>
      </c>
      <c r="C115" s="586" t="s">
        <v>2792</v>
      </c>
    </row>
    <row r="116" ht="32" customHeight="1" spans="1:4">
      <c r="A116" s="588" t="s">
        <v>2556</v>
      </c>
      <c r="B116" s="589" t="s">
        <v>2793</v>
      </c>
      <c r="C116" s="588" t="s">
        <v>2794</v>
      </c>
    </row>
    <row r="117" ht="32" customHeight="1" spans="1:4">
      <c r="A117" s="586" t="s">
        <v>2556</v>
      </c>
      <c r="B117" s="587" t="s">
        <v>2795</v>
      </c>
      <c r="C117" s="586" t="s">
        <v>2796</v>
      </c>
    </row>
    <row r="118" ht="32" customHeight="1" spans="1:4">
      <c r="A118" s="588" t="s">
        <v>2556</v>
      </c>
      <c r="B118" s="589" t="s">
        <v>2797</v>
      </c>
      <c r="C118" s="588" t="s">
        <v>2798</v>
      </c>
    </row>
    <row r="119" ht="32" customHeight="1" spans="1:4">
      <c r="A119" s="586" t="s">
        <v>2556</v>
      </c>
      <c r="B119" s="587" t="s">
        <v>2799</v>
      </c>
      <c r="C119" s="586" t="s">
        <v>2800</v>
      </c>
    </row>
    <row r="120" ht="32" customHeight="1" spans="1:4">
      <c r="A120" s="588" t="s">
        <v>2557</v>
      </c>
      <c r="B120" s="589" t="s">
        <v>2801</v>
      </c>
      <c r="C120" s="588" t="s">
        <v>2759</v>
      </c>
    </row>
    <row r="121" ht="32" customHeight="1" spans="1:4">
      <c r="A121" s="586" t="s">
        <v>2557</v>
      </c>
      <c r="B121" s="587" t="s">
        <v>2802</v>
      </c>
      <c r="C121" s="586" t="s">
        <v>2767</v>
      </c>
    </row>
    <row r="122" ht="32" customHeight="1" spans="1:4">
      <c r="A122" s="588" t="s">
        <v>2557</v>
      </c>
      <c r="B122" s="589" t="s">
        <v>2803</v>
      </c>
      <c r="C122" s="588" t="s">
        <v>2804</v>
      </c>
    </row>
    <row r="123" ht="32" customHeight="1" spans="1:4">
      <c r="A123" s="586" t="s">
        <v>2557</v>
      </c>
      <c r="B123" s="587" t="s">
        <v>2805</v>
      </c>
      <c r="C123" s="586" t="s">
        <v>2806</v>
      </c>
    </row>
    <row r="124" ht="32" customHeight="1" spans="1:4">
      <c r="A124" s="588" t="s">
        <v>2557</v>
      </c>
      <c r="B124" s="589" t="s">
        <v>2807</v>
      </c>
      <c r="C124" s="588" t="s">
        <v>2808</v>
      </c>
    </row>
    <row r="125" ht="32" customHeight="1" spans="1:4">
      <c r="A125" s="586" t="s">
        <v>2557</v>
      </c>
      <c r="B125" s="587" t="s">
        <v>2809</v>
      </c>
      <c r="C125" s="586" t="s">
        <v>2763</v>
      </c>
    </row>
    <row r="126" ht="32" customHeight="1" spans="1:4">
      <c r="A126" s="588" t="s">
        <v>2557</v>
      </c>
      <c r="B126" s="589" t="s">
        <v>2810</v>
      </c>
      <c r="C126" s="588" t="s">
        <v>2773</v>
      </c>
    </row>
    <row r="127" ht="32" customHeight="1" spans="1:4">
      <c r="A127" s="586" t="s">
        <v>2557</v>
      </c>
      <c r="B127" s="587" t="s">
        <v>2811</v>
      </c>
      <c r="C127" s="586" t="s">
        <v>2777</v>
      </c>
    </row>
    <row r="128" ht="32" customHeight="1" spans="1:4">
      <c r="A128" s="588" t="s">
        <v>2558</v>
      </c>
      <c r="B128" s="589" t="s">
        <v>2812</v>
      </c>
      <c r="C128" s="588" t="s">
        <v>2813</v>
      </c>
    </row>
    <row r="129" ht="32" customHeight="1" spans="1:4">
      <c r="A129" s="586" t="s">
        <v>2558</v>
      </c>
      <c r="B129" s="587" t="s">
        <v>2814</v>
      </c>
      <c r="C129" s="586" t="s">
        <v>2773</v>
      </c>
    </row>
    <row r="130" ht="32" customHeight="1" spans="1:4">
      <c r="A130" s="588" t="s">
        <v>2558</v>
      </c>
      <c r="B130" s="589" t="s">
        <v>2815</v>
      </c>
      <c r="C130" s="588" t="s">
        <v>2816</v>
      </c>
    </row>
    <row r="131" ht="32" customHeight="1" spans="1:4">
      <c r="A131" s="586" t="s">
        <v>2558</v>
      </c>
      <c r="B131" s="587" t="s">
        <v>2817</v>
      </c>
      <c r="C131" s="586" t="s">
        <v>2773</v>
      </c>
    </row>
    <row r="132" ht="32" customHeight="1" spans="1:4">
      <c r="A132" s="588" t="s">
        <v>2558</v>
      </c>
      <c r="B132" s="589" t="s">
        <v>2818</v>
      </c>
      <c r="C132" s="588" t="s">
        <v>2819</v>
      </c>
    </row>
    <row r="133" ht="32" customHeight="1" spans="1:4">
      <c r="A133" s="586" t="s">
        <v>2558</v>
      </c>
      <c r="B133" s="587" t="s">
        <v>2820</v>
      </c>
      <c r="C133" s="586" t="s">
        <v>2806</v>
      </c>
    </row>
    <row r="134" ht="32" customHeight="1" spans="1:4">
      <c r="A134" s="588" t="s">
        <v>2558</v>
      </c>
      <c r="B134" s="589" t="s">
        <v>2821</v>
      </c>
      <c r="C134" s="588" t="s">
        <v>2822</v>
      </c>
    </row>
    <row r="135" ht="32" customHeight="1" spans="1:4">
      <c r="A135" s="586" t="s">
        <v>2558</v>
      </c>
      <c r="B135" s="587" t="s">
        <v>2823</v>
      </c>
      <c r="C135" s="586" t="s">
        <v>2822</v>
      </c>
    </row>
    <row r="136" ht="45.5" customHeight="1" spans="1:4">
      <c r="A136" s="588" t="s">
        <v>2558</v>
      </c>
      <c r="B136" s="589" t="s">
        <v>2824</v>
      </c>
      <c r="C136" s="588" t="s">
        <v>2825</v>
      </c>
    </row>
    <row r="137" ht="32" customHeight="1" spans="1:4">
      <c r="A137" s="586" t="s">
        <v>2559</v>
      </c>
      <c r="B137" s="587" t="s">
        <v>2826</v>
      </c>
      <c r="C137" s="586" t="s">
        <v>2827</v>
      </c>
    </row>
    <row r="138" ht="32" customHeight="1" spans="1:4">
      <c r="A138" s="588" t="s">
        <v>2559</v>
      </c>
      <c r="B138" s="589" t="s">
        <v>2828</v>
      </c>
      <c r="C138" s="588" t="s">
        <v>2829</v>
      </c>
    </row>
    <row r="139" ht="32" customHeight="1" spans="1:4">
      <c r="A139" s="586" t="s">
        <v>2560</v>
      </c>
      <c r="B139" s="587" t="s">
        <v>2830</v>
      </c>
      <c r="C139" s="586" t="s">
        <v>2773</v>
      </c>
    </row>
    <row r="140" ht="32" customHeight="1" spans="1:4">
      <c r="A140" s="588" t="s">
        <v>2560</v>
      </c>
      <c r="B140" s="589" t="s">
        <v>2831</v>
      </c>
      <c r="C140" s="588" t="s">
        <v>2832</v>
      </c>
    </row>
    <row r="141" ht="32" customHeight="1" spans="1:4">
      <c r="A141" s="586" t="s">
        <v>2560</v>
      </c>
      <c r="B141" s="587" t="s">
        <v>2833</v>
      </c>
      <c r="C141" s="586" t="s">
        <v>2834</v>
      </c>
    </row>
    <row r="142" ht="32" customHeight="1" spans="1:4">
      <c r="A142" s="588" t="s">
        <v>2560</v>
      </c>
      <c r="B142" s="589" t="s">
        <v>2835</v>
      </c>
      <c r="C142" s="588" t="s">
        <v>2836</v>
      </c>
    </row>
    <row r="143" ht="32" customHeight="1" spans="1:4">
      <c r="A143" s="586" t="s">
        <v>2560</v>
      </c>
      <c r="B143" s="587" t="s">
        <v>2837</v>
      </c>
      <c r="C143" s="586" t="s">
        <v>2777</v>
      </c>
    </row>
    <row r="144" ht="32" customHeight="1" spans="1:4">
      <c r="A144" s="588" t="s">
        <v>2561</v>
      </c>
      <c r="B144" s="589" t="s">
        <v>2838</v>
      </c>
      <c r="C144" s="588" t="s">
        <v>2839</v>
      </c>
    </row>
    <row r="145" ht="45.5" customHeight="1" spans="1:4">
      <c r="A145" s="586" t="s">
        <v>2561</v>
      </c>
      <c r="B145" s="587" t="s">
        <v>2840</v>
      </c>
      <c r="C145" s="586" t="s">
        <v>2841</v>
      </c>
    </row>
    <row r="146" ht="59" customHeight="1" spans="1:4">
      <c r="A146" s="588" t="s">
        <v>2561</v>
      </c>
      <c r="B146" s="589" t="s">
        <v>2842</v>
      </c>
      <c r="C146" s="588" t="s">
        <v>2843</v>
      </c>
    </row>
    <row r="147" ht="59" customHeight="1" spans="1:4">
      <c r="A147" s="586" t="s">
        <v>2561</v>
      </c>
      <c r="B147" s="587" t="s">
        <v>2844</v>
      </c>
      <c r="C147" s="586" t="s">
        <v>2845</v>
      </c>
    </row>
    <row r="148" ht="32" customHeight="1" spans="1:4">
      <c r="A148" s="588" t="s">
        <v>2561</v>
      </c>
      <c r="B148" s="589" t="s">
        <v>2846</v>
      </c>
      <c r="C148" s="588" t="s">
        <v>2847</v>
      </c>
    </row>
    <row r="149" ht="32" customHeight="1" spans="1:4">
      <c r="A149" s="586" t="s">
        <v>2562</v>
      </c>
      <c r="B149" s="587" t="s">
        <v>2848</v>
      </c>
      <c r="C149" s="586" t="s">
        <v>2849</v>
      </c>
    </row>
    <row r="150" ht="32" customHeight="1" spans="1:4">
      <c r="A150" s="588" t="s">
        <v>2562</v>
      </c>
      <c r="B150" s="589" t="s">
        <v>2850</v>
      </c>
      <c r="C150" s="588" t="s">
        <v>2851</v>
      </c>
    </row>
    <row r="151" ht="32" customHeight="1" spans="1:4">
      <c r="A151" s="586" t="s">
        <v>2562</v>
      </c>
      <c r="B151" s="587" t="s">
        <v>2852</v>
      </c>
      <c r="C151" s="586" t="s">
        <v>2853</v>
      </c>
    </row>
    <row r="152" ht="32" customHeight="1" spans="1:4">
      <c r="A152" s="588" t="s">
        <v>2562</v>
      </c>
      <c r="B152" s="589" t="s">
        <v>2472</v>
      </c>
      <c r="C152" s="588" t="s">
        <v>2854</v>
      </c>
    </row>
    <row r="153" ht="32" customHeight="1" spans="1:4">
      <c r="A153" s="586" t="s">
        <v>2563</v>
      </c>
      <c r="B153" s="587" t="s">
        <v>2855</v>
      </c>
      <c r="C153" s="586" t="s">
        <v>2856</v>
      </c>
    </row>
    <row r="154" ht="32" customHeight="1" spans="1:4">
      <c r="A154" s="588" t="s">
        <v>2563</v>
      </c>
      <c r="B154" s="589" t="inlineStr">
        <is>
          <t xml:space="preserve">防暴头盔</t>
        </is>
      </c>
      <c r="C154" s="588" t="s">
        <v>2857</v>
      </c>
    </row>
    <row r="155" ht="32" customHeight="1" spans="1:4">
      <c r="A155" s="586" t="s">
        <v>2563</v>
      </c>
      <c r="B155" s="587" t="s">
        <v>2858</v>
      </c>
      <c r="C155" s="586" t="s">
        <v>2856</v>
      </c>
    </row>
    <row r="156" ht="32" customHeight="1" spans="1:4">
      <c r="A156" s="588" t="s">
        <v>2563</v>
      </c>
      <c r="B156" s="589" t="inlineStr">
        <is>
          <t xml:space="preserve">凯夫拉尔头盔</t>
        </is>
      </c>
      <c r="C156" s="588" t="s">
        <v>2859</v>
      </c>
    </row>
    <row r="157" ht="32" customHeight="1" spans="1:4">
      <c r="A157" s="586" t="s">
        <v>2563</v>
      </c>
      <c r="B157" s="587" t="s">
        <v>2860</v>
      </c>
      <c r="C157" s="586" t="s">
        <v>2861</v>
      </c>
    </row>
    <row r="158" ht="32" customHeight="1" spans="1:4">
      <c r="A158" s="588" t="s">
        <v>2563</v>
      </c>
      <c r="B158" s="589" t="inlineStr">
        <is>
          <t xml:space="preserve">凯夫拉尔防弹背心</t>
        </is>
      </c>
      <c r="C158" s="588" t="s">
        <v>2862</v>
      </c>
    </row>
    <row r="159" ht="32" customHeight="1" spans="1:4">
      <c r="A159" s="586" t="s">
        <v>2563</v>
      </c>
      <c r="B159" s="587" t="s">
        <v>2863</v>
      </c>
      <c r="C159" s="586" t="s">
        <v>2864</v>
      </c>
    </row>
    <row r="160" ht="32" customHeight="1" spans="1:4">
      <c r="A160" s="588" t="s">
        <v>2563</v>
      </c>
      <c r="B160" s="589" t="inlineStr">
        <is>
          <t xml:space="preserve">增强凯夫拉尔防弹背心</t>
        </is>
      </c>
      <c r="C160" s="588" t="s">
        <v>2865</v>
      </c>
    </row>
    <row r="161" ht="32" customHeight="1" spans="1:4">
      <c r="A161" s="586" t="s">
        <v>2563</v>
      </c>
      <c r="B161" s="587" t="s">
        <v>2866</v>
      </c>
      <c r="C161" s="586" t="s">
        <v>2867</v>
      </c>
    </row>
    <row r="162" ht="32" customHeight="1" spans="1:4">
      <c r="A162" s="588" t="s">
        <v>2563</v>
      </c>
      <c r="B162" s="589" t="inlineStr">
        <is>
          <t xml:space="preserve">战术防弹衣</t>
        </is>
      </c>
      <c r="C162" s="588" t="s">
        <v>2868</v>
      </c>
    </row>
    <row r="163" ht="32" customHeight="1" spans="1:4">
      <c r="A163" s="586" t="s">
        <v>2563</v>
      </c>
      <c r="B163" s="587" t="s">
        <v>2869</v>
      </c>
      <c r="C163" s="586" t="s">
        <v>2870</v>
      </c>
    </row>
    <row r="164" ht="32" customHeight="1" spans="1:4">
      <c r="A164" s="588" t="s">
        <v>2563</v>
      </c>
      <c r="B164" s="589" t="inlineStr">
        <is>
          <t xml:space="preserve">防爆服</t>
        </is>
      </c>
      <c r="C164" s="588" t="s">
        <v>2871</v>
      </c>
    </row>
    <row r="165" ht="32" customHeight="1" spans="1:4">
      <c r="A165" s="586" t="s">
        <v>2564</v>
      </c>
      <c r="B165" s="587" t="s">
        <v>2872</v>
      </c>
      <c r="C165" s="586" t="s">
        <v>2873</v>
      </c>
    </row>
    <row r="166" ht="32" customHeight="1" spans="1:4">
      <c r="A166" s="588" t="s">
        <v>2564</v>
      </c>
      <c r="B166" s="589" t="s">
        <v>2874</v>
      </c>
      <c r="C166" s="588" t="s">
        <v>2875</v>
      </c>
    </row>
    <row r="167" ht="32" customHeight="1" spans="1:4">
      <c r="A167" s="586" t="s">
        <v>2564</v>
      </c>
      <c r="B167" s="587" t="s">
        <v>2876</v>
      </c>
      <c r="C167" s="586" t="s">
        <v>2877</v>
      </c>
    </row>
    <row r="168" ht="32" customHeight="1" spans="1:4">
      <c r="A168" s="588" t="s">
        <v>2564</v>
      </c>
      <c r="B168" s="589" t="s">
        <v>2878</v>
      </c>
      <c r="C168" s="588" t="s">
        <v>2879</v>
      </c>
    </row>
    <row r="169" ht="32" customHeight="1" spans="1:4">
      <c r="A169" s="586" t="s">
        <v>2564</v>
      </c>
      <c r="B169" s="587" t="s">
        <v>2880</v>
      </c>
      <c r="C169" s="586" t="s">
        <v>2881</v>
      </c>
    </row>
    <row r="170" ht="32" customHeight="1" spans="1:4">
      <c r="A170" s="588" t="s">
        <v>2564</v>
      </c>
      <c r="B170" s="589" t="s">
        <v>2882</v>
      </c>
      <c r="C170" s="588" t="s">
        <v>2883</v>
      </c>
    </row>
    <row r="171" ht="32" customHeight="1" spans="1:4">
      <c r="A171" s="586" t="s">
        <v>2564</v>
      </c>
      <c r="B171" s="587" t="s">
        <v>2884</v>
      </c>
      <c r="C171" s="586" t="s">
        <v>2885</v>
      </c>
    </row>
    <row r="172" ht="32" customHeight="1" spans="1:4">
      <c r="A172" s="588" t="s">
        <v>2564</v>
      </c>
      <c r="B172" s="589" t="s">
        <v>2886</v>
      </c>
      <c r="C172" s="588" t="s">
        <v>2887</v>
      </c>
    </row>
    <row r="173" ht="32" customHeight="1" spans="1:4">
      <c r="A173" s="586" t="s">
        <v>2564</v>
      </c>
      <c r="B173" s="587" t="s">
        <v>2888</v>
      </c>
      <c r="C173" s="586" t="s">
        <v>2889</v>
      </c>
    </row>
    <row r="174" ht="32" customHeight="1" spans="1:4">
      <c r="A174" s="588" t="s">
        <v>2564</v>
      </c>
      <c r="B174" s="589" t="s">
        <v>2890</v>
      </c>
      <c r="C174" s="588" t="s">
        <v>2891</v>
      </c>
    </row>
    <row r="175" ht="32" customHeight="1" spans="1:4">
      <c r="A175" s="586" t="s">
        <v>2564</v>
      </c>
      <c r="B175" s="587" t="s">
        <v>2892</v>
      </c>
      <c r="C175" s="586" t="s">
        <v>2893</v>
      </c>
    </row>
    <row r="176" ht="32" customHeight="1" spans="1:4">
      <c r="A176" s="588" t="s">
        <v>2565</v>
      </c>
      <c r="B176" s="589" t="s">
        <v>2894</v>
      </c>
      <c r="C176" s="588" t="s">
        <v>2895</v>
      </c>
    </row>
    <row r="177" ht="32" customHeight="1" spans="1:4">
      <c r="A177" s="586" t="s">
        <v>2565</v>
      </c>
      <c r="B177" s="587" t="s">
        <v>2896</v>
      </c>
      <c r="C177" s="586" t="s">
        <v>2897</v>
      </c>
    </row>
    <row r="178" ht="32" customHeight="1" spans="1:4">
      <c r="A178" s="588" t="s">
        <v>2565</v>
      </c>
      <c r="B178" s="589" t="s">
        <v>2898</v>
      </c>
      <c r="C178" s="588" t="s">
        <v>2899</v>
      </c>
    </row>
    <row r="179" ht="32" customHeight="1" spans="1:4">
      <c r="A179" s="586" t="s">
        <v>2565</v>
      </c>
      <c r="B179" s="587" t="s">
        <v>2900</v>
      </c>
      <c r="C179" s="586" t="s">
        <v>2901</v>
      </c>
    </row>
    <row r="180" ht="32" customHeight="1" spans="1:4">
      <c r="A180" s="588" t="s">
        <v>2566</v>
      </c>
      <c r="B180" s="589" t="s">
        <v>2902</v>
      </c>
      <c r="C180" s="588" t="s">
        <v>2903</v>
      </c>
    </row>
    <row r="181" ht="32" customHeight="1" spans="1:4">
      <c r="A181" s="586" t="s">
        <v>2566</v>
      </c>
      <c r="B181" s="587" t="s">
        <v>2904</v>
      </c>
      <c r="C181" s="586" t="s">
        <v>2901</v>
      </c>
    </row>
    <row r="182" ht="32" customHeight="1" spans="1:4">
      <c r="A182" s="588" t="s">
        <v>2566</v>
      </c>
      <c r="B182" s="589" t="s">
        <v>2905</v>
      </c>
      <c r="C182" s="588" t="s">
        <v>2906</v>
      </c>
    </row>
    <row r="183" ht="32" customHeight="1" spans="1:4">
      <c r="A183" s="586" t="s">
        <v>2566</v>
      </c>
      <c r="B183" s="587" t="s">
        <v>2907</v>
      </c>
      <c r="C183" s="586" t="s">
        <v>2908</v>
      </c>
    </row>
    <row r="184" ht="32" customHeight="1" spans="1:4">
      <c r="A184" s="588" t="s">
        <v>2566</v>
      </c>
      <c r="B184" s="589" t="s">
        <v>2909</v>
      </c>
      <c r="C184" s="588" t="s">
        <v>2910</v>
      </c>
    </row>
    <row r="185" ht="32" customHeight="1" spans="1:4">
      <c r="A185" s="586" t="s">
        <v>2566</v>
      </c>
      <c r="B185" s="587" t="s">
        <v>2911</v>
      </c>
      <c r="C185" s="586" t="s">
        <v>2912</v>
      </c>
    </row>
    <row r="186" ht="32" customHeight="1" spans="1:4">
      <c r="A186" s="588" t="s">
        <v>2567</v>
      </c>
      <c r="B186" s="589" t="s">
        <v>2913</v>
      </c>
      <c r="C186" s="588" t="s">
        <v>2914</v>
      </c>
    </row>
    <row r="187" ht="32" customHeight="1" spans="1:4">
      <c r="A187" s="586" t="s">
        <v>2567</v>
      </c>
      <c r="B187" s="587" t="s">
        <v>2915</v>
      </c>
      <c r="C187" s="586" t="s">
        <v>2916</v>
      </c>
    </row>
    <row r="188" ht="32" customHeight="1" spans="1:4">
      <c r="A188" s="588" t="s">
        <v>2567</v>
      </c>
      <c r="B188" s="589" t="s">
        <v>2917</v>
      </c>
      <c r="C188" s="588" t="s">
        <v>2918</v>
      </c>
    </row>
    <row r="189" ht="45.5" customHeight="1" spans="1:4">
      <c r="A189" s="586" t="s">
        <v>2567</v>
      </c>
      <c r="B189" s="587" t="s">
        <v>2919</v>
      </c>
      <c r="C189" s="586" t="s">
        <v>2920</v>
      </c>
    </row>
    <row r="190" ht="32" customHeight="1" spans="1:4">
      <c r="A190" s="588" t="s">
        <v>2567</v>
      </c>
      <c r="B190" s="589" t="s">
        <v>2921</v>
      </c>
      <c r="C190" s="588" t="s">
        <v>2922</v>
      </c>
    </row>
    <row r="191" ht="32" customHeight="1" spans="1:4">
      <c r="A191" s="586" t="s">
        <v>2567</v>
      </c>
      <c r="B191" s="587" t="s">
        <v>2923</v>
      </c>
      <c r="C191" s="586" t="s">
        <v>2924</v>
      </c>
    </row>
    <row r="192" ht="32" customHeight="1" spans="1:4">
      <c r="A192" s="588" t="s">
        <v>2567</v>
      </c>
      <c r="B192" s="589" t="s">
        <v>2925</v>
      </c>
      <c r="C192" s="588" t="s">
        <v>2926</v>
      </c>
    </row>
    <row r="193" ht="32" customHeight="1" spans="1:4">
      <c r="A193" s="586" t="s">
        <v>2567</v>
      </c>
      <c r="B193" s="587" t="s">
        <v>2927</v>
      </c>
      <c r="C193" s="586" t="s">
        <v>2928</v>
      </c>
    </row>
    <row r="194" ht="45.5" customHeight="1" spans="1:4">
      <c r="A194" s="588" t="s">
        <v>2568</v>
      </c>
      <c r="B194" s="589" t="s">
        <v>2411</v>
      </c>
      <c r="C194" s="588" t="s">
        <v>2929</v>
      </c>
    </row>
    <row r="195" ht="45.5" customHeight="1" spans="1:4">
      <c r="A195" s="586" t="s">
        <v>2568</v>
      </c>
      <c r="B195" s="587" t="s">
        <v>2463</v>
      </c>
      <c r="C195" s="586" t="s">
        <v>2930</v>
      </c>
    </row>
    <row r="196" ht="32" customHeight="1" spans="1:4">
      <c r="A196" s="588" t="s">
        <v>2568</v>
      </c>
      <c r="B196" s="589" t="s">
        <v>2472</v>
      </c>
      <c r="C196" s="588" t="s">
        <v>2931</v>
      </c>
    </row>
    <row r="197" ht="32" customHeight="1" spans="1:4">
      <c r="A197" s="586" t="s">
        <v>2568</v>
      </c>
      <c r="B197" s="587" t="s">
        <v>2498</v>
      </c>
      <c r="C197" s="586" t="s">
        <v>2932</v>
      </c>
    </row>
    <row r="198" ht="32" customHeight="1" spans="1:4">
      <c r="A198" s="588" t="s">
        <v>2568</v>
      </c>
      <c r="B198" s="589" t="inlineStr">
        <is>
          <t xml:space="preserve">极端</t>
        </is>
      </c>
      <c r="C198" s="588" t="s">
        <v>2933</v>
      </c>
    </row>
    <row r="199" ht="32" customHeight="1" spans="1:4">
      <c r="A199" s="586" t="s">
        <v>2568</v>
      </c>
      <c r="B199" s="587" t="inlineStr">
        <is>
          <t xml:space="preserve">极端</t>
        </is>
      </c>
      <c r="C199" s="586" t="s">
        <v>2934</v>
      </c>
    </row>
    <row r="200" ht="32" customHeight="1" spans="1:4">
      <c r="A200" s="588" t="s">
        <v>2569</v>
      </c>
      <c r="B200" s="589" t="s">
        <v>2389</v>
      </c>
      <c r="C200" s="588" t="s">
        <v>2935</v>
      </c>
    </row>
    <row r="201" ht="32" customHeight="1" spans="1:4">
      <c r="A201" s="586" t="s">
        <v>2569</v>
      </c>
      <c r="B201" s="587" t="s">
        <v>2394</v>
      </c>
      <c r="C201" s="586" t="s">
        <v>2936</v>
      </c>
    </row>
    <row r="202" ht="32" customHeight="1" spans="1:4">
      <c r="A202" s="588" t="s">
        <v>2569</v>
      </c>
      <c r="B202" s="589" t="s">
        <v>2397</v>
      </c>
      <c r="C202" s="588" t="s">
        <v>2937</v>
      </c>
    </row>
    <row r="203" ht="45.5" customHeight="1" spans="1:4">
      <c r="A203" s="586" t="s">
        <v>2569</v>
      </c>
      <c r="B203" s="587" t="inlineStr">
        <is>
          <t xml:space="preserve">绞具</t>
        </is>
      </c>
      <c r="C203" s="586" t="s">
        <v>2938</v>
      </c>
    </row>
    <row r="204" ht="32" customHeight="1" spans="1:4">
      <c r="A204" s="588" t="s">
        <v>2569</v>
      </c>
      <c r="B204" s="589" t="s">
        <v>63</v>
      </c>
      <c r="C204" s="588" t="s">
        <v>2939</v>
      </c>
    </row>
    <row r="205" ht="32" customHeight="1" spans="1:4">
      <c r="A205" s="586" t="s">
        <v>2569</v>
      </c>
      <c r="B205" s="587" t="s">
        <v>2400</v>
      </c>
      <c r="C205" s="586" t="s">
        <v>2940</v>
      </c>
    </row>
    <row r="206" ht="32" customHeight="1" spans="1:4">
      <c r="A206" s="588" t="s">
        <v>2569</v>
      </c>
      <c r="B206" s="589" t="s">
        <v>2401</v>
      </c>
      <c r="C206" s="588" t="s">
        <v>2941</v>
      </c>
    </row>
    <row r="207" ht="32" customHeight="1" spans="1:4">
      <c r="A207" s="586" t="s">
        <v>2569</v>
      </c>
      <c r="B207" s="587" t="s">
        <v>2403</v>
      </c>
      <c r="C207" s="586" t="s">
        <v>2942</v>
      </c>
    </row>
    <row r="208" ht="32" customHeight="1" spans="1:4">
      <c r="A208" s="588" t="s">
        <v>2569</v>
      </c>
      <c r="B208" s="589" t="s">
        <v>2404</v>
      </c>
      <c r="C208" s="588" t="s">
        <v>2943</v>
      </c>
    </row>
    <row r="209" ht="32" customHeight="1" spans="1:4">
      <c r="A209" s="586" t="s">
        <v>2569</v>
      </c>
      <c r="B209" s="587" t="s">
        <v>2406</v>
      </c>
      <c r="C209" s="586" t="s">
        <v>2943</v>
      </c>
    </row>
    <row r="210" ht="32" customHeight="1" spans="1:4">
      <c r="A210" s="588" t="s">
        <v>2569</v>
      </c>
      <c r="B210" s="589" t="s">
        <v>2407</v>
      </c>
      <c r="C210" s="588" t="s">
        <v>2944</v>
      </c>
    </row>
    <row r="211" ht="32" customHeight="1" spans="1:4">
      <c r="A211" s="586" t="s">
        <v>2569</v>
      </c>
      <c r="B211" s="587" t="s">
        <v>2408</v>
      </c>
      <c r="C211" s="586" t="s">
        <v>2945</v>
      </c>
    </row>
    <row r="212" ht="32" customHeight="1" spans="1:4">
      <c r="A212" s="588" t="s">
        <v>2569</v>
      </c>
      <c r="B212" s="589" t="s">
        <v>2410</v>
      </c>
      <c r="C212" s="588" t="s">
        <v>2946</v>
      </c>
    </row>
    <row r="213" ht="32" customHeight="1" spans="1:4">
      <c r="A213" s="586" t="s">
        <v>2569</v>
      </c>
      <c r="B213" s="587" t="s">
        <v>2412</v>
      </c>
      <c r="C213" s="586" t="s">
        <v>2947</v>
      </c>
    </row>
    <row r="214" ht="32" customHeight="1" spans="1:4">
      <c r="A214" s="588" t="s">
        <v>2569</v>
      </c>
      <c r="B214" s="589" t="inlineStr">
        <is>
          <t xml:space="preserve">双手剑</t>
        </is>
      </c>
      <c r="C214" s="588" t="s">
        <v>2414</v>
      </c>
    </row>
    <row r="215" ht="32" customHeight="1" spans="1:4">
      <c r="A215" s="586" t="s">
        <v>2570</v>
      </c>
      <c r="B215" s="587" t="s">
        <v>2415</v>
      </c>
      <c r="C215" s="586" t="s">
        <v>2948</v>
      </c>
    </row>
    <row r="216" ht="32" customHeight="1" spans="1:4">
      <c r="A216" s="588" t="s">
        <v>2570</v>
      </c>
      <c r="B216" s="589" t="s">
        <v>2422</v>
      </c>
      <c r="C216" s="588" t="s">
        <v>2949</v>
      </c>
    </row>
    <row r="217" ht="32" customHeight="1" spans="1:4">
      <c r="A217" s="586" t="s">
        <v>2570</v>
      </c>
      <c r="B217" s="587" t="s">
        <v>2425</v>
      </c>
      <c r="C217" s="586" t="s">
        <v>2950</v>
      </c>
    </row>
    <row r="218" ht="32" customHeight="1" spans="1:4">
      <c r="A218" s="588" t="s">
        <v>2570</v>
      </c>
      <c r="B218" s="589" t="inlineStr">
        <is>
          <t xml:space="preserve">投掷用催泪瓦斯手雷</t>
        </is>
      </c>
      <c r="C218" s="588" t="s">
        <v>2951</v>
      </c>
    </row>
    <row r="219" ht="32" customHeight="1" spans="1:4">
      <c r="A219" s="586" t="s">
        <v>2570</v>
      </c>
      <c r="B219" s="587" t="s">
        <v>2429</v>
      </c>
      <c r="C219" s="586" t="s">
        <v>2952</v>
      </c>
    </row>
    <row r="220" ht="32" customHeight="1" spans="1:4">
      <c r="A220" s="588" t="s">
        <v>2570</v>
      </c>
      <c r="B220" s="589" t="inlineStr">
        <is>
          <t xml:space="preserve">发射用催泪瓦斯爆弹</t>
        </is>
      </c>
      <c r="C220" s="588" t="s">
        <v>2953</v>
      </c>
    </row>
    <row r="221" ht="32" customHeight="1" spans="1:4">
      <c r="A221" s="586" t="s">
        <v>2571</v>
      </c>
      <c r="B221" s="587" t="s">
        <v>2432</v>
      </c>
      <c r="C221" s="586" t="s">
        <v>2954</v>
      </c>
    </row>
    <row r="222" ht="32" customHeight="1" spans="1:4">
      <c r="A222" s="588" t="s">
        <v>2571</v>
      </c>
      <c r="B222" s="589" t="inlineStr">
        <is>
          <t xml:space="preserve">投掷用闪光弹</t>
        </is>
      </c>
      <c r="C222" s="588" t="s">
        <v>2955</v>
      </c>
    </row>
    <row r="223" ht="32" customHeight="1" spans="1:4">
      <c r="A223" s="586" t="s">
        <v>2571</v>
      </c>
      <c r="B223" s="587" t="s">
        <v>2434</v>
      </c>
      <c r="C223" s="586" t="s">
        <v>2956</v>
      </c>
    </row>
    <row r="224" ht="32" customHeight="1" spans="1:4">
      <c r="A224" s="588" t="s">
        <v>2571</v>
      </c>
      <c r="B224" s="589" t="inlineStr">
        <is>
          <t xml:space="preserve">发射用闪光弹</t>
        </is>
      </c>
      <c r="C224" s="588" t="s">
        <v>2957</v>
      </c>
    </row>
    <row r="225" ht="32" customHeight="1" spans="1:4">
      <c r="A225" s="586" t="s">
        <v>2572</v>
      </c>
      <c r="B225" s="587" t="s">
        <v>2436</v>
      </c>
      <c r="C225" s="586" t="s">
        <v>2958</v>
      </c>
    </row>
    <row r="226" ht="32" customHeight="1" spans="1:4">
      <c r="A226" s="588" t="s">
        <v>2572</v>
      </c>
      <c r="B226" s="589" t="s">
        <v>2438</v>
      </c>
      <c r="C226" s="588" t="s">
        <v>2959</v>
      </c>
    </row>
    <row r="227" ht="32" customHeight="1" spans="1:4">
      <c r="A227" s="586" t="s">
        <v>2572</v>
      </c>
      <c r="B227" s="587" t="s">
        <v>2439</v>
      </c>
      <c r="C227" s="586" t="s">
        <v>2960</v>
      </c>
    </row>
    <row r="228" ht="32" customHeight="1" spans="1:4">
      <c r="A228" s="588" t="s">
        <v>2572</v>
      </c>
      <c r="B228" s="589" t="inlineStr">
        <is>
          <t xml:space="preserve">投射式电击枪</t>
        </is>
      </c>
      <c r="C228" s="588" t="s">
        <v>2414</v>
      </c>
    </row>
    <row r="229" ht="32" customHeight="1" spans="1:4">
      <c r="A229" s="586" t="s">
        <v>2573</v>
      </c>
      <c r="B229" s="587" t="s">
        <v>2442</v>
      </c>
      <c r="C229" s="586" t="s">
        <v>2961</v>
      </c>
    </row>
    <row r="230" ht="32" customHeight="1" spans="1:4">
      <c r="A230" s="588" t="s">
        <v>2573</v>
      </c>
      <c r="B230" s="589" t="inlineStr">
        <is>
          <t xml:space="preserve">轻型手枪</t>
        </is>
      </c>
      <c r="C230" s="588" t="s">
        <v>2962</v>
      </c>
    </row>
    <row r="231" ht="32" customHeight="1" spans="1:4">
      <c r="A231" s="586" t="s">
        <v>2573</v>
      </c>
      <c r="B231" s="587" t="s">
        <v>2444</v>
      </c>
      <c r="C231" s="586" t="s">
        <v>2963</v>
      </c>
    </row>
    <row r="232" ht="32" customHeight="1" spans="1:4">
      <c r="A232" s="588" t="s">
        <v>2573</v>
      </c>
      <c r="B232" s="589" t="inlineStr">
        <is>
          <t xml:space="preserve">中型手枪</t>
        </is>
      </c>
      <c r="C232" s="588" t="s">
        <v>2964</v>
      </c>
    </row>
    <row r="233" ht="32" customHeight="1" spans="1:4">
      <c r="A233" s="586" t="s">
        <v>2573</v>
      </c>
      <c r="B233" s="587" t="s">
        <v>2446</v>
      </c>
      <c r="C233" s="586" t="s">
        <v>2965</v>
      </c>
    </row>
    <row r="234" ht="32" customHeight="1" spans="1:4">
      <c r="A234" s="588" t="s">
        <v>2573</v>
      </c>
      <c r="B234" s="589" t="inlineStr">
        <is>
          <t xml:space="preserve">重型手枪</t>
        </is>
      </c>
      <c r="C234" s="588" t="s">
        <v>2966</v>
      </c>
    </row>
    <row r="235" ht="32" customHeight="1" spans="1:4">
      <c r="A235" s="586" t="s">
        <v>2573</v>
      </c>
      <c r="B235" s="587" t="s">
        <v>2447</v>
      </c>
      <c r="C235" s="586" t="s">
        <v>2967</v>
      </c>
    </row>
    <row r="236" ht="45.5" customHeight="1" spans="1:4">
      <c r="A236" s="588" t="s">
        <v>2573</v>
      </c>
      <c r="B236" s="589" t="inlineStr">
        <is>
          <t xml:space="preserve">霰弹枪（独头弹）</t>
        </is>
      </c>
      <c r="C236" s="588" t="s">
        <v>2968</v>
      </c>
    </row>
    <row r="237" ht="32" customHeight="1" spans="1:4">
      <c r="A237" s="586" t="s">
        <v>2573</v>
      </c>
      <c r="B237" s="587" t="s">
        <v>2451</v>
      </c>
      <c r="C237" s="586" t="s">
        <v>2969</v>
      </c>
    </row>
    <row r="238" ht="32" customHeight="1" spans="1:4">
      <c r="A238" s="588" t="s">
        <v>2573</v>
      </c>
      <c r="B238" s="589" t="inlineStr">
        <is>
          <t xml:space="preserve">霰弹枪（霰弹弹丸）</t>
        </is>
      </c>
      <c r="C238" s="588" t="s">
        <v>2970</v>
      </c>
    </row>
    <row r="239" ht="32" customHeight="1" spans="1:4">
      <c r="A239" s="586" t="s">
        <v>2573</v>
      </c>
      <c r="B239" s="587" t="s">
        <v>2453</v>
      </c>
      <c r="C239" s="586" t="s">
        <v>2971</v>
      </c>
    </row>
    <row r="240" ht="32" customHeight="1" spans="1:4">
      <c r="A240" s="588" t="s">
        <v>2573</v>
      </c>
      <c r="B240" s="589" t="s">
        <v>2456</v>
      </c>
      <c r="C240" s="588" t="s">
        <v>2972</v>
      </c>
    </row>
    <row r="241" ht="45.5" customHeight="1" spans="1:4">
      <c r="A241" s="586" t="s">
        <v>2573</v>
      </c>
      <c r="B241" s="587" t="inlineStr">
        <is>
          <t xml:space="preserve">轻型步枪或卡宾枪</t>
        </is>
      </c>
      <c r="C241" s="586" t="s">
        <v>2973</v>
      </c>
    </row>
    <row r="242" ht="32" customHeight="1" spans="1:4">
      <c r="A242" s="588" t="s">
        <v>2573</v>
      </c>
      <c r="B242" s="589" t="s">
        <v>2460</v>
      </c>
      <c r="C242" s="588" t="s">
        <v>2974</v>
      </c>
    </row>
    <row r="243" ht="45.5" customHeight="1" spans="1:4">
      <c r="A243" s="586" t="s">
        <v>2573</v>
      </c>
      <c r="B243" s="587" t="inlineStr">
        <is>
          <t xml:space="preserve">冲锋枪（SMG）</t>
        </is>
      </c>
      <c r="C243" s="586" t="s">
        <v>2975</v>
      </c>
    </row>
    <row r="244" ht="32" customHeight="1" spans="1:4">
      <c r="A244" s="588" t="s">
        <v>2573</v>
      </c>
      <c r="B244" s="589" t="s">
        <v>2464</v>
      </c>
      <c r="C244" s="588" t="s">
        <v>2976</v>
      </c>
    </row>
    <row r="245" ht="45.5" customHeight="1" spans="1:4">
      <c r="A245" s="586" t="s">
        <v>2573</v>
      </c>
      <c r="B245" s="587" t="inlineStr">
        <is>
          <t xml:space="preserve">重型步枪</t>
        </is>
      </c>
      <c r="C245" s="586" t="s">
        <v>2977</v>
      </c>
    </row>
    <row r="246" ht="32" customHeight="1" spans="1:4">
      <c r="A246" s="588" t="s">
        <v>2573</v>
      </c>
      <c r="B246" s="589" t="s">
        <v>2469</v>
      </c>
      <c r="C246" s="588" t="s">
        <v>2978</v>
      </c>
    </row>
    <row r="247" ht="32" customHeight="1" spans="1:4">
      <c r="A247" s="586" t="s">
        <v>2573</v>
      </c>
      <c r="B247" s="587" t="inlineStr">
        <is>
          <t xml:space="preserve">超重型步枪</t>
        </is>
      </c>
      <c r="C247" s="586" t="s">
        <v>2979</v>
      </c>
    </row>
    <row r="248" ht="32" customHeight="1" spans="1:4">
      <c r="A248" s="588" t="s">
        <v>113</v>
      </c>
      <c r="B248" s="589" t="s">
        <v>2473</v>
      </c>
      <c r="C248" s="588" t="s">
        <v>2980</v>
      </c>
    </row>
    <row r="249" ht="32" customHeight="1" spans="1:4">
      <c r="A249" s="586" t="s">
        <v>113</v>
      </c>
      <c r="B249" s="587" t="inlineStr">
        <is>
          <t xml:space="preserve">手榴弹</t>
        </is>
      </c>
      <c r="C249" s="586" t="s">
        <v>2981</v>
      </c>
    </row>
    <row r="250" ht="32" customHeight="1" spans="1:4">
      <c r="A250" s="588" t="s">
        <v>113</v>
      </c>
      <c r="B250" s="589" t="s">
        <v>2475</v>
      </c>
      <c r="C250" s="588" t="s">
        <v>2982</v>
      </c>
    </row>
    <row r="251" ht="32" customHeight="1" spans="1:4">
      <c r="A251" s="586" t="s">
        <v>113</v>
      </c>
      <c r="B251" s="587" t="inlineStr">
        <is>
          <t xml:space="preserve">火箭推进榴弹发射器（RPG）</t>
        </is>
      </c>
      <c r="C251" s="586" t="s">
        <v>2983</v>
      </c>
    </row>
    <row r="252" ht="32" customHeight="1" spans="1:4">
      <c r="A252" s="588" t="s">
        <v>113</v>
      </c>
      <c r="B252" s="589" t="s">
        <v>2479</v>
      </c>
      <c r="C252" s="588" t="s">
        <v>2984</v>
      </c>
    </row>
    <row r="253" ht="32" customHeight="1" spans="1:4">
      <c r="A253" s="586" t="s">
        <v>113</v>
      </c>
      <c r="B253" s="587" t="inlineStr">
        <is>
          <t xml:space="preserve">手持式喷火器</t>
        </is>
      </c>
      <c r="C253" s="586" t="s">
        <v>2985</v>
      </c>
    </row>
    <row r="254" ht="32" customHeight="1" spans="1:4">
      <c r="A254" s="588" t="s">
        <v>113</v>
      </c>
      <c r="B254" s="589" t="s">
        <v>2482</v>
      </c>
      <c r="C254" s="588" t="s">
        <v>2986</v>
      </c>
    </row>
    <row r="255" ht="32" customHeight="1" spans="1:4">
      <c r="A255" s="586" t="s">
        <v>113</v>
      </c>
      <c r="B255" s="587" t="inlineStr">
        <is>
          <t xml:space="preserve">军用喷火器</t>
        </is>
      </c>
      <c r="C255" s="586" t="s">
        <v>2987</v>
      </c>
    </row>
    <row r="256" ht="45.5" customHeight="1" spans="1:4">
      <c r="A256" s="588" t="s">
        <v>113</v>
      </c>
      <c r="B256" s="589" t="s">
        <v>2988</v>
      </c>
      <c r="C256" s="588" t="s">
        <v>2989</v>
      </c>
    </row>
    <row r="257" ht="32" customHeight="1" spans="1:4">
      <c r="A257" s="586" t="s">
        <v>113</v>
      </c>
      <c r="B257" s="587" t="inlineStr">
        <is>
          <t xml:space="preserve">通用机关枪（GPMP）</t>
        </is>
      </c>
      <c r="C257" s="586" t="s">
        <v>2990</v>
      </c>
    </row>
    <row r="258" ht="32" customHeight="1" spans="1:4">
      <c r="A258" s="588" t="s">
        <v>113</v>
      </c>
      <c r="B258" s="589" t="s">
        <v>2488</v>
      </c>
      <c r="C258" s="588" t="s">
        <v>2991</v>
      </c>
    </row>
    <row r="259" ht="32" customHeight="1" spans="1:4">
      <c r="A259" s="586" t="s">
        <v>113</v>
      </c>
      <c r="B259" s="587" t="inlineStr">
        <is>
          <t xml:space="preserve">榴弹发射器（GL）</t>
        </is>
      </c>
      <c r="C259" s="586" t="s">
        <v>2992</v>
      </c>
    </row>
    <row r="260" ht="32" customHeight="1" spans="1:4">
      <c r="A260" s="588" t="s">
        <v>113</v>
      </c>
      <c r="B260" s="589" t="s">
        <v>2490</v>
      </c>
      <c r="C260" s="588" t="s">
        <v>2993</v>
      </c>
    </row>
    <row r="261" ht="32" customHeight="1" spans="1:4">
      <c r="A261" s="586" t="s">
        <v>113</v>
      </c>
      <c r="B261" s="587" t="inlineStr">
        <is>
          <t xml:space="preserve">榴弹炮机关枪</t>
        </is>
      </c>
      <c r="C261" s="586" t="s">
        <v>2994</v>
      </c>
    </row>
    <row r="262" ht="45.5" customHeight="1" spans="1:4">
      <c r="A262" s="588" t="s">
        <v>2574</v>
      </c>
      <c r="B262" s="589" t="s">
        <v>2493</v>
      </c>
      <c r="C262" s="588" t="s">
        <v>2995</v>
      </c>
    </row>
    <row r="263" ht="32" customHeight="1" spans="1:4">
      <c r="A263" s="586" t="s">
        <v>2574</v>
      </c>
      <c r="B263" s="587" t="inlineStr">
        <is>
          <t xml:space="preserve">重型机关枪（HMG）</t>
        </is>
      </c>
      <c r="C263" s="586" t="s">
        <v>2996</v>
      </c>
    </row>
    <row r="264" ht="45.5" customHeight="1" spans="1:4">
      <c r="A264" s="588" t="s">
        <v>2574</v>
      </c>
      <c r="B264" s="589" t="s">
        <v>2496</v>
      </c>
      <c r="C264" s="588" t="s">
        <v>2997</v>
      </c>
    </row>
    <row r="265" ht="32" customHeight="1" spans="1:4">
      <c r="A265" s="586" t="s">
        <v>2574</v>
      </c>
      <c r="B265" s="587" t="inlineStr">
        <is>
          <t xml:space="preserve">轻型机关枪（LMG）</t>
        </is>
      </c>
      <c r="C265" s="586" t="s">
        <v>2998</v>
      </c>
    </row>
    <row r="266" ht="32" customHeight="1" spans="1:4">
      <c r="A266" s="588" t="s">
        <v>2574</v>
      </c>
      <c r="B266" s="589" t="s">
        <v>2497</v>
      </c>
      <c r="C266" s="588" t="s">
        <v>2999</v>
      </c>
    </row>
    <row r="267" ht="32" customHeight="1" spans="1:4">
      <c r="A267" s="586" t="s">
        <v>2574</v>
      </c>
      <c r="B267" s="587" t="inlineStr">
        <is>
          <t xml:space="preserve">自动火炮</t>
        </is>
      </c>
      <c r="C267" s="586" t="s">
        <v>3000</v>
      </c>
    </row>
    <row r="268" ht="32" customHeight="1" spans="1:4">
      <c r="A268" s="588" t="s">
        <v>2574</v>
      </c>
      <c r="B268" s="589" t="s">
        <v>2499</v>
      </c>
      <c r="C268" s="588" t="s">
        <v>3001</v>
      </c>
    </row>
    <row r="269" ht="32" customHeight="1" spans="1:4">
      <c r="A269" s="586" t="s">
        <v>2574</v>
      </c>
      <c r="B269" s="587" t="inlineStr">
        <is>
          <t xml:space="preserve">转轮机枪/机炮</t>
        </is>
      </c>
      <c r="C269" s="586" t="s">
        <v>3002</v>
      </c>
    </row>
    <row r="270" ht="32" customHeight="1" spans="1:4">
      <c r="A270" s="588" t="s">
        <v>2575</v>
      </c>
      <c r="B270" s="589" t="s">
        <v>2502</v>
      </c>
      <c r="C270" s="588" t="s">
        <v>3003</v>
      </c>
    </row>
    <row r="271" ht="32" customHeight="1" spans="1:4">
      <c r="A271" s="586" t="s">
        <v>2575</v>
      </c>
      <c r="B271" s="587" t="inlineStr">
        <is>
          <t xml:space="preserve">铵油炸药</t>
        </is>
      </c>
      <c r="C271" s="586" t="s">
        <v>3004</v>
      </c>
    </row>
    <row r="272" ht="32" customHeight="1" spans="1:4">
      <c r="A272" s="588" t="s">
        <v>2575</v>
      </c>
      <c r="B272" s="589" t="s">
        <v>2503</v>
      </c>
      <c r="C272" s="588" t="s">
        <v>3005</v>
      </c>
    </row>
    <row r="273" ht="32" customHeight="1" spans="1:4">
      <c r="A273" s="586" t="s">
        <v>2575</v>
      </c>
      <c r="B273" s="587" t="inlineStr">
        <is>
          <t xml:space="preserve">C4 塑胶炸药包，570 克。</t>
        </is>
      </c>
      <c r="C273" s="586" t="s">
        <v>3006</v>
      </c>
    </row>
    <row r="274" ht="32" customHeight="1" spans="1:4">
      <c r="A274" s="588" t="s">
        <v>2575</v>
      </c>
      <c r="B274" s="589" t="s">
        <v>2504</v>
      </c>
      <c r="C274" s="588" t="s">
        <v>3007</v>
      </c>
    </row>
    <row r="275" ht="32" customHeight="1" spans="1:4">
      <c r="A275" s="586" t="s">
        <v>2575</v>
      </c>
      <c r="B275" s="587" t="inlineStr">
        <is>
          <t xml:space="preserve">简易爆炸装置（IED）</t>
        </is>
      </c>
      <c r="C275" s="586" t="s">
        <v>3008</v>
      </c>
    </row>
    <row r="276" ht="32" customHeight="1" spans="1:4">
      <c r="A276" s="588" t="s">
        <v>2575</v>
      </c>
      <c r="B276" s="589" t="s">
        <v>2506</v>
      </c>
      <c r="C276" s="588" t="s">
        <v>3009</v>
      </c>
    </row>
    <row r="277" ht="32" customHeight="1" spans="1:4">
      <c r="A277" s="586" t="s">
        <v>2575</v>
      </c>
      <c r="B277" s="587" t="inlineStr">
        <is>
          <t xml:space="preserve">大型简易爆炸装置（大型 IED）</t>
        </is>
      </c>
      <c r="C277" s="586" t="s">
        <v>3010</v>
      </c>
    </row>
    <row r="278" ht="32" customHeight="1" spans="1:4">
      <c r="A278" s="588" t="s">
        <v>2575</v>
      </c>
      <c r="B278" s="589" t="s">
        <v>2508</v>
      </c>
      <c r="C278" s="588" t="s">
        <v>3011</v>
      </c>
    </row>
    <row r="279" ht="32" customHeight="1" spans="1:4">
      <c r="A279" s="586" t="s">
        <v>2575</v>
      </c>
      <c r="B279" s="587" t="inlineStr">
        <is>
          <t xml:space="preserve">重型反坦克地雷</t>
        </is>
      </c>
      <c r="C279" s="586" t="s">
        <v>3012</v>
      </c>
    </row>
    <row r="280" ht="32" customHeight="1" spans="1:4">
      <c r="A280" s="588" t="s">
        <v>2524</v>
      </c>
      <c r="B280" s="589" t="s">
        <v>2510</v>
      </c>
      <c r="C280" s="588" t="s">
        <v>3013</v>
      </c>
    </row>
    <row r="281" ht="32" customHeight="1" spans="1:4">
      <c r="A281" s="586" t="s">
        <v>2524</v>
      </c>
      <c r="B281" s="587" t="inlineStr">
        <is>
          <t xml:space="preserve">通用炸弹</t>
        </is>
      </c>
      <c r="C281" s="586" t="s">
        <v>3014</v>
      </c>
    </row>
    <row r="282" ht="32" customHeight="1" spans="1:4">
      <c r="A282" s="588" t="s">
        <v>2524</v>
      </c>
      <c r="B282" s="589" t="s">
        <v>2515</v>
      </c>
      <c r="C282" s="588" t="s">
        <v>3015</v>
      </c>
    </row>
    <row r="283" ht="32" customHeight="1" spans="1:4">
      <c r="A283" s="586" t="s">
        <v>2524</v>
      </c>
      <c r="B283" s="587" t="inlineStr">
        <is>
          <t xml:space="preserve">重型迫击炮</t>
        </is>
      </c>
      <c r="C283" s="586" t="s">
        <v>3016</v>
      </c>
    </row>
    <row r="284" ht="32" customHeight="1" spans="1:4">
      <c r="A284" s="588" t="s">
        <v>2524</v>
      </c>
      <c r="B284" s="589" t="s">
        <v>2518</v>
      </c>
      <c r="C284" s="588" t="s">
        <v>3017</v>
      </c>
    </row>
    <row r="285" ht="32" customHeight="1" spans="1:4">
      <c r="A285" s="586" t="s">
        <v>2524</v>
      </c>
      <c r="B285" s="587" t="inlineStr">
        <is>
          <t xml:space="preserve">轻型迫击炮</t>
        </is>
      </c>
      <c r="C285" s="586" t="s">
        <v>3018</v>
      </c>
    </row>
    <row r="286" ht="32" customHeight="1" spans="1:4">
      <c r="A286" s="588" t="s">
        <v>2524</v>
      </c>
      <c r="B286" s="589" t="s">
        <v>2521</v>
      </c>
      <c r="C286" s="588" t="s">
        <v>3019</v>
      </c>
    </row>
    <row r="287" ht="32" customHeight="1" spans="1:4">
      <c r="A287" s="586" t="s">
        <v>2524</v>
      </c>
      <c r="B287" s="587" t="inlineStr">
        <is>
          <t xml:space="preserve">反坦克制导导弹（ATGM）</t>
        </is>
      </c>
      <c r="C287" s="586" t="s">
        <v>3020</v>
      </c>
    </row>
    <row r="288" ht="32" customHeight="1" spans="1:4">
      <c r="A288" s="588" t="s">
        <v>2524</v>
      </c>
      <c r="B288" s="589" t="s">
        <v>2524</v>
      </c>
      <c r="C288" s="588" t="s">
        <v>3021</v>
      </c>
    </row>
    <row r="289" ht="32" customHeight="1" spans="1:4">
      <c r="A289" s="586" t="s">
        <v>2524</v>
      </c>
      <c r="B289" s="587" t="inlineStr">
        <is>
          <t xml:space="preserve">火炮</t>
        </is>
      </c>
      <c r="C289" s="586" t="s">
        <v>3022</v>
      </c>
    </row>
    <row r="290" ht="32" customHeight="1" spans="1:4">
      <c r="A290" s="588" t="s">
        <v>2524</v>
      </c>
      <c r="B290" s="589" t="s">
        <v>2527</v>
      </c>
      <c r="C290" s="588" t="s">
        <v>3023</v>
      </c>
    </row>
    <row r="291" ht="32" customHeight="1" spans="1:4">
      <c r="A291" s="586" t="s">
        <v>2524</v>
      </c>
      <c r="B291" s="587" t="inlineStr">
        <is>
          <t xml:space="preserve">巡航导弹</t>
        </is>
      </c>
      <c r="C291" s="586" t="s">
        <v>3024</v>
      </c>
    </row>
    <row r="292" ht="45.5" customHeight="1" spans="1:4">
      <c r="A292" s="588" t="s">
        <v>2576</v>
      </c>
      <c r="B292" s="589" t="s">
        <v>3025</v>
      </c>
      <c r="C292" s="588" t="s">
        <v>3026</v>
      </c>
    </row>
    <row r="293" ht="32" customHeight="1" spans="1:4">
      <c r="A293" s="586" t="s">
        <v>2576</v>
      </c>
      <c r="B293" s="587" t="s">
        <v>3027</v>
      </c>
      <c r="C293" s="586" t="s">
        <v>3026</v>
      </c>
    </row>
    <row r="294" ht="32" customHeight="1" spans="1:4">
      <c r="A294" s="588" t="s">
        <v>2576</v>
      </c>
      <c r="B294" s="589" t="s">
        <v>3028</v>
      </c>
      <c r="C294" s="588" t="s">
        <v>3029</v>
      </c>
    </row>
    <row r="295" ht="32" customHeight="1" spans="1:4">
      <c r="A295" s="586" t="s">
        <v>2576</v>
      </c>
      <c r="B295" s="587" t="s">
        <v>3030</v>
      </c>
      <c r="C295" s="586" t="s">
        <v>3029</v>
      </c>
    </row>
    <row r="296" ht="32" customHeight="1" spans="1:4">
      <c r="A296" s="588" t="s">
        <v>2576</v>
      </c>
      <c r="B296" s="589" t="s">
        <v>3031</v>
      </c>
      <c r="C296" s="588" t="s">
        <v>3029</v>
      </c>
    </row>
    <row r="297" ht="32" customHeight="1" spans="1:4">
      <c r="A297" s="586" t="s">
        <v>2576</v>
      </c>
      <c r="B297" s="587" t="s">
        <v>3032</v>
      </c>
      <c r="C297" s="586" t="s">
        <v>3033</v>
      </c>
    </row>
    <row r="298" ht="32" customHeight="1" spans="1:4">
      <c r="A298" s="588" t="s">
        <v>2577</v>
      </c>
      <c r="B298" s="589" t="s">
        <v>3034</v>
      </c>
      <c r="C298" s="588" t="s">
        <v>3026</v>
      </c>
    </row>
    <row r="299" ht="32" customHeight="1" spans="1:4">
      <c r="A299" s="586" t="s">
        <v>2577</v>
      </c>
      <c r="B299" s="587" t="s">
        <v>3035</v>
      </c>
      <c r="C299" s="586" t="s">
        <v>3026</v>
      </c>
    </row>
    <row r="300" ht="32" customHeight="1" spans="1:4">
      <c r="A300" s="588" t="s">
        <v>2577</v>
      </c>
      <c r="B300" s="589" t="s">
        <v>3036</v>
      </c>
      <c r="C300" s="588" t="s">
        <v>3037</v>
      </c>
    </row>
    <row r="301" ht="32" customHeight="1" spans="1:4">
      <c r="A301" s="586" t="s">
        <v>2577</v>
      </c>
      <c r="B301" s="587" t="s">
        <v>3038</v>
      </c>
      <c r="C301" s="586" t="s">
        <v>3037</v>
      </c>
    </row>
    <row r="302" ht="32" customHeight="1" spans="1:4">
      <c r="A302" s="588" t="s">
        <v>2577</v>
      </c>
      <c r="B302" s="589" t="s">
        <v>3039</v>
      </c>
      <c r="C302" s="588" t="s">
        <v>3029</v>
      </c>
    </row>
    <row r="303" ht="32" customHeight="1" spans="1:4">
      <c r="A303" s="586" t="s">
        <v>2577</v>
      </c>
      <c r="B303" s="587" t="s">
        <v>2696</v>
      </c>
      <c r="C303" s="586" t="s">
        <v>3029</v>
      </c>
    </row>
    <row r="304" ht="32" customHeight="1" spans="1:4">
      <c r="A304" s="588" t="s">
        <v>2577</v>
      </c>
      <c r="B304" s="589" t="s">
        <v>3040</v>
      </c>
      <c r="C304" s="588" t="s">
        <v>3029</v>
      </c>
    </row>
    <row r="305" ht="32" customHeight="1" spans="1:4">
      <c r="A305" s="586" t="s">
        <v>2577</v>
      </c>
      <c r="B305" s="587" t="s">
        <v>3041</v>
      </c>
      <c r="C305" s="586" t="s">
        <v>3042</v>
      </c>
    </row>
    <row r="306" ht="32" customHeight="1" spans="1:4">
      <c r="A306" s="588" t="s">
        <v>2578</v>
      </c>
      <c r="B306" s="589" t="s">
        <v>3043</v>
      </c>
      <c r="C306" s="588" t="s">
        <v>3037</v>
      </c>
    </row>
    <row r="307" ht="32" customHeight="1" spans="1:4">
      <c r="A307" s="586" t="s">
        <v>2578</v>
      </c>
      <c r="B307" s="587" t="s">
        <v>3044</v>
      </c>
      <c r="C307" s="586" t="s">
        <v>3037</v>
      </c>
    </row>
    <row r="308" ht="32" customHeight="1" spans="1:4">
      <c r="A308" s="588" t="s">
        <v>2578</v>
      </c>
      <c r="B308" s="589" t="s">
        <v>3045</v>
      </c>
      <c r="C308" s="588" t="s">
        <v>3037</v>
      </c>
    </row>
    <row r="309" ht="32" customHeight="1" spans="1:4">
      <c r="A309" s="586" t="s">
        <v>2578</v>
      </c>
      <c r="B309" s="587" t="s">
        <v>3046</v>
      </c>
      <c r="C309" s="586" t="s">
        <v>3029</v>
      </c>
    </row>
    <row r="310" ht="32" customHeight="1" spans="1:4">
      <c r="A310" s="588" t="s">
        <v>2578</v>
      </c>
      <c r="B310" s="589" t="s">
        <v>3047</v>
      </c>
      <c r="C310" s="588" t="s">
        <v>3042</v>
      </c>
    </row>
    <row r="311" ht="32" customHeight="1" spans="1:4">
      <c r="A311" s="586" t="s">
        <v>2578</v>
      </c>
      <c r="B311" s="587" t="s">
        <v>3048</v>
      </c>
      <c r="C311" s="586" t="s">
        <v>3042</v>
      </c>
    </row>
    <row r="312" ht="32" customHeight="1" spans="1:4">
      <c r="A312" s="588" t="s">
        <v>2578</v>
      </c>
      <c r="B312" s="589" t="s">
        <v>3049</v>
      </c>
      <c r="C312" s="588" t="s">
        <v>3050</v>
      </c>
    </row>
    <row r="313" ht="45.5" customHeight="1" spans="1:4">
      <c r="A313" s="586" t="s">
        <v>2578</v>
      </c>
      <c r="B313" s="587" t="inlineStr">
        <is>
          <t xml:space="preserve">冷血地杀死一个无辜的人，哪怕有很好的理由 （注）</t>
        </is>
      </c>
      <c r="C313" s="586" t="s">
        <v>3051</v>
      </c>
    </row>
    <row r="314" ht="32" customHeight="1" spans="1:4">
      <c r="A314" s="588" t="s">
        <v>2579</v>
      </c>
      <c r="B314" s="589" t="s">
        <v>3052</v>
      </c>
      <c r="C314" s="588" t="s">
        <v>3026</v>
      </c>
    </row>
    <row r="315" ht="32" customHeight="1" spans="1:4">
      <c r="A315" s="586" t="s">
        <v>2579</v>
      </c>
      <c r="B315" s="587" t="s">
        <v>3053</v>
      </c>
      <c r="C315" s="586" t="s">
        <v>3026</v>
      </c>
    </row>
    <row r="316" ht="32" customHeight="1" spans="1:4">
      <c r="A316" s="588" t="s">
        <v>2579</v>
      </c>
      <c r="B316" s="589" t="s">
        <v>3054</v>
      </c>
      <c r="C316" s="588" t="s">
        <v>3037</v>
      </c>
    </row>
    <row r="317" ht="32" customHeight="1" spans="1:4">
      <c r="A317" s="586" t="s">
        <v>2579</v>
      </c>
      <c r="B317" s="587" t="s">
        <v>3055</v>
      </c>
      <c r="C317" s="586" t="s">
        <v>3026</v>
      </c>
    </row>
    <row r="318" ht="32" customHeight="1" spans="1:4">
      <c r="A318" s="588" t="s">
        <v>2579</v>
      </c>
      <c r="B318" s="589" t="s">
        <v>3056</v>
      </c>
      <c r="C318" s="588" t="s">
        <v>3037</v>
      </c>
    </row>
    <row r="319" ht="32" customHeight="1" spans="1:4">
      <c r="A319" s="586" t="s">
        <v>2579</v>
      </c>
      <c r="B319" s="587" t="s">
        <v>3057</v>
      </c>
      <c r="C319" s="586" t="s">
        <v>3037</v>
      </c>
    </row>
    <row r="320" ht="32" customHeight="1" spans="1:4">
      <c r="A320" s="588" t="s">
        <v>2579</v>
      </c>
      <c r="B320" s="589" t="s">
        <v>3058</v>
      </c>
      <c r="C320" s="588" t="s">
        <v>3037</v>
      </c>
    </row>
    <row r="321" ht="32" customHeight="1" spans="1:4">
      <c r="A321" s="586" t="s">
        <v>2579</v>
      </c>
      <c r="B321" s="587" t="s">
        <v>3059</v>
      </c>
      <c r="C321" s="586" t="s">
        <v>3037</v>
      </c>
    </row>
    <row r="322" ht="32" customHeight="1" spans="1:4">
      <c r="A322" s="588" t="s">
        <v>2579</v>
      </c>
      <c r="B322" s="589" t="s">
        <v>3060</v>
      </c>
      <c r="C322" s="588" t="s">
        <v>3061</v>
      </c>
    </row>
    <row r="323" ht="32" customHeight="1" spans="1:4">
      <c r="A323" s="586" t="s">
        <v>2579</v>
      </c>
      <c r="B323" s="587" t="s">
        <v>3062</v>
      </c>
      <c r="C323" s="586" t="s">
        <v>3037</v>
      </c>
    </row>
    <row r="324" ht="32" customHeight="1" spans="1:4">
      <c r="A324" s="588" t="s">
        <v>2579</v>
      </c>
      <c r="B324" s="589" t="s">
        <v>3063</v>
      </c>
      <c r="C324" s="588" t="s">
        <v>3029</v>
      </c>
    </row>
    <row r="325" ht="32" customHeight="1" spans="1:4">
      <c r="A325" s="586" t="s">
        <v>2579</v>
      </c>
      <c r="B325" s="587" t="s">
        <v>3064</v>
      </c>
      <c r="C325" s="586" t="s">
        <v>3065</v>
      </c>
    </row>
    <row r="326" ht="32" customHeight="1" spans="1:4">
      <c r="A326" s="588" t="s">
        <v>2579</v>
      </c>
      <c r="B326" s="589" t="s">
        <v>3066</v>
      </c>
      <c r="C326" s="588" t="s">
        <v>3067</v>
      </c>
    </row>
    <row r="327" ht="32" customHeight="1" spans="1:4">
      <c r="A327" s="586" t="s">
        <v>2580</v>
      </c>
      <c r="B327" s="587" t="s">
        <v>3068</v>
      </c>
      <c r="C327" s="586" t="s">
        <v>3069</v>
      </c>
    </row>
    <row r="328" ht="32" customHeight="1" spans="1:4">
      <c r="A328" s="588" t="s">
        <v>2580</v>
      </c>
      <c r="B328" s="589" t="s">
        <v>3070</v>
      </c>
      <c r="C328" s="588" t="s">
        <v>3071</v>
      </c>
    </row>
    <row r="329" ht="32" customHeight="1" spans="1:4">
      <c r="A329" s="586" t="s">
        <v>2580</v>
      </c>
      <c r="B329" s="587" t="s">
        <v>3072</v>
      </c>
      <c r="C329" s="586" t="s">
        <v>3073</v>
      </c>
    </row>
    <row r="330" ht="32" customHeight="1" spans="1:4">
      <c r="A330" s="588" t="s">
        <v>2580</v>
      </c>
      <c r="B330" s="589" t="s">
        <v>3074</v>
      </c>
      <c r="C330" s="588" t="s">
        <v>3075</v>
      </c>
    </row>
    <row r="331" ht="32" customHeight="1" spans="1:4">
      <c r="A331" s="586" t="s">
        <v>2580</v>
      </c>
      <c r="B331" s="587" t="s">
        <v>3076</v>
      </c>
      <c r="C331" s="586" t="s">
        <v>3077</v>
      </c>
    </row>
    <row r="332" ht="32" customHeight="1" spans="1:4">
      <c r="A332" s="588" t="s">
        <v>2580</v>
      </c>
      <c r="B332" s="589" t="s">
        <v>3078</v>
      </c>
      <c r="C332" s="588" t="s">
        <v>3079</v>
      </c>
    </row>
    <row r="333" ht="32" customHeight="1" spans="1:4">
      <c r="A333" s="586" t="s">
        <v>2581</v>
      </c>
      <c r="B333" s="587" t="s">
        <v>3080</v>
      </c>
      <c r="C333" s="586" t="s">
        <v>3081</v>
      </c>
    </row>
    <row r="334" ht="32" customHeight="1" spans="1:4">
      <c r="A334" s="588" t="s">
        <v>2581</v>
      </c>
      <c r="B334" s="589" t="s">
        <v>3082</v>
      </c>
      <c r="C334" s="588" t="s">
        <v>3083</v>
      </c>
    </row>
    <row r="335" ht="32" customHeight="1" spans="1:4">
      <c r="A335" s="586" t="s">
        <v>2581</v>
      </c>
      <c r="B335" s="587" t="s">
        <v>3084</v>
      </c>
      <c r="C335" s="586" t="s">
        <v>3085</v>
      </c>
    </row>
    <row r="336" ht="32" customHeight="1" spans="1:4">
      <c r="A336" s="588" t="s">
        <v>2581</v>
      </c>
      <c r="B336" s="589" t="s">
        <v>3086</v>
      </c>
      <c r="C336" s="588" t="s">
        <v>3087</v>
      </c>
    </row>
    <row r="337" ht="32" customHeight="1" spans="1:4">
      <c r="A337" s="586" t="s">
        <v>2581</v>
      </c>
      <c r="B337" s="587" t="s">
        <v>3088</v>
      </c>
      <c r="C337" s="586" t="s">
        <v>3089</v>
      </c>
    </row>
    <row r="338" ht="32" customHeight="1" spans="1:4">
      <c r="A338" s="588" t="s">
        <v>2581</v>
      </c>
      <c r="B338" s="589" t="s">
        <v>3090</v>
      </c>
      <c r="C338" s="588" t="s">
        <v>3091</v>
      </c>
    </row>
    <row r="339" ht="32" customHeight="1" spans="1:4">
      <c r="A339" s="586" t="s">
        <v>2581</v>
      </c>
      <c r="B339" s="587" t="s">
        <v>3092</v>
      </c>
      <c r="C339" s="586" t="s">
        <v>3093</v>
      </c>
    </row>
    <row r="340" ht="32" customHeight="1" spans="1:4">
      <c r="A340" s="588" t="s">
        <v>2581</v>
      </c>
      <c r="B340" s="589" t="s">
        <v>3094</v>
      </c>
      <c r="C340" s="588" t="s">
        <v>3095</v>
      </c>
    </row>
    <row r="341" ht="32" customHeight="1" spans="1:4">
      <c r="A341" s="586" t="s">
        <v>2582</v>
      </c>
      <c r="B341" s="587" t="s">
        <v>3096</v>
      </c>
      <c r="C341" s="586" t="s">
        <v>3097</v>
      </c>
    </row>
    <row r="342" ht="32" customHeight="1" spans="1:4">
      <c r="A342" s="588" t="s">
        <v>2582</v>
      </c>
      <c r="B342" s="589" t="s">
        <v>3098</v>
      </c>
      <c r="C342" s="588" t="s">
        <v>3099</v>
      </c>
    </row>
    <row r="343" ht="45.5" customHeight="1" spans="1:4">
      <c r="A343" s="586" t="s">
        <v>2582</v>
      </c>
      <c r="B343" s="587" t="s">
        <v>3100</v>
      </c>
      <c r="C343" s="586" t="s">
        <v>3101</v>
      </c>
    </row>
    <row r="344" ht="45.5" customHeight="1" spans="1:4">
      <c r="A344" s="588" t="s">
        <v>2582</v>
      </c>
      <c r="B344" s="589" t="s">
        <v>3102</v>
      </c>
      <c r="C344" s="588" t="s">
        <v>3103</v>
      </c>
    </row>
    <row r="345" ht="45.5" customHeight="1" spans="1:4">
      <c r="A345" s="586" t="s">
        <v>2582</v>
      </c>
      <c r="B345" s="587" t="s">
        <v>3104</v>
      </c>
      <c r="C345" s="586" t="s">
        <v>3105</v>
      </c>
    </row>
    <row r="346" ht="45.5" customHeight="1" spans="1:4">
      <c r="A346" s="588" t="s">
        <v>2582</v>
      </c>
      <c r="B346" s="589" t="s">
        <v>3106</v>
      </c>
      <c r="C346" s="588" t="s">
        <v>3107</v>
      </c>
    </row>
    <row r="347" ht="72.5" customHeight="1" spans="1:4">
      <c r="A347" s="586" t="s">
        <v>2583</v>
      </c>
      <c r="B347" s="587" t="s">
        <v>3108</v>
      </c>
      <c r="C347" s="586" t="s">
        <v>3109</v>
      </c>
    </row>
    <row r="348" ht="79" customHeight="1" spans="1:4">
      <c r="A348" s="588" t="s">
        <v>2583</v>
      </c>
      <c r="B348" s="589" t="s">
        <v>3110</v>
      </c>
      <c r="C348" s="588" t="s">
        <v>3111</v>
      </c>
    </row>
    <row r="349" ht="92.5" customHeight="1" spans="1:4">
      <c r="A349" s="586" t="s">
        <v>2583</v>
      </c>
      <c r="B349" s="587" t="s">
        <v>3112</v>
      </c>
      <c r="C349" s="586" t="s">
        <v>3113</v>
      </c>
    </row>
    <row r="350" ht="79" customHeight="1" spans="1:4">
      <c r="A350" s="588" t="s">
        <v>2583</v>
      </c>
      <c r="B350" s="589" t="s">
        <v>3114</v>
      </c>
      <c r="C350" s="588" t="s">
        <v>3115</v>
      </c>
    </row>
    <row r="351" ht="92.5" customHeight="1" spans="1:4">
      <c r="A351" s="586" t="s">
        <v>2583</v>
      </c>
      <c r="B351" s="587" t="s">
        <v>216</v>
      </c>
      <c r="C351" s="586" t="s">
        <v>3116</v>
      </c>
    </row>
    <row r="352" ht="32" customHeight="1" spans="1:4">
      <c r="A352" s="588" t="s">
        <v>2583</v>
      </c>
      <c r="B352" s="589" t="s">
        <v>3117</v>
      </c>
      <c r="C352" s="588" t="s">
        <v>3118</v>
      </c>
    </row>
    <row r="353" ht="79" customHeight="1" spans="1:4">
      <c r="A353" s="586" t="s">
        <v>2583</v>
      </c>
      <c r="B353" s="587" t="s">
        <v>3119</v>
      </c>
      <c r="C353" s="586" t="s">
        <v>3120</v>
      </c>
    </row>
    <row r="354" ht="45.5" customHeight="1" spans="1:4">
      <c r="A354" s="588" t="s">
        <v>2583</v>
      </c>
      <c r="B354" s="589" t="s">
        <v>3121</v>
      </c>
      <c r="C354" s="588" t="s">
        <v>3122</v>
      </c>
    </row>
    <row r="355" ht="72.5" customHeight="1" spans="1:4">
      <c r="A355" s="586" t="s">
        <v>2583</v>
      </c>
      <c r="B355" s="587" t="s">
        <v>3123</v>
      </c>
      <c r="C355" s="586" t="s">
        <v>3124</v>
      </c>
    </row>
    <row r="356" ht="45.5" customHeight="1" spans="1:4">
      <c r="A356" s="588" t="s">
        <v>2583</v>
      </c>
      <c r="B356" s="589" t="s">
        <v>3125</v>
      </c>
      <c r="C356" s="588" t="s">
        <v>3126</v>
      </c>
    </row>
    <row r="357" ht="45.5" customHeight="1" spans="1:4">
      <c r="A357" s="586" t="s">
        <v>2583</v>
      </c>
      <c r="B357" s="587" t="s">
        <v>3127</v>
      </c>
      <c r="C357" s="586" t="s">
        <v>3128</v>
      </c>
    </row>
    <row r="358" ht="32" customHeight="1" spans="1:4">
      <c r="A358" s="588" t="s">
        <v>2584</v>
      </c>
      <c r="B358" s="589" t="s">
        <v>3129</v>
      </c>
      <c r="C358" s="588" t="s">
        <v>3130</v>
      </c>
    </row>
    <row r="359" ht="32" customHeight="1" spans="1:4">
      <c r="A359" s="586" t="s">
        <v>2584</v>
      </c>
      <c r="B359" s="587" t="inlineStr">
        <is>
          <t xml:space="preserve">简易定向麦克风</t>
        </is>
      </c>
      <c r="C359" s="586" t="s">
        <v>3131</v>
      </c>
    </row>
    <row r="360" ht="32" customHeight="1" spans="1:4">
      <c r="A360" s="588" t="s">
        <v>2584</v>
      </c>
      <c r="B360" s="589" t="s">
        <v>3132</v>
      </c>
      <c r="C360" s="588" t="s">
        <v>3133</v>
      </c>
    </row>
    <row r="361" ht="32" customHeight="1" spans="1:4">
      <c r="A361" s="586" t="s">
        <v>2584</v>
      </c>
      <c r="B361" s="587" t="s">
        <v>3134</v>
      </c>
      <c r="C361" s="586" t="s">
        <v>3133</v>
      </c>
    </row>
    <row r="362" ht="32" customHeight="1" spans="1:4">
      <c r="A362" s="588" t="s">
        <v>2584</v>
      </c>
      <c r="B362" s="589" t="s">
        <v>3135</v>
      </c>
      <c r="C362" s="588" t="s">
        <v>3133</v>
      </c>
    </row>
    <row r="363" ht="32" customHeight="1" spans="1:4">
      <c r="A363" s="586" t="s">
        <v>2584</v>
      </c>
      <c r="B363" s="587" t="s">
        <v>3136</v>
      </c>
      <c r="C363" s="586" t="s">
        <v>3133</v>
      </c>
    </row>
    <row r="364" ht="32" customHeight="1" spans="1:4">
      <c r="A364" s="588" t="s">
        <v>2584</v>
      </c>
      <c r="B364" s="589" t="s">
        <v>3137</v>
      </c>
      <c r="C364" s="588" t="s">
        <v>3133</v>
      </c>
    </row>
    <row r="365" ht="32" customHeight="1" spans="1:4">
      <c r="A365" s="586" t="s">
        <v>2584</v>
      </c>
      <c r="B365" s="587" t="inlineStr">
        <is>
          <t xml:space="preserve">定向麦克风及音频软件</t>
        </is>
      </c>
      <c r="C365" s="586" t="s">
        <v>3138</v>
      </c>
    </row>
    <row r="366" ht="32" customHeight="1" spans="1:4">
      <c r="A366" s="588" t="s">
        <v>2584</v>
      </c>
      <c r="B366" s="589" t="s">
        <v>3139</v>
      </c>
      <c r="C366" s="588" t="s">
        <v>3133</v>
      </c>
    </row>
    <row r="367" ht="32" customHeight="1" spans="1:4">
      <c r="A367" s="586" t="s">
        <v>2584</v>
      </c>
      <c r="B367" s="587" t="inlineStr">
        <is>
          <t xml:space="preserve">基础无人机，能在市场上购得</t>
        </is>
      </c>
      <c r="C367" s="586" t="s">
        <v>3140</v>
      </c>
    </row>
    <row r="368" ht="32" customHeight="1" spans="1:4">
      <c r="A368" s="588" t="s">
        <v>2584</v>
      </c>
      <c r="B368" s="589" t="s">
        <v>3141</v>
      </c>
      <c r="C368" s="588" t="s">
        <v>3142</v>
      </c>
    </row>
    <row r="369" ht="32" customHeight="1" spans="1:4">
      <c r="A369" s="586" t="s">
        <v>2584</v>
      </c>
      <c r="B369" s="587" t="s">
        <v>3143</v>
      </c>
      <c r="C369" s="586" t="s">
        <v>3142</v>
      </c>
    </row>
    <row r="370" ht="32" customHeight="1" spans="1:4">
      <c r="A370" s="588" t="s">
        <v>2584</v>
      </c>
      <c r="B370" s="589" t="s">
        <v>3144</v>
      </c>
      <c r="C370" s="588" t="s">
        <v>3142</v>
      </c>
    </row>
    <row r="371" ht="32" customHeight="1" spans="1:4">
      <c r="A371" s="586" t="s">
        <v>2584</v>
      </c>
      <c r="B371" s="587" t="inlineStr">
        <is>
          <t xml:space="preserve">先进无人机</t>
        </is>
      </c>
      <c r="C371" s="586" t="s">
        <v>3145</v>
      </c>
    </row>
    <row r="372" ht="32" customHeight="1" spans="1:4">
      <c r="A372" s="588" t="s">
        <v>2584</v>
      </c>
      <c r="B372" s="589" t="s">
        <v>3146</v>
      </c>
      <c r="C372" s="588" t="s">
        <v>3147</v>
      </c>
    </row>
    <row r="373" ht="32" customHeight="1" spans="1:4">
      <c r="A373" s="586" t="s">
        <v>2584</v>
      </c>
      <c r="B373" s="587" t="inlineStr">
        <is>
          <t xml:space="preserve">探地雷达</t>
        </is>
      </c>
      <c r="C373" s="586" t="s">
        <v>3148</v>
      </c>
    </row>
    <row r="374" ht="32" customHeight="1" spans="1:4">
      <c r="A374" s="588" t="s">
        <v>2584</v>
      </c>
      <c r="B374" s="589" t="s">
        <v>3149</v>
      </c>
      <c r="C374" s="588" t="s">
        <v>3150</v>
      </c>
    </row>
    <row r="375" ht="32" customHeight="1" spans="1:4">
      <c r="A375" s="586" t="s">
        <v>2584</v>
      </c>
      <c r="B375" s="587" t="inlineStr">
        <is>
          <t xml:space="preserve">军用无人机</t>
        </is>
      </c>
      <c r="C375" s="586" t="s">
        <v>3151</v>
      </c>
    </row>
    <row r="376" ht="32" customHeight="1" spans="1:4">
      <c r="A376" s="588" t="s">
        <v>2585</v>
      </c>
      <c r="B376" s="589" t="s">
        <v>3152</v>
      </c>
      <c r="C376" s="588" t="s">
        <v>3130</v>
      </c>
    </row>
    <row r="377" ht="32" customHeight="1" spans="1:4">
      <c r="A377" s="586" t="s">
        <v>2585</v>
      </c>
      <c r="B377" s="587" t="inlineStr">
        <is>
          <t xml:space="preserve">大型手电筒</t>
        </is>
      </c>
      <c r="C377" s="586" t="s">
        <v>3153</v>
      </c>
    </row>
    <row r="378" ht="32" customHeight="1" spans="1:4">
      <c r="A378" s="588" t="s">
        <v>2585</v>
      </c>
      <c r="B378" s="589" t="s">
        <v>3154</v>
      </c>
      <c r="C378" s="588" t="s">
        <v>3130</v>
      </c>
    </row>
    <row r="379" ht="45.5" customHeight="1" spans="1:4">
      <c r="A379" s="586" t="s">
        <v>2585</v>
      </c>
      <c r="B379" s="587" t="inlineStr">
        <is>
          <t xml:space="preserve">战术灯或武器挂灯</t>
        </is>
      </c>
      <c r="C379" s="586" t="s">
        <v>3155</v>
      </c>
    </row>
    <row r="380" ht="32" customHeight="1" spans="1:4">
      <c r="A380" s="588" t="s">
        <v>2585</v>
      </c>
      <c r="B380" s="589" t="s">
        <v>3156</v>
      </c>
      <c r="C380" s="588" t="s">
        <v>3130</v>
      </c>
    </row>
    <row r="381" ht="32" customHeight="1" spans="1:4">
      <c r="A381" s="586" t="s">
        <v>2585</v>
      </c>
      <c r="B381" s="587" t="inlineStr">
        <is>
          <t xml:space="preserve">普通双筒望远镜</t>
        </is>
      </c>
      <c r="C381" s="586" t="s">
        <v>3157</v>
      </c>
    </row>
    <row r="382" ht="32" customHeight="1" spans="1:4">
      <c r="A382" s="588" t="s">
        <v>2585</v>
      </c>
      <c r="B382" s="589" t="s">
        <v>3158</v>
      </c>
      <c r="C382" s="588" t="s">
        <v>3133</v>
      </c>
    </row>
    <row r="383" ht="59" customHeight="1" spans="1:4">
      <c r="A383" s="586" t="s">
        <v>2585</v>
      </c>
      <c r="B383" s="587" t="inlineStr">
        <is>
          <t xml:space="preserve">民用夜视眼镜（NVG）</t>
        </is>
      </c>
      <c r="C383" s="586" t="s">
        <v>3159</v>
      </c>
    </row>
    <row r="384" ht="32" customHeight="1" spans="1:4">
      <c r="A384" s="588" t="s">
        <v>2585</v>
      </c>
      <c r="B384" s="589" t="s">
        <v>3160</v>
      </c>
      <c r="C384" s="588" t="s">
        <v>3133</v>
      </c>
    </row>
    <row r="385" ht="32" customHeight="1" spans="1:4">
      <c r="A385" s="586" t="s">
        <v>2585</v>
      </c>
      <c r="B385" s="587" t="inlineStr">
        <is>
          <t xml:space="preserve">先进双筒望远镜或望远镜</t>
        </is>
      </c>
      <c r="C385" s="586" t="s">
        <v>3161</v>
      </c>
    </row>
    <row r="386" ht="32" customHeight="1" spans="1:4">
      <c r="A386" s="588" t="s">
        <v>2585</v>
      </c>
      <c r="B386" s="589" t="s">
        <v>3162</v>
      </c>
      <c r="C386" s="588" t="s">
        <v>3142</v>
      </c>
    </row>
    <row r="387" ht="32" customHeight="1" spans="1:4">
      <c r="A387" s="586" t="s">
        <v>2585</v>
      </c>
      <c r="B387" s="587" t="inlineStr">
        <is>
          <t xml:space="preserve">强力望远镜</t>
        </is>
      </c>
      <c r="C387" s="586" t="s">
        <v>3163</v>
      </c>
    </row>
    <row r="388" ht="32" customHeight="1" spans="1:4">
      <c r="A388" s="588" t="s">
        <v>2585</v>
      </c>
      <c r="B388" s="589" t="s">
        <v>3164</v>
      </c>
      <c r="C388" s="588" t="s">
        <v>3147</v>
      </c>
    </row>
    <row r="389" ht="32" customHeight="1" spans="1:4">
      <c r="A389" s="586" t="s">
        <v>2585</v>
      </c>
      <c r="B389" s="587" t="inlineStr">
        <is>
          <t xml:space="preserve">军用夜视眼镜</t>
        </is>
      </c>
      <c r="C389" s="586" t="s">
        <v>3165</v>
      </c>
    </row>
    <row r="390" ht="32" customHeight="1" spans="1:4">
      <c r="A390" s="588" t="s">
        <v>2586</v>
      </c>
      <c r="B390" s="589" t="s">
        <v>3166</v>
      </c>
      <c r="C390" s="588" t="s">
        <v>3130</v>
      </c>
    </row>
    <row r="391" ht="32" customHeight="1" spans="1:4">
      <c r="A391" s="586" t="s">
        <v>2586</v>
      </c>
      <c r="B391" s="587" t="inlineStr">
        <is>
          <t xml:space="preserve">开锁套件</t>
        </is>
      </c>
      <c r="C391" s="586" t="s">
        <v>3140</v>
      </c>
    </row>
    <row r="392" ht="32" customHeight="1" spans="1:4">
      <c r="A392" s="588" t="s">
        <v>2586</v>
      </c>
      <c r="B392" s="589" t="s">
        <v>3167</v>
      </c>
      <c r="C392" s="588" t="s">
        <v>3133</v>
      </c>
    </row>
    <row r="393" ht="32" customHeight="1" spans="1:4">
      <c r="A393" s="586" t="s">
        <v>2586</v>
      </c>
      <c r="B393" s="587" t="inlineStr">
        <is>
          <t xml:space="preserve">哈利根撬棍</t>
        </is>
      </c>
      <c r="C393" s="586" t="s">
        <v>3168</v>
      </c>
    </row>
    <row r="394" ht="32" customHeight="1" spans="1:4">
      <c r="A394" s="588" t="s">
        <v>2586</v>
      </c>
      <c r="B394" s="589" t="s">
        <v>3169</v>
      </c>
      <c r="C394" s="588" t="s">
        <v>3133</v>
      </c>
    </row>
    <row r="395" ht="32" customHeight="1" spans="1:4">
      <c r="A395" s="586" t="s">
        <v>2586</v>
      </c>
      <c r="B395" s="587" t="inlineStr">
        <is>
          <t xml:space="preserve">抖锁器</t>
        </is>
      </c>
      <c r="C395" s="586" t="s">
        <v>3170</v>
      </c>
    </row>
    <row r="396" ht="32" customHeight="1" spans="1:4">
      <c r="A396" s="588" t="s">
        <v>2587</v>
      </c>
      <c r="B396" s="589" t="s">
        <v>3171</v>
      </c>
      <c r="C396" s="588" t="s">
        <v>3130</v>
      </c>
    </row>
    <row r="397" ht="32" customHeight="1" spans="1:4">
      <c r="A397" s="586" t="s">
        <v>2587</v>
      </c>
      <c r="B397" s="587" t="inlineStr">
        <is>
          <t xml:space="preserve">个人急救套件</t>
        </is>
      </c>
      <c r="C397" s="586" t="s">
        <v>3172</v>
      </c>
    </row>
    <row r="398" ht="32" customHeight="1" spans="1:4">
      <c r="A398" s="588" t="s">
        <v>2587</v>
      </c>
      <c r="B398" s="589" t="s">
        <v>3173</v>
      </c>
      <c r="C398" s="588" t="s">
        <v>3130</v>
      </c>
    </row>
    <row r="399" ht="32" customHeight="1" spans="1:4">
      <c r="A399" s="586" t="s">
        <v>2587</v>
      </c>
      <c r="B399" s="587" t="inlineStr">
        <is>
          <t xml:space="preserve">小型灭火器（CO₂）</t>
        </is>
      </c>
      <c r="C399" s="586" t="s">
        <v>3174</v>
      </c>
    </row>
    <row r="400" ht="32" customHeight="1" spans="1:4">
      <c r="A400" s="588" t="s">
        <v>2587</v>
      </c>
      <c r="B400" s="589" t="s">
        <v>3175</v>
      </c>
      <c r="C400" s="588" t="s">
        <v>3130</v>
      </c>
    </row>
    <row r="401" ht="32" customHeight="1" spans="1:4">
      <c r="A401" s="586" t="s">
        <v>2587</v>
      </c>
      <c r="B401" s="587" t="inlineStr">
        <is>
          <t xml:space="preserve">手持 GPS</t>
        </is>
      </c>
      <c r="C401" s="586" t="s">
        <v>3176</v>
      </c>
    </row>
    <row r="402" ht="32" customHeight="1" spans="1:4">
      <c r="A402" s="588" t="s">
        <v>2587</v>
      </c>
      <c r="B402" s="589" t="s">
        <v>3177</v>
      </c>
      <c r="C402" s="588" t="s">
        <v>3130</v>
      </c>
    </row>
    <row r="403" ht="32" customHeight="1" spans="1:4">
      <c r="A403" s="586" t="s">
        <v>2587</v>
      </c>
      <c r="B403" s="587" t="inlineStr">
        <is>
          <t xml:space="preserve">基本露营装备</t>
        </is>
      </c>
      <c r="C403" s="586" t="s">
        <v>3178</v>
      </c>
    </row>
    <row r="404" ht="32" customHeight="1" spans="1:4">
      <c r="A404" s="588" t="s">
        <v>2587</v>
      </c>
      <c r="B404" s="589" t="s">
        <v>3179</v>
      </c>
      <c r="C404" s="588" t="s">
        <v>3130</v>
      </c>
    </row>
    <row r="405" ht="32" customHeight="1" spans="1:4">
      <c r="A405" s="586" t="s">
        <v>2587</v>
      </c>
      <c r="B405" s="587" t="inlineStr">
        <is>
          <t xml:space="preserve">个人防护装备（PPE）</t>
        </is>
      </c>
      <c r="C405" s="586" t="s">
        <v>3180</v>
      </c>
    </row>
    <row r="406" ht="32" customHeight="1" spans="1:4">
      <c r="A406" s="588" t="s">
        <v>2587</v>
      </c>
      <c r="B406" s="589" t="s">
        <v>3181</v>
      </c>
      <c r="C406" s="588" t="s">
        <v>3133</v>
      </c>
    </row>
    <row r="407" ht="32" customHeight="1" spans="1:4">
      <c r="A407" s="586" t="s">
        <v>2587</v>
      </c>
      <c r="B407" s="587" t="inlineStr">
        <is>
          <t xml:space="preserve">重型灭火器</t>
        </is>
      </c>
      <c r="C407" s="586" t="s">
        <v>3182</v>
      </c>
    </row>
    <row r="408" ht="32" customHeight="1" spans="1:4">
      <c r="A408" s="588" t="s">
        <v>2587</v>
      </c>
      <c r="B408" s="589" t="s">
        <v>3183</v>
      </c>
      <c r="C408" s="588" t="s">
        <v>3133</v>
      </c>
    </row>
    <row r="409" ht="32" customHeight="1" spans="1:4">
      <c r="A409" s="586" t="s">
        <v>2587</v>
      </c>
      <c r="B409" s="587" t="inlineStr">
        <is>
          <t xml:space="preserve">防毒面具</t>
        </is>
      </c>
      <c r="C409" s="586" t="s">
        <v>3184</v>
      </c>
    </row>
    <row r="410" ht="32" customHeight="1" spans="1:4">
      <c r="A410" s="588" t="s">
        <v>2587</v>
      </c>
      <c r="B410" s="589" t="s">
        <v>3185</v>
      </c>
      <c r="C410" s="588" t="s">
        <v>3133</v>
      </c>
    </row>
    <row r="411" ht="32" customHeight="1" spans="1:4">
      <c r="A411" s="586" t="s">
        <v>2587</v>
      </c>
      <c r="B411" s="587" t="inlineStr">
        <is>
          <t xml:space="preserve">危险物品防护服</t>
        </is>
      </c>
      <c r="C411" s="586" t="s">
        <v>3186</v>
      </c>
    </row>
    <row r="412" ht="32" customHeight="1" spans="1:4">
      <c r="A412" s="588" t="s">
        <v>2587</v>
      </c>
      <c r="B412" s="589" t="s">
        <v>3187</v>
      </c>
      <c r="C412" s="588" t="s">
        <v>3133</v>
      </c>
    </row>
    <row r="413" ht="92.5" customHeight="1" spans="1:4">
      <c r="A413" s="586" t="s">
        <v>2587</v>
      </c>
      <c r="B413" s="587" t="inlineStr">
        <is>
          <t xml:space="preserve">急救人员医疗套件</t>
        </is>
      </c>
      <c r="C413" s="586" t="s">
        <v>3188</v>
      </c>
    </row>
    <row r="414" ht="32" customHeight="1" spans="1:4">
      <c r="A414" s="588" t="s">
        <v>2587</v>
      </c>
      <c r="B414" s="589" t="s">
        <v>3189</v>
      </c>
      <c r="C414" s="588" t="s">
        <v>3133</v>
      </c>
    </row>
    <row r="415" ht="45.5" customHeight="1" spans="1:4">
      <c r="A415" s="586" t="s">
        <v>2587</v>
      </c>
      <c r="B415" s="587" t="inlineStr">
        <is>
          <t xml:space="preserve">扩展露营装备</t>
        </is>
      </c>
      <c r="C415" s="586" t="s">
        <v>3190</v>
      </c>
    </row>
    <row r="416" ht="32" customHeight="1" spans="1:4">
      <c r="A416" s="588" t="s">
        <v>2587</v>
      </c>
      <c r="B416" s="589" t="s">
        <v>3191</v>
      </c>
      <c r="C416" s="588" t="s">
        <v>3142</v>
      </c>
    </row>
    <row r="417" ht="32" customHeight="1" spans="1:4">
      <c r="A417" s="586" t="s">
        <v>2587</v>
      </c>
      <c r="B417" s="587" t="inlineStr">
        <is>
          <t xml:space="preserve">水下呼吸装备</t>
        </is>
      </c>
      <c r="C417" s="586" t="s">
        <v>3192</v>
      </c>
    </row>
    <row r="418" ht="32" customHeight="1" spans="1:4">
      <c r="A418" s="588" t="s">
        <v>2587</v>
      </c>
      <c r="B418" s="589" t="s">
        <v>3193</v>
      </c>
      <c r="C418" s="588" t="s">
        <v>3142</v>
      </c>
    </row>
    <row r="419" ht="32" customHeight="1" spans="1:4">
      <c r="A419" s="586" t="s">
        <v>2587</v>
      </c>
      <c r="B419" s="587" t="inlineStr">
        <is>
          <t xml:space="preserve">装满酸液的聚丙烯桶</t>
        </is>
      </c>
      <c r="C419" s="586" t="s">
        <v>3194</v>
      </c>
    </row>
    <row r="420" ht="32" customHeight="1" spans="1:4">
      <c r="A420" s="588" t="s">
        <v>2588</v>
      </c>
      <c r="B420" s="589" t="s">
        <v>3195</v>
      </c>
      <c r="C420" s="588" t="s">
        <v>3133</v>
      </c>
    </row>
    <row r="421" ht="32" customHeight="1" spans="1:4">
      <c r="A421" s="586" t="s">
        <v>2588</v>
      </c>
      <c r="B421" s="587" t="inlineStr">
        <is>
          <t xml:space="preserve">地下急救，闭口不问</t>
        </is>
      </c>
      <c r="C421" s="586" t="s">
        <v>3196</v>
      </c>
    </row>
    <row r="422" ht="32" customHeight="1" spans="1:4">
      <c r="A422" s="588" t="s">
        <v>2588</v>
      </c>
      <c r="B422" s="589" t="s">
        <v>3197</v>
      </c>
      <c r="C422" s="588" t="s">
        <v>3142</v>
      </c>
    </row>
    <row r="423" ht="32" customHeight="1" spans="1:4">
      <c r="A423" s="586" t="s">
        <v>2588</v>
      </c>
      <c r="B423" s="587" t="inlineStr">
        <is>
          <t xml:space="preserve">地下药品或小手术，闭口不问</t>
        </is>
      </c>
      <c r="C423" s="586" t="s">
        <v>3196</v>
      </c>
    </row>
    <row r="424" ht="32" customHeight="1" spans="1:4">
      <c r="A424" s="588" t="s">
        <v>2588</v>
      </c>
      <c r="B424" s="589" t="s">
        <v>3198</v>
      </c>
      <c r="C424" s="588" t="s">
        <v>3147</v>
      </c>
    </row>
    <row r="425" ht="32" customHeight="1" spans="1:4">
      <c r="A425" s="586" t="s">
        <v>2588</v>
      </c>
      <c r="B425" s="587" t="inlineStr">
        <is>
          <t xml:space="preserve">地下大手术，闭口不问</t>
        </is>
      </c>
      <c r="C425" s="586" t="s">
        <v>3196</v>
      </c>
    </row>
    <row r="426" ht="45.5" customHeight="1" spans="1:4">
      <c r="A426" s="588" t="s">
        <v>2588</v>
      </c>
      <c r="B426" s="589" t="s">
        <v>3199</v>
      </c>
      <c r="C426" s="588" t="s">
        <v>3147</v>
      </c>
    </row>
    <row r="427" ht="45.5" customHeight="1" spans="1:4">
      <c r="A427" s="586" t="s">
        <v>2588</v>
      </c>
      <c r="B427" s="587" t="inlineStr">
        <is>
          <t xml:space="preserve">贿赂焚烧厂，火葬场，或熔炉工人，让他们对你焚烧尸体的行为视而不见</t>
        </is>
      </c>
      <c r="C427" s="586" t="s">
        <v>3200</v>
      </c>
    </row>
    <row r="428" ht="32" customHeight="1" spans="1:4">
      <c r="A428" s="588" t="s">
        <v>2589</v>
      </c>
      <c r="B428" s="589" t="s">
        <v>3201</v>
      </c>
      <c r="C428" s="588" t="s">
        <v>3133</v>
      </c>
    </row>
    <row r="429" ht="32" customHeight="1" spans="1:4">
      <c r="A429" s="586" t="s">
        <v>2589</v>
      </c>
      <c r="B429" s="587" t="inlineStr">
        <is>
          <t xml:space="preserve">全息瞄准镜</t>
        </is>
      </c>
      <c r="C429" s="586" t="s">
        <v>3202</v>
      </c>
    </row>
    <row r="430" ht="32" customHeight="1" spans="1:4">
      <c r="A430" s="588" t="s">
        <v>2589</v>
      </c>
      <c r="B430" s="589" t="s">
        <v>3203</v>
      </c>
      <c r="C430" s="588" t="s">
        <v>3133</v>
      </c>
    </row>
    <row r="431" ht="45.5" customHeight="1" spans="1:4">
      <c r="A431" s="586" t="s">
        <v>2589</v>
      </c>
      <c r="B431" s="587" t="inlineStr">
        <is>
          <t xml:space="preserve">夜视瞄准镜</t>
        </is>
      </c>
      <c r="C431" s="586" t="s">
        <v>3204</v>
      </c>
    </row>
    <row r="432" ht="32" customHeight="1" spans="1:4">
      <c r="A432" s="588" t="s">
        <v>2589</v>
      </c>
      <c r="B432" s="589" t="s">
        <v>3205</v>
      </c>
      <c r="C432" s="588" t="s">
        <v>3133</v>
      </c>
    </row>
    <row r="433" ht="45.5" customHeight="1" spans="1:4">
      <c r="A433" s="586" t="s">
        <v>2589</v>
      </c>
      <c r="B433" s="587" t="inlineStr">
        <is>
          <t xml:space="preserve">消声器</t>
        </is>
      </c>
      <c r="C433" s="586" t="s">
        <v>3206</v>
      </c>
    </row>
    <row r="434" ht="32" customHeight="1" spans="1:4">
      <c r="A434" s="588" t="s">
        <v>2589</v>
      </c>
      <c r="B434" s="589" t="s">
        <v>3207</v>
      </c>
      <c r="C434" s="588" t="s">
        <v>3133</v>
      </c>
    </row>
    <row r="435" ht="79" customHeight="1" spans="1:4">
      <c r="A435" s="586" t="s">
        <v>2589</v>
      </c>
      <c r="B435" s="587" t="inlineStr">
        <is>
          <t xml:space="preserve">激光指示器</t>
        </is>
      </c>
      <c r="C435" s="586" t="s">
        <v>3208</v>
      </c>
    </row>
    <row r="436" ht="32" customHeight="1" spans="1:4">
      <c r="A436" s="588" t="s">
        <v>2589</v>
      </c>
      <c r="B436" s="589" t="s">
        <v>3209</v>
      </c>
      <c r="C436" s="588" t="s">
        <v>3133</v>
      </c>
    </row>
    <row r="437" ht="32" customHeight="1" spans="1:4">
      <c r="A437" s="586" t="s">
        <v>2589</v>
      </c>
      <c r="B437" s="587" t="inlineStr">
        <is>
          <t xml:space="preserve">缩放瞄准镜</t>
        </is>
      </c>
      <c r="C437" s="586" t="s">
        <v>3210</v>
      </c>
    </row>
    <row r="438" ht="32" customHeight="1" spans="1:4">
      <c r="A438" s="588" t="s">
        <v>2589</v>
      </c>
      <c r="B438" s="589" t="s">
        <v>3211</v>
      </c>
      <c r="C438" s="588" t="s">
        <v>3142</v>
      </c>
    </row>
    <row r="439" ht="32" customHeight="1" spans="1:4">
      <c r="A439" s="586" t="s">
        <v>2589</v>
      </c>
      <c r="B439" s="587" t="inlineStr">
        <is>
          <t xml:space="preserve">先进战斗光学瞄准镜（ACOG）</t>
        </is>
      </c>
      <c r="C439" s="586" t="s">
        <v>3212</v>
      </c>
    </row>
    <row r="440" ht="32" customHeight="1" spans="1:4">
      <c r="A440" s="588" t="s">
        <v>2589</v>
      </c>
      <c r="B440" s="589" t="s">
        <v>3213</v>
      </c>
      <c r="C440" s="588" t="s">
        <v>3142</v>
      </c>
    </row>
    <row r="441" ht="45.5" customHeight="1" spans="1:4">
      <c r="A441" s="586" t="s">
        <v>2589</v>
      </c>
      <c r="B441" s="587" t="inlineStr">
        <is>
          <t xml:space="preserve">热成像瞄准镜（TWS）</t>
        </is>
      </c>
      <c r="C441" s="586" t="s">
        <v>3214</v>
      </c>
    </row>
    <row r="442" ht="32" customHeight="1" spans="1:4">
      <c r="A442" s="588" t="s">
        <v>2589</v>
      </c>
      <c r="B442" s="589" t="s">
        <v>3215</v>
      </c>
      <c r="C442" s="588" t="s">
        <v>3147</v>
      </c>
    </row>
    <row r="443" ht="59" customHeight="1" spans="1:4">
      <c r="A443" s="586" t="s">
        <v>2589</v>
      </c>
      <c r="B443" s="587" t="inlineStr">
        <is>
          <t xml:space="preserve">黑枪设备：带有配套软件的重型台式 3D 打印机</t>
        </is>
      </c>
      <c r="C443" s="586" t="s">
        <v>3216</v>
      </c>
    </row>
    <row r="444" ht="32" customHeight="1" spans="1:4">
      <c r="A444" s="588" t="s">
        <v>2590</v>
      </c>
      <c r="B444" s="589" t="s">
        <v>3217</v>
      </c>
      <c r="C444" s="588" t="s">
        <v>3130</v>
      </c>
    </row>
    <row r="445" ht="45.5" customHeight="1" spans="1:4">
      <c r="A445" s="586" t="s">
        <v>2590</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2590</v>
      </c>
      <c r="B446" s="589" t="s">
        <v>3218</v>
      </c>
      <c r="C446" s="588" t="s">
        <v>3133</v>
      </c>
    </row>
    <row r="447" ht="32" customHeight="1" spans="1:4">
      <c r="A447" s="586" t="s">
        <v>2590</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2590</v>
      </c>
      <c r="B448" s="589" t="s">
        <v>3219</v>
      </c>
      <c r="C448" s="588" t="s">
        <v>3133</v>
      </c>
    </row>
    <row r="449" ht="32" customHeight="1" spans="1:4">
      <c r="A449" s="586" t="s">
        <v>2590</v>
      </c>
      <c r="B449" s="587" t="s">
        <v>3220</v>
      </c>
      <c r="C449" s="586" t="s">
        <v>3133</v>
      </c>
    </row>
    <row r="450" ht="32" customHeight="1" spans="1:4">
      <c r="A450" s="588" t="s">
        <v>2590</v>
      </c>
      <c r="B450" s="589" t="s">
        <v>3221</v>
      </c>
      <c r="C450" s="588" t="s">
        <v>3142</v>
      </c>
    </row>
    <row r="451" ht="32" customHeight="1" spans="1:4">
      <c r="A451" s="586" t="s">
        <v>2590</v>
      </c>
      <c r="B451" s="587" t="inlineStr">
        <is>
          <t xml:space="preserve">使用无人机监控嫌疑人 1 到 2 天</t>
        </is>
      </c>
      <c r="C451" s="586" t="inlineStr">
        <is>
          <t xml:space="preserve">会招致官方审查。</t>
        </is>
      </c>
    </row>
    <row r="452" ht="32" customHeight="1" spans="1:4">
      <c r="A452" s="588" t="s">
        <v>2591</v>
      </c>
      <c r="B452" s="589" t="s">
        <v>3222</v>
      </c>
      <c r="C452" s="588" t="s">
        <v>3130</v>
      </c>
    </row>
    <row r="453" ht="32" customHeight="1" spans="1:4">
      <c r="A453" s="586" t="s">
        <v>2591</v>
      </c>
      <c r="B453" s="587" t="s">
        <v>3223</v>
      </c>
      <c r="C453" s="586" t="s">
        <v>3133</v>
      </c>
    </row>
    <row r="454" ht="32" customHeight="1" spans="1:4">
      <c r="A454" s="588" t="s">
        <v>2591</v>
      </c>
      <c r="B454" s="589" t="s">
        <v>3224</v>
      </c>
      <c r="C454" s="588" t="s">
        <v>3133</v>
      </c>
    </row>
    <row r="455" ht="32" customHeight="1" spans="1:4">
      <c r="A455" s="586" t="s">
        <v>2591</v>
      </c>
      <c r="B455" s="587" t="s">
        <v>3225</v>
      </c>
      <c r="C455" s="586" t="s">
        <v>3142</v>
      </c>
    </row>
    <row r="456" ht="32" customHeight="1" spans="1:4">
      <c r="A456" s="588" t="s">
        <v>2591</v>
      </c>
      <c r="B456" s="589" t="s">
        <v>3226</v>
      </c>
      <c r="C456" s="588" t="s">
        <v>3142</v>
      </c>
    </row>
    <row r="457" ht="32" customHeight="1" spans="1:4">
      <c r="A457" s="586" t="s">
        <v>2591</v>
      </c>
      <c r="B457" s="587" t="s">
        <v>3227</v>
      </c>
      <c r="C457" s="586" t="s">
        <v>3147</v>
      </c>
    </row>
    <row r="458" ht="32" customHeight="1" spans="1:4">
      <c r="A458" s="588" t="s">
        <v>2591</v>
      </c>
      <c r="B458" s="589" t="s">
        <v>3228</v>
      </c>
      <c r="C458" s="588" t="s">
        <v>3150</v>
      </c>
    </row>
    <row r="459" ht="32" customHeight="1" spans="1:4">
      <c r="A459" s="586" t="s">
        <v>2592</v>
      </c>
      <c r="B459" s="587" t="s">
        <v>3229</v>
      </c>
      <c r="C459" s="586" t="s">
        <v>3130</v>
      </c>
    </row>
    <row r="460" ht="32" customHeight="1" spans="1:4">
      <c r="A460" s="588" t="s">
        <v>2592</v>
      </c>
      <c r="B460" s="589" t="s">
        <v>3230</v>
      </c>
      <c r="C460" s="588" t="s">
        <v>3133</v>
      </c>
    </row>
    <row r="461" ht="32" customHeight="1" spans="1:4">
      <c r="A461" s="586" t="s">
        <v>2592</v>
      </c>
      <c r="B461" s="587" t="s">
        <v>3231</v>
      </c>
      <c r="C461" s="586" t="s">
        <v>3142</v>
      </c>
    </row>
    <row r="462" ht="32" customHeight="1" spans="1:4">
      <c r="A462" s="588" t="s">
        <v>2592</v>
      </c>
      <c r="B462" s="589" t="s">
        <v>3232</v>
      </c>
      <c r="C462" s="588" t="s">
        <v>3147</v>
      </c>
    </row>
    <row r="463" ht="32" customHeight="1" spans="1:4">
      <c r="A463" s="586" t="s">
        <v>2592</v>
      </c>
      <c r="B463" s="587" t="s">
        <v>3233</v>
      </c>
      <c r="C463" s="586" t="s">
        <v>3150</v>
      </c>
    </row>
    <row r="464" ht="32" customHeight="1" spans="1:4">
      <c r="A464" s="588" t="s">
        <v>2593</v>
      </c>
      <c r="B464" s="589" t="s">
        <v>3234</v>
      </c>
      <c r="C464" s="588" t="s">
        <v>3142</v>
      </c>
    </row>
    <row r="465" ht="32" customHeight="1" spans="1:4">
      <c r="A465" s="586" t="s">
        <v>2593</v>
      </c>
      <c r="B465" s="587" t="inlineStr">
        <is>
          <t xml:space="preserve">伪造的护照或身份证明文件</t>
        </is>
      </c>
      <c r="C465" s="586" t="s">
        <v>3235</v>
      </c>
    </row>
    <row r="466" ht="45.5" customHeight="1" spans="1:4">
      <c r="A466" s="588" t="s">
        <v>2593</v>
      </c>
      <c r="B466" s="589" t="s">
        <v>3236</v>
      </c>
      <c r="C466" s="588" t="s">
        <v>3147</v>
      </c>
    </row>
    <row r="467" ht="45.5" customHeight="1" spans="1:4">
      <c r="A467" s="586" t="s">
        <v>2593</v>
      </c>
      <c r="B467" s="587" t="inlineStr">
        <is>
          <t xml:space="preserve">G-7 国家的伪造护照（加拿大，欧盟，日本，美国，英国）</t>
        </is>
      </c>
      <c r="C467" s="586" t="s">
        <v>3235</v>
      </c>
    </row>
    <row r="468" ht="32" customHeight="1" spans="1:4">
      <c r="A468" s="588" t="s">
        <v>2593</v>
      </c>
      <c r="B468" s="589" t="s">
        <v>3237</v>
      </c>
      <c r="C468" s="588" t="s">
        <v>3150</v>
      </c>
    </row>
    <row r="469" ht="32" customHeight="1" spans="1:4">
      <c r="A469" s="586" t="s">
        <v>2593</v>
      </c>
      <c r="B469" s="587" t="inlineStr">
        <is>
          <t xml:space="preserve">全新的合法身份证明</t>
        </is>
      </c>
      <c r="C469" s="586" t="s">
        <v>3235</v>
      </c>
    </row>
    <row r="470" ht="32" customHeight="1" spans="1:4">
      <c r="A470" s="588" t="s">
        <v>2594</v>
      </c>
      <c r="B470" s="589" t="s">
        <v>3238</v>
      </c>
      <c r="C470" s="588" t="s">
        <v>3130</v>
      </c>
    </row>
    <row r="471" ht="32" customHeight="1" spans="1:4">
      <c r="A471" s="586" t="s">
        <v>2594</v>
      </c>
      <c r="B471" s="587" t="s">
        <v>3239</v>
      </c>
      <c r="C471" s="586" t="s">
        <v>3133</v>
      </c>
    </row>
    <row r="472" ht="32" customHeight="1" spans="1:4">
      <c r="A472" s="588" t="s">
        <v>2594</v>
      </c>
      <c r="B472" s="589" t="s">
        <v>3240</v>
      </c>
      <c r="C472" s="588" t="s">
        <v>3142</v>
      </c>
    </row>
    <row r="473" ht="32" customHeight="1" spans="1:4">
      <c r="A473" s="586" t="s">
        <v>2595</v>
      </c>
      <c r="B473" s="587" t="s">
        <v>3241</v>
      </c>
      <c r="C473" s="586" t="s">
        <v>3130</v>
      </c>
    </row>
    <row r="474" ht="32" customHeight="1" spans="1:4">
      <c r="A474" s="588" t="s">
        <v>2595</v>
      </c>
      <c r="B474" s="589" t="inlineStr">
        <is>
          <t xml:space="preserve">索带式塑料手铐</t>
        </is>
      </c>
      <c r="C474" s="588" t="s">
        <v>3242</v>
      </c>
    </row>
    <row r="475" ht="32" customHeight="1" spans="1:4">
      <c r="A475" s="586" t="s">
        <v>2595</v>
      </c>
      <c r="B475" s="587" t="s">
        <v>3243</v>
      </c>
      <c r="C475" s="586" t="s">
        <v>3130</v>
      </c>
    </row>
    <row r="476" ht="32" customHeight="1" spans="1:4">
      <c r="A476" s="588" t="s">
        <v>2595</v>
      </c>
      <c r="B476" s="589" t="inlineStr">
        <is>
          <t xml:space="preserve">手铐</t>
        </is>
      </c>
      <c r="C476" s="588" t="s">
        <v>3244</v>
      </c>
    </row>
    <row r="477" ht="32" customHeight="1" spans="1:4">
      <c r="A477" s="586" t="s">
        <v>2596</v>
      </c>
      <c r="B477" s="587" t="s">
        <v>3245</v>
      </c>
      <c r="C477" s="586" t="s">
        <v>3130</v>
      </c>
    </row>
    <row r="478" ht="32" customHeight="1" spans="1:4">
      <c r="A478" s="588" t="s">
        <v>2596</v>
      </c>
      <c r="B478" s="589" t="s">
        <v>3246</v>
      </c>
      <c r="C478" s="588" t="s">
        <v>3130</v>
      </c>
    </row>
    <row r="479" ht="32" customHeight="1" spans="1:4">
      <c r="A479" s="586" t="s">
        <v>2596</v>
      </c>
      <c r="B479" s="587" t="s">
        <v>3247</v>
      </c>
      <c r="C479" s="586" t="s">
        <v>3133</v>
      </c>
    </row>
    <row r="480" ht="32" customHeight="1" spans="1:4">
      <c r="A480" s="588" t="s">
        <v>2596</v>
      </c>
      <c r="B480" s="589" t="s">
        <v>3248</v>
      </c>
      <c r="C480" s="588" t="s">
        <v>3133</v>
      </c>
    </row>
    <row r="481" ht="45.5" customHeight="1" spans="1:4">
      <c r="A481" s="586" t="s">
        <v>2596</v>
      </c>
      <c r="B481" s="587" t="s">
        <v>3249</v>
      </c>
      <c r="C481" s="586" t="s">
        <v>3147</v>
      </c>
    </row>
    <row r="482" ht="32" customHeight="1" spans="1:4">
      <c r="A482" s="588" t="s">
        <v>2597</v>
      </c>
      <c r="B482" s="589" t="s">
        <v>3250</v>
      </c>
      <c r="C482" s="588" t="s">
        <v>3130</v>
      </c>
    </row>
    <row r="483" ht="32" customHeight="1" spans="1:4">
      <c r="A483" s="586" t="s">
        <v>2597</v>
      </c>
      <c r="B483" s="587" t="s">
        <v>3251</v>
      </c>
      <c r="C483" s="586" t="s">
        <v>3130</v>
      </c>
    </row>
    <row r="484" ht="32" customHeight="1" spans="1:4">
      <c r="A484" s="588" t="s">
        <v>2597</v>
      </c>
      <c r="B484" s="589" t="s">
        <v>3252</v>
      </c>
      <c r="C484" s="588" t="s">
        <v>3130</v>
      </c>
    </row>
    <row r="485" ht="32" customHeight="1" spans="1:4">
      <c r="A485" s="586" t="s">
        <v>2597</v>
      </c>
      <c r="B485" s="587" t="inlineStr">
        <is>
          <t xml:space="preserve">现成的常用黑客软件</t>
        </is>
      </c>
      <c r="C485" s="586" t="s">
        <v>3253</v>
      </c>
    </row>
    <row r="486" ht="32" customHeight="1" spans="1:4">
      <c r="A486" s="588" t="s">
        <v>2597</v>
      </c>
      <c r="B486" s="589" t="s">
        <v>3254</v>
      </c>
      <c r="C486" s="588" t="s">
        <v>3133</v>
      </c>
    </row>
    <row r="487" ht="32" customHeight="1" spans="1:4">
      <c r="A487" s="586" t="s">
        <v>2597</v>
      </c>
      <c r="B487" s="587" t="s">
        <v>3255</v>
      </c>
      <c r="C487" s="586" t="s">
        <v>3133</v>
      </c>
    </row>
    <row r="488" ht="32" customHeight="1" spans="1:4">
      <c r="A488" s="588" t="s">
        <v>2597</v>
      </c>
      <c r="B488" s="589" t="s">
        <v>3256</v>
      </c>
      <c r="C488" s="588" t="s">
        <v>3133</v>
      </c>
    </row>
    <row r="489" ht="32" customHeight="1" spans="1:4">
      <c r="A489" s="586" t="s">
        <v>2597</v>
      </c>
      <c r="B489" s="587" t="s">
        <v>3257</v>
      </c>
      <c r="C489" s="586" t="s">
        <v>3133</v>
      </c>
    </row>
    <row r="490" ht="32" customHeight="1" spans="1:4">
      <c r="A490" s="588" t="s">
        <v>2597</v>
      </c>
      <c r="B490" s="589" t="s">
        <v>3258</v>
      </c>
      <c r="C490" s="588" t="s">
        <v>3142</v>
      </c>
    </row>
    <row r="491" ht="32" customHeight="1" spans="1:4">
      <c r="A491" s="586" t="s">
        <v>2597</v>
      </c>
      <c r="B491" s="587" t="s">
        <v>3259</v>
      </c>
      <c r="C491" s="586" t="s">
        <v>3142</v>
      </c>
    </row>
    <row r="492" ht="32" customHeight="1" spans="1:4">
      <c r="A492" s="588" t="s">
        <v>2597</v>
      </c>
      <c r="B492" s="589" t="inlineStr">
        <is>
          <t xml:space="preserve">雇用黑客来破解基础加密系统</t>
        </is>
      </c>
      <c r="C492" s="588" t="s">
        <v>3260</v>
      </c>
    </row>
    <row r="493" ht="32" customHeight="1" spans="1:4">
      <c r="A493" s="586" t="s">
        <v>2597</v>
      </c>
      <c r="B493" s="587" t="s">
        <v>3261</v>
      </c>
      <c r="C493" s="586" t="s">
        <v>3147</v>
      </c>
    </row>
    <row r="494" ht="32" customHeight="1" spans="1:4">
      <c r="A494" s="588" t="s">
        <v>2597</v>
      </c>
      <c r="B494" s="589" t="s">
        <v>3262</v>
      </c>
      <c r="C494" s="588" t="s">
        <v>3147</v>
      </c>
    </row>
    <row r="495" ht="32" customHeight="1" spans="1:4">
      <c r="A495" s="586" t="s">
        <v>2597</v>
      </c>
      <c r="B495" s="587" t="inlineStr">
        <is>
          <t xml:space="preserve">顶尖的加密系统或数据挖掘软件</t>
        </is>
      </c>
      <c r="C495" s="586" t="s">
        <v>3263</v>
      </c>
    </row>
    <row r="496" ht="32" customHeight="1" spans="1:4">
      <c r="A496" s="588" t="s">
        <v>2597</v>
      </c>
      <c r="B496" s="589" t="s">
        <v>3264</v>
      </c>
      <c r="C496" s="588" t="s">
        <v>3147</v>
      </c>
    </row>
    <row r="497" ht="32" customHeight="1" spans="1:4">
      <c r="A497" s="586" t="s">
        <v>2597</v>
      </c>
      <c r="B497" s="587" t="inlineStr">
        <is>
          <t xml:space="preserve">先进数据分析软件</t>
        </is>
      </c>
      <c r="C497" s="586" t="s">
        <v>3265</v>
      </c>
    </row>
    <row r="498" ht="32" customHeight="1" spans="1:4">
      <c r="A498" s="588" t="s">
        <v>2597</v>
      </c>
      <c r="B498" s="589" t="s">
        <v>3266</v>
      </c>
      <c r="C498" s="588" t="s">
        <v>3147</v>
      </c>
    </row>
    <row r="499" ht="32" customHeight="1" spans="1:4">
      <c r="A499" s="586" t="s">
        <v>2597</v>
      </c>
      <c r="B499" s="587" t="s">
        <v>3267</v>
      </c>
      <c r="C499" s="586" t="s">
        <v>3147</v>
      </c>
    </row>
    <row r="500" ht="32" customHeight="1" spans="1:4">
      <c r="A500" s="588" t="s">
        <v>2597</v>
      </c>
      <c r="B500" s="589" t="inlineStr">
        <is>
          <t xml:space="preserve">雇用黑客来破解先进加密系统</t>
        </is>
      </c>
      <c r="C500" s="588" t="s">
        <v>3268</v>
      </c>
    </row>
    <row r="501" ht="32" customHeight="1" spans="1:4">
      <c r="A501" s="586" t="s">
        <v>2597</v>
      </c>
      <c r="B501" s="587" t="s">
        <v>3269</v>
      </c>
      <c r="C501" s="586" t="s">
        <v>3147</v>
      </c>
    </row>
    <row r="502" ht="45.5" customHeight="1" spans="1:4">
      <c r="A502" s="588" t="s">
        <v>2597</v>
      </c>
      <c r="B502" s="589" t="inlineStr">
        <is>
          <t xml:space="preserve">用于监控手机的便携式国际移动用户识别码捕获器</t>
        </is>
      </c>
      <c r="C502" s="588" t="s">
        <v>3270</v>
      </c>
    </row>
    <row r="503" ht="32" customHeight="1" spans="1:4">
      <c r="A503" s="586" t="s">
        <v>2597</v>
      </c>
      <c r="B503" s="587" t="s">
        <v>3271</v>
      </c>
      <c r="C503" s="586" t="s">
        <v>3150</v>
      </c>
    </row>
    <row r="504" ht="32" customHeight="1" spans="1:4">
      <c r="A504" s="588" t="s">
        <v>2597</v>
      </c>
      <c r="B504" s="589" t="inlineStr">
        <is>
          <t xml:space="preserve">独享一颗专用通信卫星</t>
        </is>
      </c>
      <c r="C504" s="588" t="s">
        <v>3263</v>
      </c>
    </row>
    <row r="505" ht="45.5" customHeight="1" spans="1:4">
      <c r="A505" s="586" t="s">
        <v>2590</v>
      </c>
      <c r="B505" s="587" t="s">
        <v>3272</v>
      </c>
      <c r="C505" s="586" t="s">
        <v>3142</v>
      </c>
    </row>
    <row r="506" ht="32" customHeight="1" spans="1:4">
      <c r="A506" s="588" t="s">
        <v>2590</v>
      </c>
      <c r="B506" s="589" t="s">
        <v>3273</v>
      </c>
      <c r="C506" s="588" t="s">
        <v>3142</v>
      </c>
    </row>
    <row r="507" ht="32" customHeight="1" spans="1:4">
      <c r="A507" s="586" t="s">
        <v>2590</v>
      </c>
      <c r="B507" s="587" t="inlineStr">
        <is>
          <t xml:space="preserve">派遣 2-5 名身着制服的当地警员</t>
        </is>
      </c>
      <c r="C507" s="586" t="inlineStr">
        <is>
          <t xml:space="preserve">会招致官方审查。</t>
        </is>
      </c>
    </row>
    <row r="508" ht="32" customHeight="1" spans="1:4">
      <c r="A508" s="588" t="s">
        <v>2590</v>
      </c>
      <c r="B508" s="589" t="s">
        <v>3274</v>
      </c>
      <c r="C508" s="588" t="s">
        <v>3142</v>
      </c>
    </row>
    <row r="509" ht="32" customHeight="1" spans="1:4">
      <c r="A509" s="586" t="s">
        <v>2590</v>
      </c>
      <c r="B509" s="587" t="s">
        <v>3275</v>
      </c>
      <c r="C509" s="586" t="s">
        <v>3142</v>
      </c>
    </row>
    <row r="510" ht="32" customHeight="1" spans="1:4">
      <c r="A510" s="588" t="s">
        <v>2590</v>
      </c>
      <c r="B510" s="589" t="s">
        <v>3276</v>
      </c>
      <c r="C510" s="588" t="s">
        <v>3142</v>
      </c>
    </row>
    <row r="511" ht="32" customHeight="1" spans="1:4">
      <c r="A511" s="586" t="s">
        <v>2590</v>
      </c>
      <c r="B511" s="587" t="s">
        <v>3277</v>
      </c>
      <c r="C511" s="586" t="s">
        <v>3150</v>
      </c>
    </row>
    <row r="512" ht="32" customHeight="1" spans="1:4">
      <c r="A512" s="588" t="s">
        <v>2590</v>
      </c>
      <c r="B512" s="589" t="inlineStr">
        <is>
          <t xml:space="preserve">呼叫当地的 FBI SWAT 小队进行突袭</t>
        </is>
      </c>
      <c r="C512" s="588" t="inlineStr">
        <is>
          <t xml:space="preserve">会招致官方审查。</t>
        </is>
      </c>
    </row>
    <row r="513" ht="45.5" customHeight="1" spans="1:4">
      <c r="A513" s="586" t="s">
        <v>2598</v>
      </c>
      <c r="B513" s="587" t="s">
        <v>3278</v>
      </c>
      <c r="C513" s="586" t="s">
        <v>3130</v>
      </c>
    </row>
    <row r="514" ht="32" customHeight="1" spans="1:4">
      <c r="A514" s="588" t="s">
        <v>2598</v>
      </c>
      <c r="B514" s="589" t="s">
        <v>3279</v>
      </c>
      <c r="C514" s="588" t="s">
        <v>3150</v>
      </c>
    </row>
    <row r="515" ht="32" customHeight="1" spans="1:4">
      <c r="A515" s="586" t="s">
        <v>2598</v>
      </c>
      <c r="B515" s="587" t="inlineStr">
        <is>
          <t xml:space="preserve">呼叫一支特种作战小队进行安保或撤离行动</t>
        </is>
      </c>
      <c r="C515" s="586" t="inlineStr">
        <is>
          <t xml:space="preserve">会招致官方审查。</t>
        </is>
      </c>
    </row>
    <row r="516" ht="32" customHeight="1" spans="1:4">
      <c r="A516" s="588" t="s">
        <v>2598</v>
      </c>
      <c r="B516" s="589" t="s">
        <v>3280</v>
      </c>
      <c r="C516" s="588" t="s">
        <v>3150</v>
      </c>
    </row>
    <row r="517" ht="32" customHeight="1" spans="1:4">
      <c r="A517" s="586" t="s">
        <v>2598</v>
      </c>
      <c r="B517" s="587" t="inlineStr">
        <is>
          <t xml:space="preserve">直升机支援（运载或监控）</t>
        </is>
      </c>
      <c r="C517" s="586" t="inlineStr">
        <is>
          <t xml:space="preserve">会招致官方审查。</t>
        </is>
      </c>
    </row>
    <row r="518" ht="32" customHeight="1" spans="1:4">
      <c r="A518" s="588" t="s">
        <v>2598</v>
      </c>
      <c r="B518" s="589" t="s">
        <v>3281</v>
      </c>
      <c r="C518" s="588" t="s">
        <v>3150</v>
      </c>
    </row>
    <row r="519" ht="32" customHeight="1" spans="1:4">
      <c r="A519" s="586" t="s">
        <v>2598</v>
      </c>
      <c r="B519" s="587" t="inlineStr">
        <is>
          <t xml:space="preserve">导弹空袭</t>
        </is>
      </c>
      <c r="C519" s="586" t="inlineStr">
        <is>
          <t xml:space="preserve">会招致官方审查；不能空袭美国本土。</t>
        </is>
      </c>
    </row>
    <row r="520" ht="45.5" customHeight="1" spans="1:4">
      <c r="A520" s="588" t="s">
        <v>2599</v>
      </c>
      <c r="B520" s="589" t="s">
        <v>2599</v>
      </c>
      <c r="C520" s="588" t="s">
        <v>3282</v>
      </c>
    </row>
    <row r="521" ht="32" customHeight="1" spans="1:4">
      <c r="A521" s="586" t="s">
        <v>2600</v>
      </c>
      <c r="B521" s="587" t="s">
        <v>3283</v>
      </c>
      <c r="C521" s="586" t="s">
        <v>3142</v>
      </c>
    </row>
    <row r="522" ht="45.5" customHeight="1" spans="1:4">
      <c r="A522" s="588" t="s">
        <v>2600</v>
      </c>
      <c r="B522" s="589" t="inlineStr">
        <is>
          <t xml:space="preserve">访问另一个机构的机密文件（与国土安全无关）</t>
        </is>
      </c>
      <c r="C522" s="588" t="s">
        <v>3284</v>
      </c>
    </row>
    <row r="523" ht="32" customHeight="1" spans="1:4">
      <c r="A523" s="586" t="s">
        <v>2600</v>
      </c>
      <c r="B523" s="587" t="s">
        <v>3285</v>
      </c>
      <c r="C523" s="586" t="s">
        <v>3142</v>
      </c>
    </row>
    <row r="524" ht="32" customHeight="1" spans="1:4">
      <c r="A524" s="588" t="s">
        <v>2600</v>
      </c>
      <c r="B524" s="589" t="inlineStr">
        <is>
          <t xml:space="preserve">无人机低空飞越并监控一块特定区域</t>
        </is>
      </c>
      <c r="C524" s="588" t="inlineStr">
        <is>
          <t xml:space="preserve">会招致官方审查。</t>
        </is>
      </c>
    </row>
    <row r="525" ht="32" customHeight="1" spans="1:4">
      <c r="A525" s="586" t="s">
        <v>2600</v>
      </c>
      <c r="B525" s="587" t="s">
        <v>3286</v>
      </c>
      <c r="C525" s="586" t="s">
        <v>3147</v>
      </c>
    </row>
    <row r="526" ht="32" customHeight="1" spans="1:4">
      <c r="A526" s="588" t="s">
        <v>2600</v>
      </c>
      <c r="B526" s="589" t="inlineStr">
        <is>
          <t xml:space="preserve">将一名囚犯关押在“黑狱”中 48 小时</t>
        </is>
      </c>
      <c r="C526" s="588" t="s">
        <v>3287</v>
      </c>
    </row>
    <row r="527" ht="32" customHeight="1" spans="1:4">
      <c r="A527" s="586" t="s">
        <v>2600</v>
      </c>
      <c r="B527" s="587" t="s">
        <v>3288</v>
      </c>
      <c r="C527" s="586" t="s">
        <v>3147</v>
      </c>
    </row>
    <row r="528" ht="32" customHeight="1" spans="1:4">
      <c r="A528" s="588" t="s">
        <v>2600</v>
      </c>
      <c r="B528" s="589" t="s">
        <v>3289</v>
      </c>
      <c r="C528" s="588" t="s">
        <v>3147</v>
      </c>
    </row>
    <row r="529" ht="32" customHeight="1" spans="1:4">
      <c r="A529" s="586" t="s">
        <v>2600</v>
      </c>
      <c r="B529" s="587" t="s">
        <v>3290</v>
      </c>
      <c r="C529" s="586" t="s">
        <v>3147</v>
      </c>
    </row>
    <row r="530" ht="45.5" customHeight="1" spans="1:4">
      <c r="A530" s="588" t="s">
        <v>2600</v>
      </c>
      <c r="B530" s="589" t="inlineStr">
        <is>
          <t xml:space="preserve">访问与国土安全相关和机密文件（特工本不应知道）</t>
        </is>
      </c>
      <c r="C530" s="588" t="s">
        <v>3291</v>
      </c>
    </row>
    <row r="531" ht="45.5" customHeight="1" spans="1:4">
      <c r="A531" s="586" t="s">
        <v>2600</v>
      </c>
      <c r="B531" s="587" t="s">
        <v>3292</v>
      </c>
      <c r="C531" s="586" t="s">
        <v>3150</v>
      </c>
    </row>
    <row r="532" ht="45.5" customHeight="1" spans="1:4">
      <c r="A532" s="588" t="s">
        <v>2600</v>
      </c>
      <c r="B532" s="589" t="inlineStr">
        <is>
          <t xml:space="preserve">无人机或卫星扩展性监控一块特定区域（不仅限于一次短途低空飞越）</t>
        </is>
      </c>
      <c r="C532" s="588" t="inlineStr">
        <is>
          <t xml:space="preserve">会招致官方审查。</t>
        </is>
      </c>
    </row>
    <row r="533" ht="32" customHeight="1" spans="1:4">
      <c r="A533" s="586" t="s">
        <v>2600</v>
      </c>
      <c r="B533" s="587" t="s">
        <v>3293</v>
      </c>
      <c r="C533" s="586" t="s">
        <v>3150</v>
      </c>
    </row>
    <row r="534" ht="32" customHeight="1" spans="1:4">
      <c r="A534" s="588" t="s">
        <v>2600</v>
      </c>
      <c r="B534" s="589" t="inlineStr">
        <is>
          <t xml:space="preserve">呼叫秘密行动队在区域内提供支援</t>
        </is>
      </c>
      <c r="C534" s="588" t="inlineStr">
        <is>
          <t xml:space="preserve">会招致官方审查。</t>
        </is>
      </c>
    </row>
    <row r="535" ht="32" customHeight="1" spans="1:4">
      <c r="A535" s="586" t="s">
        <v>2601</v>
      </c>
      <c r="B535" s="587" t="s">
        <v>3247</v>
      </c>
      <c r="C535" s="586" t="s">
        <v>3133</v>
      </c>
    </row>
    <row r="536" ht="32" customHeight="1" spans="1:4">
      <c r="A536" s="588" t="s">
        <v>2601</v>
      </c>
      <c r="B536" s="589" t="s">
        <v>3294</v>
      </c>
      <c r="C536" s="588" t="s">
        <v>3133</v>
      </c>
    </row>
    <row r="537" ht="32" customHeight="1" spans="1:4">
      <c r="A537" s="586" t="s">
        <v>2601</v>
      </c>
      <c r="B537" s="587" t="s">
        <v>3295</v>
      </c>
      <c r="C537" s="586" t="s">
        <v>3133</v>
      </c>
    </row>
    <row r="538" ht="32" customHeight="1" spans="1:4">
      <c r="A538" s="588" t="s">
        <v>2601</v>
      </c>
      <c r="B538" s="589" t="inlineStr">
        <is>
          <t xml:space="preserve">向地方执法机构提出逮捕申请（以正当理由）</t>
        </is>
      </c>
      <c r="C538" s="588" t="inlineStr">
        <is>
          <t xml:space="preserve">会招致官方审查。</t>
        </is>
      </c>
    </row>
    <row r="539" ht="32" customHeight="1" spans="1:4">
      <c r="A539" s="586" t="s">
        <v>2601</v>
      </c>
      <c r="B539" s="587" t="s">
        <v>3296</v>
      </c>
      <c r="C539" s="586" t="s">
        <v>3142</v>
      </c>
    </row>
    <row r="540" ht="32" customHeight="1" spans="1:4">
      <c r="A540" s="588" t="s">
        <v>2601</v>
      </c>
      <c r="B540" s="589" t="inlineStr">
        <is>
          <t xml:space="preserve">以所谓的环境犯罪为名义，获取进入工地的许可</t>
        </is>
      </c>
      <c r="C540" s="588" t="inlineStr">
        <is>
          <t xml:space="preserve">会招致官方审查。</t>
        </is>
      </c>
    </row>
    <row r="541" ht="32" customHeight="1" spans="1:4">
      <c r="A541" s="586" t="s">
        <v>2601</v>
      </c>
      <c r="B541" s="587" t="s">
        <v>3297</v>
      </c>
      <c r="C541" s="586" t="s">
        <v>3147</v>
      </c>
    </row>
    <row r="542" ht="32" customHeight="1" spans="1:4">
      <c r="A542" s="588" t="s">
        <v>2601</v>
      </c>
      <c r="B542" s="589" t="inlineStr">
        <is>
          <t xml:space="preserve">临时性地关闭一处工地进行环境犯罪调查</t>
        </is>
      </c>
      <c r="C542" s="588" t="inlineStr">
        <is>
          <t xml:space="preserve">会招致官方审查。</t>
        </is>
      </c>
    </row>
    <row r="543" ht="32" customHeight="1" spans="1:4">
      <c r="A543" s="586" t="s">
        <v>2601</v>
      </c>
      <c r="B543" s="587" t="inlineStr">
        <is>
          <t xml:space="preserve">隔离一个场所</t>
        </is>
      </c>
      <c r="C543" s="586" t="s">
        <v>3147</v>
      </c>
    </row>
    <row r="544" ht="32" customHeight="1" spans="1:4">
      <c r="A544" s="588" t="s">
        <v>2601</v>
      </c>
      <c r="B544" s="589" t="inlineStr">
        <is>
          <t xml:space="preserve">隔离一个场所</t>
        </is>
      </c>
      <c r="C544" s="588" t="inlineStr">
        <is>
          <t xml:space="preserve">会招致官方审查。</t>
        </is>
      </c>
    </row>
    <row r="545" ht="32" customHeight="1" spans="1:4">
      <c r="A545" s="586" t="s">
        <v>2601</v>
      </c>
      <c r="B545" s="587" t="s">
        <v>3298</v>
      </c>
      <c r="C545" s="586" t="s">
        <v>3147</v>
      </c>
    </row>
    <row r="546" ht="32" customHeight="1" spans="1:4">
      <c r="A546" s="588" t="s">
        <v>2601</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v1.6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1" t="s">
        <v>3299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row>
    <row r="2" ht="14.4" customHeight="1" spans="1:36">
      <c r="A2" s="4"/>
      <c r="AJ2" s="5"/>
    </row>
    <row r="3" ht="14.4" customHeight="1" spans="1:36">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8"/>
    </row>
    <row r="4" ht="14.4" customHeight="1" spans="1:36">
      <c r="A4" s="9" t="s">
        <v>3300</v>
      </c>
      <c r="B4" s="10"/>
      <c r="C4" s="10"/>
      <c r="D4" s="10"/>
      <c r="E4" s="10"/>
      <c r="F4" s="10"/>
      <c r="G4" s="10"/>
      <c r="H4" s="10"/>
      <c r="I4" s="10"/>
      <c r="J4" s="10"/>
      <c r="K4" s="10"/>
      <c r="L4" s="10"/>
      <c r="M4" s="10"/>
      <c r="N4" s="10"/>
      <c r="O4" s="10"/>
      <c r="P4" s="10"/>
      <c r="Q4" s="10"/>
      <c r="R4" s="11"/>
      <c r="S4" s="9" t="s">
        <v>3301</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3302</v>
      </c>
      <c r="B6" s="10"/>
      <c r="C6" s="10"/>
      <c r="D6" s="10"/>
      <c r="E6" s="10"/>
      <c r="F6" s="10"/>
      <c r="G6" s="10"/>
      <c r="H6" s="10"/>
      <c r="I6" s="10"/>
      <c r="J6" s="10"/>
      <c r="K6" s="10"/>
      <c r="L6" s="10"/>
      <c r="M6" s="10"/>
      <c r="N6" s="10"/>
      <c r="O6" s="10"/>
      <c r="P6" s="10"/>
      <c r="Q6" s="10"/>
      <c r="R6" s="11"/>
      <c r="S6" s="9" t="s">
        <v>3303</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3304</v>
      </c>
      <c r="B8" s="10"/>
      <c r="C8" s="10"/>
      <c r="D8" s="10"/>
      <c r="E8" s="10"/>
      <c r="F8" s="10"/>
      <c r="G8" s="11"/>
      <c r="H8" s="9" t="s">
        <v>3305</v>
      </c>
      <c r="I8" s="10"/>
      <c r="J8" s="10"/>
      <c r="K8" s="10"/>
      <c r="L8" s="10"/>
      <c r="M8" s="11"/>
      <c r="N8" s="9" t="s">
        <v>3306</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3307</v>
      </c>
      <c r="B10" s="10"/>
      <c r="C10" s="10"/>
      <c r="D10" s="10"/>
      <c r="E10" s="10"/>
      <c r="F10" s="11"/>
      <c r="G10" s="9" t="s">
        <v>85</v>
      </c>
      <c r="H10" s="10"/>
      <c r="I10" s="11"/>
      <c r="J10" s="9" t="s">
        <v>3</v>
      </c>
      <c r="K10" s="10"/>
      <c r="L10" s="11"/>
      <c r="M10" s="9" t="s">
        <v>3308</v>
      </c>
      <c r="N10" s="10"/>
      <c r="O10" s="10"/>
      <c r="P10" s="10"/>
      <c r="Q10" s="10"/>
      <c r="R10" s="10"/>
      <c r="S10" s="11"/>
      <c r="T10" s="9" t="s">
        <v>3309</v>
      </c>
      <c r="U10" s="10"/>
      <c r="V10" s="10"/>
      <c r="W10" s="10"/>
      <c r="X10" s="10"/>
      <c r="Y10" s="10"/>
      <c r="Z10" s="10"/>
      <c r="AA10" s="10"/>
      <c r="AB10" s="10"/>
      <c r="AC10" s="10"/>
      <c r="AD10" s="10"/>
      <c r="AE10" s="10"/>
      <c r="AF10" s="11"/>
      <c r="AG10" s="9" t="s">
        <v>3310</v>
      </c>
      <c r="AH10" s="10"/>
      <c r="AI10" s="10"/>
      <c r="AJ10" s="11"/>
    </row>
    <row r="11" ht="14.4" customHeight="1" spans="1:36">
      <c r="A11" s="14" t="s">
        <v>3311</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3312</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3313</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3314</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3315</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3316</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3317</v>
      </c>
      <c r="U16" s="10"/>
      <c r="V16" s="10"/>
      <c r="W16" s="10"/>
      <c r="X16" s="10"/>
      <c r="Y16" s="10"/>
      <c r="Z16" s="10"/>
      <c r="AA16" s="10"/>
      <c r="AB16" s="10"/>
      <c r="AC16" s="10"/>
      <c r="AD16" s="10"/>
      <c r="AE16" s="10"/>
      <c r="AF16" s="10"/>
      <c r="AG16" s="10"/>
      <c r="AH16" s="10"/>
      <c r="AI16" s="10"/>
      <c r="AJ16" s="11"/>
    </row>
    <row r="17" ht="14.4" customHeight="1" spans="1:36">
      <c r="A17" s="9" t="s">
        <v>3318</v>
      </c>
      <c r="B17" s="10"/>
      <c r="C17" s="10"/>
      <c r="D17" s="10"/>
      <c r="E17" s="10"/>
      <c r="F17" s="10"/>
      <c r="G17" s="10"/>
      <c r="H17" s="11"/>
      <c r="I17" s="9" t="s">
        <v>3319</v>
      </c>
      <c r="J17" s="10"/>
      <c r="K17" s="10"/>
      <c r="L17" s="10"/>
      <c r="M17" s="10"/>
      <c r="N17" s="11"/>
      <c r="O17" s="9" t="s">
        <v>3320</v>
      </c>
      <c r="P17" s="10"/>
      <c r="Q17" s="10"/>
      <c r="R17" s="10"/>
      <c r="S17" s="11"/>
      <c r="T17" s="9" t="s">
        <v>3321</v>
      </c>
      <c r="U17" s="10"/>
      <c r="V17" s="10"/>
      <c r="W17" s="10"/>
      <c r="X17" s="10"/>
      <c r="Y17" s="10"/>
      <c r="Z17" s="10"/>
      <c r="AA17" s="10"/>
      <c r="AB17" s="10"/>
      <c r="AC17" s="10"/>
      <c r="AD17" s="10"/>
      <c r="AE17" s="10"/>
      <c r="AF17" s="10"/>
      <c r="AG17" s="10"/>
      <c r="AH17" s="10"/>
      <c r="AI17" s="10"/>
      <c r="AJ17" s="11"/>
    </row>
    <row r="18" ht="14.4" customHeight="1" spans="1:36">
      <c r="A18" s="13" t="s">
        <v>3322</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3323</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3324</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3325</v>
      </c>
      <c r="B21" s="10"/>
      <c r="C21" s="10"/>
      <c r="D21" s="10"/>
      <c r="E21" s="10"/>
      <c r="F21" s="10"/>
      <c r="G21" s="10"/>
      <c r="H21" s="11"/>
      <c r="I21" s="15" t="s">
        <v>2393</v>
      </c>
      <c r="J21" s="10"/>
      <c r="K21" s="10"/>
      <c r="L21" s="10"/>
      <c r="M21" s="10"/>
      <c r="N21" s="11"/>
      <c r="O21" s="15">
        <f>IF(人物卡!AU10="",0,人物卡!AU10)</f>
        <v>0</v>
      </c>
      <c r="P21" s="10"/>
      <c r="Q21" s="10"/>
      <c r="R21" s="10"/>
      <c r="S21" s="11"/>
      <c r="T21" s="4"/>
      <c r="AJ21" s="5"/>
    </row>
    <row r="22" ht="14.4" customHeight="1" spans="1:36">
      <c r="A22" s="9" t="s">
        <v>3326</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3327</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3328</v>
      </c>
      <c r="B27" s="10"/>
      <c r="C27" s="10"/>
      <c r="D27" s="10"/>
      <c r="E27" s="10"/>
      <c r="F27" s="10"/>
      <c r="G27" s="10"/>
      <c r="H27" s="10"/>
      <c r="I27" s="10"/>
      <c r="J27" s="11"/>
      <c r="K27" s="9" t="s">
        <v>3329</v>
      </c>
      <c r="L27" s="11"/>
      <c r="M27" s="9" t="s">
        <v>3328</v>
      </c>
      <c r="N27" s="10"/>
      <c r="O27" s="10"/>
      <c r="P27" s="10"/>
      <c r="Q27" s="10"/>
      <c r="R27" s="10"/>
      <c r="S27" s="10"/>
      <c r="T27" s="10"/>
      <c r="U27" s="10"/>
      <c r="V27" s="11"/>
      <c r="W27" s="9" t="s">
        <v>3329</v>
      </c>
      <c r="X27" s="11"/>
      <c r="Y27" s="9" t="s">
        <v>3328</v>
      </c>
      <c r="Z27" s="10"/>
      <c r="AA27" s="10"/>
      <c r="AB27" s="10"/>
      <c r="AC27" s="10"/>
      <c r="AD27" s="10"/>
      <c r="AE27" s="10"/>
      <c r="AF27" s="10"/>
      <c r="AG27" s="10"/>
      <c r="AH27" s="11"/>
      <c r="AI27" s="9" t="s">
        <v>3329</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s">
        <v>3330</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3331</v>
      </c>
    </row>
    <row r="51" ht="14.4" customHeight="1" spans="1:36">
      <c r="A51" s="23" t="str">
        <f>"玩家："&amp;IF(人物卡!E3="","",人物卡!E3)</f>
        <v>玩家：</v>
      </c>
      <c r="T51" s="23" t="str">
        <f>"年代："&amp;IF(人物卡!Q6="","",人物卡!Q6)</f>
        <v>年代：</v>
      </c>
    </row>
    <row r="52" ht="14.4" customHeight="1" spans="1:36">
      <c r="A52" s="24" t="s">
        <v>3332</v>
      </c>
    </row>
    <row r="53" ht="14.4" customHeight="1" spans="1:36">
      <c r="A53" s="25" t="s">
        <v>3333</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3"/>
    </row>
    <row r="54" ht="14.4" customHeight="1" spans="1:36">
      <c r="A54" s="4"/>
      <c r="AJ54" s="5"/>
    </row>
    <row r="55" ht="14.4" customHeight="1" spans="1:36">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8"/>
    </row>
    <row r="56" ht="14.4" customHeight="1" spans="1:36">
      <c r="A56" s="9" t="s">
        <v>3334</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3335</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3336</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3337</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3338</v>
      </c>
      <c r="B71" s="11"/>
      <c r="C71" s="9" t="s">
        <v>3339</v>
      </c>
      <c r="D71" s="10"/>
      <c r="E71" s="10"/>
      <c r="F71" s="10"/>
      <c r="G71" s="10"/>
      <c r="H71" s="11"/>
      <c r="I71" s="9" t="s">
        <v>3340</v>
      </c>
      <c r="J71" s="10"/>
      <c r="K71" s="10"/>
      <c r="L71" s="11"/>
      <c r="M71" s="9" t="s">
        <v>56</v>
      </c>
      <c r="N71" s="10"/>
      <c r="O71" s="10"/>
      <c r="P71" s="10"/>
      <c r="Q71" s="11"/>
      <c r="R71" s="9" t="s">
        <v>3341</v>
      </c>
      <c r="S71" s="10"/>
      <c r="T71" s="10"/>
      <c r="U71" s="10"/>
      <c r="V71" s="11"/>
      <c r="W71" s="9" t="s">
        <v>3342</v>
      </c>
      <c r="X71" s="10"/>
      <c r="Y71" s="10"/>
      <c r="Z71" s="10"/>
      <c r="AA71" s="11"/>
      <c r="AB71" s="9" t="s">
        <v>3343</v>
      </c>
      <c r="AC71" s="10"/>
      <c r="AD71" s="10"/>
      <c r="AE71" s="11"/>
      <c r="AF71" s="9" t="s">
        <v>2673</v>
      </c>
      <c r="AG71" s="10"/>
      <c r="AH71" s="11"/>
      <c r="AI71" s="9" t="s">
        <v>3344</v>
      </c>
      <c r="AJ71" s="11"/>
    </row>
    <row r="72" ht="14.4" customHeight="1" spans="1:36">
      <c r="A72" s="19" t="s">
        <v>3345</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3346</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3347</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3348</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3349</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3350</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3351</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3352</v>
      </c>
      <c r="B79" s="10"/>
      <c r="C79" s="10"/>
      <c r="D79" s="10"/>
      <c r="E79" s="10"/>
      <c r="F79" s="10"/>
      <c r="G79" s="10"/>
      <c r="H79" s="10"/>
      <c r="I79" s="10"/>
      <c r="J79" s="10"/>
      <c r="K79" s="10"/>
      <c r="L79" s="10"/>
      <c r="M79" s="10"/>
      <c r="N79" s="10"/>
      <c r="O79" s="10"/>
      <c r="P79" s="10"/>
      <c r="Q79" s="10"/>
      <c r="R79" s="11"/>
      <c r="S79" s="9" t="s">
        <v>3353</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3354</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3355</v>
      </c>
      <c r="B94" s="10"/>
      <c r="C94" s="10"/>
      <c r="D94" s="10"/>
      <c r="E94" s="10"/>
      <c r="F94" s="10"/>
      <c r="G94" s="10"/>
      <c r="H94" s="10"/>
      <c r="I94" s="10"/>
      <c r="J94" s="10"/>
      <c r="K94" s="10"/>
      <c r="L94" s="10"/>
      <c r="M94" s="10"/>
      <c r="N94" s="11"/>
      <c r="O94" s="9" t="s">
        <v>3310</v>
      </c>
      <c r="P94" s="10"/>
      <c r="Q94" s="10"/>
      <c r="R94" s="11"/>
      <c r="S94" s="21" t="s">
        <v>3356</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3357</v>
      </c>
      <c r="B97" s="10"/>
      <c r="C97" s="10"/>
      <c r="D97" s="10"/>
      <c r="E97" s="10"/>
      <c r="F97" s="10"/>
      <c r="G97" s="10"/>
      <c r="H97" s="10"/>
      <c r="I97" s="10"/>
      <c r="J97" s="10"/>
      <c r="K97" s="10"/>
      <c r="L97" s="10"/>
      <c r="M97" s="10"/>
      <c r="N97" s="10"/>
      <c r="O97" s="10"/>
      <c r="P97" s="10"/>
      <c r="Q97" s="10"/>
      <c r="R97" s="11"/>
      <c r="S97" s="9" t="s">
        <v>3358</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3359</v>
      </c>
      <c r="B101" s="2"/>
      <c r="C101" s="2"/>
      <c r="D101" s="2"/>
      <c r="E101" s="2"/>
      <c r="F101" s="2"/>
      <c r="G101" s="3"/>
      <c r="H101" s="29" t="s">
        <v>3360</v>
      </c>
      <c r="I101" s="2"/>
      <c r="J101" s="2"/>
      <c r="K101" s="2"/>
      <c r="L101" s="2"/>
      <c r="M101" s="3"/>
      <c r="N101" s="30" t="s">
        <v>3361</v>
      </c>
      <c r="O101" s="2"/>
      <c r="P101" s="2"/>
      <c r="Q101" s="2"/>
      <c r="R101" s="2"/>
      <c r="S101" s="2"/>
      <c r="T101" s="2"/>
      <c r="U101" s="2"/>
      <c r="V101" s="2"/>
      <c r="W101" s="2"/>
      <c r="X101" s="2"/>
      <c r="Y101" s="2"/>
      <c r="Z101" s="2"/>
      <c r="AA101" s="2"/>
      <c r="AB101" s="2"/>
      <c r="AC101" s="3"/>
      <c r="AD101" s="31" t="s">
        <v>3362</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3363</v>
      </c>
    </row>
    <row r="104" ht="14.4" customHeight="1" spans="1:36">
      <c r="A104" s="24" t="s">
        <v>3364</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v1.6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str">
        <x:v>配偶或前配偶（个人）</x:v>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str">
        <x:v>儿子或女儿（个人）</x:v>
      </x:c>
      <x:c r="C36" s="599"/>
    </x:row>
    <x:row r="37" ht="70" customHeight="1">
      <x:c r="A37" s="597" t="str">
        <x:v>重要关系范例</x:v>
      </x:c>
      <x:c r="B37" s="598" t="str">
        <x:v>父母或祖父母之一（个人）</x:v>
      </x:c>
      <x:c r="C37" s="597"/>
    </x:row>
    <x:row r="38" ht="70" customHeight="1">
      <x:c r="A38" s="599" t="str">
        <x:v>重要关系范例</x:v>
      </x:c>
      <x:c r="B38" s="600" t="str">
        <x:v>挚友（个人）</x:v>
      </x:c>
      <x:c r="C38" s="599"/>
    </x:row>
    <x:row r="39" ht="70" customHeight="1">
      <x:c r="A39" s="597" t="str">
        <x:v>重要关系范例</x:v>
      </x:c>
      <x:c r="B39" s="598" t="str">
        <x:v>同事或搭档（个人）</x:v>
      </x:c>
      <x:c r="C39" s="597"/>
    </x:row>
    <x:row r="40" ht="70" customHeight="1">
      <x:c r="A40" s="599" t="str">
        <x:v>重要关系范例</x:v>
      </x:c>
      <x:c r="B40" s="600" t="str">
        <x:v>心理医生或治疗师（个人）</x:v>
      </x:c>
      <x:c r="C40" s="599"/>
    </x:row>
    <x:row r="41" ht="70" customHeight="1">
      <x:c r="A41" s="597" t="str">
        <x:v>重要关系范例</x:v>
      </x:c>
      <x:c r="B41" s="598" t="str">
        <x:v>配偶和孩子（群体）</x:v>
      </x:c>
      <x:c r="C41" s="597"/>
    </x:row>
    <x:row r="42" ht="70" customHeight="1">
      <x:c r="A42" s="599" t="str">
        <x:v>重要关系范例</x:v>
      </x:c>
      <x:c r="B42" s="600" t="str">
        <x:v>父母亲（群体）</x:v>
      </x:c>
      <x:c r="C42" s="599"/>
    </x:row>
    <x:row r="43" ht="70" customHeight="1">
      <x:c r="A43" s="597" t="str">
        <x:v>重要关系范例</x:v>
      </x:c>
      <x:c r="B43" s="598" t="str">
        <x:v>兄弟姐妹（群体）</x:v>
      </x:c>
      <x:c r="C43" s="597"/>
    </x:row>
    <x:row r="44" ht="70" customHeight="1">
      <x:c r="A44" s="599" t="str">
        <x:v>重要关系范例</x:v>
      </x:c>
      <x:c r="B44" s="600" t="str">
        <x:v>一起执行艰难工作的同事（群体）</x:v>
      </x:c>
      <x:c r="C44" s="599"/>
    </x:row>
    <x:row r="45" ht="70" customHeight="1">
      <x:c r="A45" s="597" t="str">
        <x:v>重要关系范例</x:v>
      </x:c>
      <x:c r="B45" s="598" t="str">
        <x:v>教友或互助小组（群体）</x:v>
      </x:c>
      <x:c r="C45" s="597"/>
    </x:row>
    <x:row r="46" ht="70" customHeight="1">
      <x:c r="A46" s="599" t="str">
        <x:v>重要关系范例</x:v>
      </x:c>
      <x:c r="B46" s="600" t="str">
        <x:v>受过同一次创伤的幸存者（群体）</x:v>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v1.6</x:v>
      </x:c>
      <x:c r="B1" s="601" t="str">
        <x:v>绿色三角洲｜模组经历备忘录　v1.6</x:v>
      </x:c>
      <x:c r="C1" s="601" t="str">
        <x:v>绿色三角洲｜模组经历备忘录　v1.6</x:v>
      </x:c>
      <x:c r="D1" s="601" t="str">
        <x:v>绿色三角洲｜模组经历备忘录　v1.6</x:v>
      </x:c>
      <x:c r="E1" s="601" t="str">
        <x:v>绿色三角洲｜模组经历备忘录　v1.6</x:v>
      </x:c>
      <x:c r="F1" s="601" t="str">
        <x:v>绿色三角洲｜模组经历备忘录　v1.6</x:v>
      </x:c>
      <x:c r="G1" s="601" t="str">
        <x:v>绿色三角洲｜模组经历备忘录　v1.6</x:v>
      </x:c>
      <x:c r="H1" s="601" t="str">
        <x:v>绿色三角洲｜模组经历备忘录　v1.6</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602" t="str">
        <x:v>版本与更新</x:v>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s>
  <x:pageMargins left="0.25" right="0.25" top="0.35" bottom="0.35" header="0.15" footer="0.15"/>
  <x:pageSetup paperSize="9" orientation="landscape" fitToWidth="1" fitToHeight="0"/>
</x: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人物卡</vt:lpstr>
      <vt:lpstr>骰子指令</vt:lpstr>
      <vt:lpstr>职业列表</vt:lpstr>
      <vt:lpstr>额外技能包</vt:lpstr>
      <vt:lpstr>子技能</vt:lpstr>
      <vt:lpstr>附表</vt:lpstr>
      <vt:lpstr>展示页</vt:lpstr>
      <vt:lpstr>更新记录</vt:lpstr>
      <vt:lpstr>职业选项</vt:lpstr>
      <vt:lpstr>规则数据</vt:lpstr>
      <vt:lpstr>规则速查</vt:lpstr>
      <vt:lpstr>精神疾病</vt:lpstr>
      <vt:lpstr>参考选项</vt:lpstr>
      <vt:lpstr>模组经历备忘录</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1.6</vt:lpwstr>
  </property>
</Properties>
</file>